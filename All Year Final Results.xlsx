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vesstathis/Downloads/EEM2026 Conference/Final Results for Paper/"/>
    </mc:Choice>
  </mc:AlternateContent>
  <xr:revisionPtr revIDLastSave="0" documentId="13_ncr:1_{251AB351-597A-0C41-A42F-7543CEF27E7E}" xr6:coauthVersionLast="36" xr6:coauthVersionMax="36" xr10:uidLastSave="{00000000-0000-0000-0000-000000000000}"/>
  <bookViews>
    <workbookView xWindow="380" yWindow="500" windowWidth="28040" windowHeight="16520" activeTab="1" xr2:uid="{CCF07FC8-321A-7C4F-A4EE-64CB4166F40C}"/>
  </bookViews>
  <sheets>
    <sheet name="Sheet1" sheetId="1" r:id="rId1"/>
    <sheet name="Formal" sheetId="2" r:id="rId2"/>
  </sheets>
  <definedNames>
    <definedName name="_xlchart.v1.0" hidden="1">Formal!$A$27</definedName>
    <definedName name="_xlchart.v1.1" hidden="1">Formal!$A$28:$A$32</definedName>
    <definedName name="_xlchart.v1.10" hidden="1">Formal!$C$27</definedName>
    <definedName name="_xlchart.v1.11" hidden="1">Formal!$C$28:$C$32</definedName>
    <definedName name="_xlchart.v1.12" hidden="1">Formal!$A$27</definedName>
    <definedName name="_xlchart.v1.13" hidden="1">Formal!$A$28:$A$32</definedName>
    <definedName name="_xlchart.v1.14" hidden="1">Formal!$B$27</definedName>
    <definedName name="_xlchart.v1.15" hidden="1">Formal!$B$28:$B$32</definedName>
    <definedName name="_xlchart.v1.16" hidden="1">Formal!$C$27</definedName>
    <definedName name="_xlchart.v1.17" hidden="1">Formal!$C$28:$C$32</definedName>
    <definedName name="_xlchart.v1.18" hidden="1">Formal!$A$27</definedName>
    <definedName name="_xlchart.v1.19" hidden="1">Formal!$A$28:$A$32</definedName>
    <definedName name="_xlchart.v1.2" hidden="1">Formal!$B$27</definedName>
    <definedName name="_xlchart.v1.20" hidden="1">Formal!$B$27</definedName>
    <definedName name="_xlchart.v1.21" hidden="1">Formal!$B$28:$B$32</definedName>
    <definedName name="_xlchart.v1.22" hidden="1">Formal!$C$27</definedName>
    <definedName name="_xlchart.v1.23" hidden="1">Formal!$C$28:$C$32</definedName>
    <definedName name="_xlchart.v1.24" hidden="1">Formal!$A$27</definedName>
    <definedName name="_xlchart.v1.25" hidden="1">Formal!$A$28:$A$32</definedName>
    <definedName name="_xlchart.v1.26" hidden="1">Formal!$B$27</definedName>
    <definedName name="_xlchart.v1.27" hidden="1">Formal!$B$28:$B$32</definedName>
    <definedName name="_xlchart.v1.28" hidden="1">Formal!$C$27</definedName>
    <definedName name="_xlchart.v1.29" hidden="1">Formal!$C$28:$C$32</definedName>
    <definedName name="_xlchart.v1.3" hidden="1">Formal!$B$28:$B$32</definedName>
    <definedName name="_xlchart.v1.30" hidden="1">Formal!$A$27</definedName>
    <definedName name="_xlchart.v1.31" hidden="1">Formal!$A$28:$A$32</definedName>
    <definedName name="_xlchart.v1.32" hidden="1">Formal!$B$27</definedName>
    <definedName name="_xlchart.v1.33" hidden="1">Formal!$B$28:$B$32</definedName>
    <definedName name="_xlchart.v1.34" hidden="1">Formal!$C$27</definedName>
    <definedName name="_xlchart.v1.35" hidden="1">Formal!$C$28:$C$32</definedName>
    <definedName name="_xlchart.v1.36" hidden="1">Formal!$A$27</definedName>
    <definedName name="_xlchart.v1.37" hidden="1">Formal!$A$28:$A$32</definedName>
    <definedName name="_xlchart.v1.38" hidden="1">Formal!$B$27</definedName>
    <definedName name="_xlchart.v1.39" hidden="1">Formal!$B$28:$B$32</definedName>
    <definedName name="_xlchart.v1.4" hidden="1">Formal!$C$27</definedName>
    <definedName name="_xlchart.v1.40" hidden="1">Formal!$C$27</definedName>
    <definedName name="_xlchart.v1.41" hidden="1">Formal!$C$28:$C$32</definedName>
    <definedName name="_xlchart.v1.5" hidden="1">Formal!$C$28:$C$32</definedName>
    <definedName name="_xlchart.v1.6" hidden="1">Formal!$A$27</definedName>
    <definedName name="_xlchart.v1.7" hidden="1">Formal!$A$28:$A$32</definedName>
    <definedName name="_xlchart.v1.8" hidden="1">Formal!$B$27</definedName>
    <definedName name="_xlchart.v1.9" hidden="1">Formal!$B$28:$B$32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  <c r="D3" i="2" l="1"/>
  <c r="D4" i="2"/>
  <c r="D5" i="2"/>
  <c r="D6" i="2"/>
  <c r="D2" i="2"/>
  <c r="C3" i="2"/>
  <c r="C4" i="2"/>
  <c r="C5" i="2"/>
  <c r="C6" i="2"/>
  <c r="C2" i="2"/>
</calcChain>
</file>

<file path=xl/sharedStrings.xml><?xml version="1.0" encoding="utf-8"?>
<sst xmlns="http://schemas.openxmlformats.org/spreadsheetml/2006/main" count="32" uniqueCount="12">
  <si>
    <t>Year</t>
  </si>
  <si>
    <t>households</t>
  </si>
  <si>
    <t>benefits over years</t>
  </si>
  <si>
    <t>Electricity Savings (GWH)</t>
  </si>
  <si>
    <t>net income (based on spot price 2023)</t>
  </si>
  <si>
    <t>GHG reductions (tCO2eq)</t>
  </si>
  <si>
    <t>% of GHG Reduction, NCEP</t>
  </si>
  <si>
    <t>% of GHG Reduction, BAU</t>
  </si>
  <si>
    <t>Thousand households</t>
  </si>
  <si>
    <t>benefits over years (mϵ)</t>
  </si>
  <si>
    <t>net income (based on spot price 2023, mϵ)</t>
  </si>
  <si>
    <t>Graph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</si>
</sst>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€-1]"/>
    <numFmt numFmtId="165" formatCode="0.000"/>
    <numFmt numFmtId="166" formatCode="#,##0.000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0">
                <a:latin typeface="Times New Roman" panose="02020603050405020304" pitchFamily="18" charset="0"/>
                <a:cs typeface="Times New Roman" panose="02020603050405020304" pitchFamily="18" charset="0"/>
              </a:rPr>
              <a:t>Benefits</a:t>
            </a:r>
            <a:r>
              <a:rPr lang="en-US" sz="8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and net income of proosumers over time</a:t>
            </a:r>
            <a:endParaRPr lang="en-US" sz="8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Formal!$B$8</c:f>
              <c:strCache>
                <c:ptCount val="1"/>
                <c:pt idx="0">
                  <c:v>benefits over years (mϵ)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Formal!$A$9:$A$13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f>Formal!$B$9:$B$13</c:f>
              <c:numCache>
                <c:formatCode>#,##0</c:formatCode>
                <c:ptCount val="5"/>
                <c:pt idx="0">
                  <c:v>1064.9015750003239</c:v>
                </c:pt>
                <c:pt idx="1">
                  <c:v>2146.1141949390476</c:v>
                </c:pt>
                <c:pt idx="2">
                  <c:v>3317.0375620389732</c:v>
                </c:pt>
                <c:pt idx="3">
                  <c:v>4487.9609291388942</c:v>
                </c:pt>
                <c:pt idx="4">
                  <c:v>5558.9791459911166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0-3945-8530-819F77BF73AC}"/>
            </c:ext>
          </c:extLst>
        </c:ser>
        <c:ser>
          <c:idx val="1"/>
          <c:order val="1"/>
          <c:tx>
            <c:strRef>
              <c:f>Formal!$C$8</c:f>
              <c:strCache>
                <c:ptCount val="1"/>
                <c:pt idx="0">
                  <c:v>net income (based on spot price 2023, mϵ)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Formal!$A$9:$A$13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f>Formal!$C$9:$C$13</c:f>
              <c:numCache>
                <c:formatCode>#,##0</c:formatCode>
                <c:ptCount val="5"/>
                <c:pt idx="0">
                  <c:v>172.73159670252403</c:v>
                </c:pt>
                <c:pt idx="1">
                  <c:v>343.283668845048</c:v>
                </c:pt>
                <c:pt idx="2">
                  <c:v>501.84835590757206</c:v>
                </c:pt>
                <c:pt idx="3">
                  <c:v>660.41304297009594</c:v>
                </c:pt>
                <c:pt idx="4">
                  <c:v>832.3273179626201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0-3945-8530-819F77BF73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2298383"/>
        <c:axId val="822620671"/>
      </c:barChart>
      <c:catAx>
        <c:axId val="82229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20671"/>
        <c:crosses val="autoZero"/>
        <c:auto val="1"/>
        <c:lblAlgn val="ctr"/>
        <c:lblOffset val="100"/>
        <c:noMultiLvlLbl val="0"/>
      </c:catAx>
      <c:valAx>
        <c:axId val="82262067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29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Davings and GHG reductions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Formal!$A$27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Formal!$A$28:$A$32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A-C848-A77E-7604FCF3F58B}"/>
            </c:ext>
          </c:extLst>
        </c:ser>
        <c:ser>
          <c:idx val="1"/>
          <c:order val="1"/>
          <c:tx>
            <c:strRef>
              <c:f>Formal!$B$27</c:f>
              <c:strCache>
                <c:ptCount val="1"/>
                <c:pt idx="0">
                  <c:v>Electricity Savings (GWH)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Formal!$B$28:$B$32</c:f>
              <c:numCache>
                <c:formatCode>#,##0</c:formatCode>
                <c:ptCount val="5"/>
                <c:pt idx="0">
                  <c:v>2770.489441999991</c:v>
                </c:pt>
                <c:pt idx="1">
                  <c:v>5612.8356600000152</c:v>
                </c:pt>
                <c:pt idx="2">
                  <c:v>8850.3941459999969</c:v>
                </c:pt>
                <c:pt idx="3">
                  <c:v>12087.952632000006</c:v>
                </c:pt>
                <c:pt idx="4">
                  <c:v>14885.388364999986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A-C848-A77E-7604FCF3F5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27169247"/>
        <c:axId val="732101935"/>
      </c:barChart>
      <c:lineChart>
        <c:grouping val="standard"/>
        <c:varyColors val="0"/>
        <c:ser>
          <c:idx val="2"/>
          <c:order val="2"/>
          <c:tx>
            <c:strRef>
              <c:f>Formal!$C$27</c:f>
              <c:strCache>
                <c:ptCount val="1"/>
                <c:pt idx="0">
                  <c:v>GHG reductions (tCO2eq)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Formal!$C$28:$C$32</c:f>
              <c:numCache>
                <c:formatCode>0.00</c:formatCode>
                <c:ptCount val="5"/>
                <c:pt idx="0">
                  <c:v>199.47523982399935</c:v>
                </c:pt>
                <c:pt idx="1">
                  <c:v>140.32089150000039</c:v>
                </c:pt>
                <c:pt idx="2">
                  <c:v>168.15748877399994</c:v>
                </c:pt>
                <c:pt idx="3">
                  <c:v>169.2313368480001</c:v>
                </c:pt>
                <c:pt idx="4">
                  <c:v>193.51004874499981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DA-C848-A77E-7604FCF3F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064816"/>
        <c:axId val="654245168"/>
      </c:lineChart>
      <c:dateAx>
        <c:axId val="82716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01935"/>
        <c:crosses val="autoZero"/>
        <c:auto val="0"/>
        <c:lblOffset val="100"/>
        <c:baseTimeUnit val="days"/>
      </c:dateAx>
      <c:valAx>
        <c:axId val="7321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169247"/>
        <c:crosses val="autoZero"/>
        <c:crossBetween val="between"/>
      </c:valAx>
      <c:valAx>
        <c:axId val="654245168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64816"/>
        <c:crosses val="max"/>
        <c:crossBetween val="between"/>
      </c:valAx>
      <c:catAx>
        <c:axId val="669064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42451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9</xdr:row>
      <xdr:rowOff>0</xdr:rowOff>
    </xdr:from>
    <xdr:to>
      <xdr:col>11</xdr:col>
      <xdr:colOff>368300</xdr:colOff>
      <xdr:row>24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3E7EAA-3607-5A4B-A1A8-EE73CE1AA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742950</xdr:colOff>
      <xdr:row>26</xdr:row>
      <xdr:rowOff>234950</xdr:rowOff>
    </xdr:from>
    <xdr:to>
      <xdr:col>11</xdr:col>
      <xdr:colOff>0</xdr:colOff>
      <xdr:row>44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4D51CC-D0C9-6242-AB15-FC599B632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FEA6-BBC2-1744-B649-046A750A26D5}">
  <dimension ref="A1:H6"/>
  <sheetViews>
    <sheetView workbookViewId="0">
      <selection activeCell="F15" sqref="F15"/>
    </sheetView>
  </sheetViews>
  <sheetFormatPr baseColWidth="10" defaultRowHeight="16" x14ac:dyDescent="0.2"/>
  <cols>
    <col min="3" max="3" width="18.83203125" customWidth="1"/>
    <col min="4" max="4" width="16.6640625" customWidth="1"/>
    <col min="6" max="6" width="14.5" customWidth="1"/>
    <col min="7" max="7" width="15.1640625" customWidth="1"/>
    <col min="8" max="8" width="16" customWidth="1"/>
  </cols>
  <sheetData>
    <row r="1" spans="1:8" ht="42" x14ac:dyDescent="0.2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3" t="s">
        <v>6</v>
      </c>
      <c r="H1" s="3" t="s">
        <v>7</v>
      </c>
    </row>
    <row r="2" spans="1:8" x14ac:dyDescent="0.2">
      <c r="A2" s="1">
        <v>2030</v>
      </c>
      <c r="B2" s="4">
        <v>860000</v>
      </c>
      <c r="C2" s="5">
        <v>1064901575.0003239</v>
      </c>
      <c r="D2" s="5">
        <v>172731596.70252404</v>
      </c>
      <c r="E2" s="4">
        <v>2770.489441999991</v>
      </c>
      <c r="F2" s="6">
        <v>199.47523982399935</v>
      </c>
      <c r="G2" s="7">
        <v>4.8070319056403334E-3</v>
      </c>
      <c r="H2" s="7">
        <v>4.6011176835856074E-3</v>
      </c>
    </row>
    <row r="3" spans="1:8" x14ac:dyDescent="0.2">
      <c r="A3" s="1">
        <v>2035</v>
      </c>
      <c r="B3" s="4">
        <v>1720000</v>
      </c>
      <c r="C3" s="5">
        <v>2146114194.9390478</v>
      </c>
      <c r="D3" s="5">
        <v>343283668.84504801</v>
      </c>
      <c r="E3" s="4">
        <v>5612.8356600000152</v>
      </c>
      <c r="F3" s="6">
        <v>140.32089150000039</v>
      </c>
      <c r="G3" s="8">
        <v>6.116748044065431E-3</v>
      </c>
      <c r="H3" s="8">
        <v>9.3217616064814705E-3</v>
      </c>
    </row>
    <row r="4" spans="1:8" x14ac:dyDescent="0.2">
      <c r="A4" s="1">
        <v>2040</v>
      </c>
      <c r="B4" s="4">
        <v>2580000</v>
      </c>
      <c r="C4" s="5">
        <v>3317037562.0389733</v>
      </c>
      <c r="D4" s="5">
        <v>501848355.90757203</v>
      </c>
      <c r="E4" s="4">
        <v>8850.3941459999969</v>
      </c>
      <c r="F4" s="6">
        <v>168.15748877399994</v>
      </c>
      <c r="G4" s="8">
        <v>1.3507916722481902E-2</v>
      </c>
      <c r="H4" s="8">
        <v>1.4699059728342746E-2</v>
      </c>
    </row>
    <row r="5" spans="1:8" x14ac:dyDescent="0.2">
      <c r="A5" s="1">
        <v>2045</v>
      </c>
      <c r="B5" s="4">
        <v>3440000</v>
      </c>
      <c r="C5" s="5">
        <v>4487960929.1388941</v>
      </c>
      <c r="D5" s="5">
        <v>660413042.97009599</v>
      </c>
      <c r="E5" s="4">
        <v>12087.952632000006</v>
      </c>
      <c r="F5" s="6">
        <v>169.2313368480001</v>
      </c>
      <c r="G5" s="9">
        <v>2.0945509288578655E-2</v>
      </c>
      <c r="H5" s="9">
        <v>2.0076735288634098E-2</v>
      </c>
    </row>
    <row r="6" spans="1:8" x14ac:dyDescent="0.2">
      <c r="A6" s="1">
        <v>2050</v>
      </c>
      <c r="B6" s="4">
        <v>4300000</v>
      </c>
      <c r="C6" s="5">
        <v>5558979145.9911165</v>
      </c>
      <c r="D6" s="5">
        <v>832327317.96262014</v>
      </c>
      <c r="E6" s="4">
        <v>14885.388364999986</v>
      </c>
      <c r="F6" s="6">
        <v>193.51004874499981</v>
      </c>
      <c r="G6" s="8">
        <v>2.0999754391053918E-3</v>
      </c>
      <c r="H6" s="8">
        <v>2.4722835540265515E-2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AD89-523C-4548-8FE8-60B9AC679D4E}">
  <dimension ref="A1:U32"/>
  <sheetViews>
    <sheetView tabSelected="1" topLeftCell="A15" workbookViewId="0">
      <selection activeCell="N39" sqref="N39"/>
    </sheetView>
  </sheetViews>
  <sheetFormatPr baseColWidth="10" defaultRowHeight="16" x14ac:dyDescent="0.2"/>
  <cols>
    <col min="3" max="3" width="18.83203125" customWidth="1"/>
    <col min="4" max="4" width="16.6640625" customWidth="1"/>
    <col min="6" max="6" width="14.5" customWidth="1"/>
    <col min="7" max="7" width="15.1640625" customWidth="1"/>
    <col min="8" max="8" width="16" customWidth="1"/>
    <col min="14" max="15" width="6.83203125" customWidth="1"/>
    <col min="16" max="16" width="7" customWidth="1"/>
    <col min="17" max="17" width="7.83203125" customWidth="1"/>
    <col min="18" max="18" width="8.1640625" customWidth="1"/>
  </cols>
  <sheetData>
    <row r="1" spans="1:21" ht="37" customHeight="1" x14ac:dyDescent="0.2">
      <c r="A1" s="1" t="s">
        <v>0</v>
      </c>
      <c r="B1" s="2" t="s">
        <v>8</v>
      </c>
      <c r="C1" s="2" t="s">
        <v>9</v>
      </c>
      <c r="D1" s="2" t="s">
        <v>10</v>
      </c>
      <c r="E1" s="2" t="s">
        <v>3</v>
      </c>
      <c r="F1" s="2" t="s">
        <v>5</v>
      </c>
      <c r="G1" s="3" t="s">
        <v>6</v>
      </c>
      <c r="H1" s="3" t="s">
        <v>7</v>
      </c>
      <c r="N1" s="11" t="s">
        <v>0</v>
      </c>
      <c r="O1" s="12" t="s">
        <v>8</v>
      </c>
      <c r="P1" s="12" t="s">
        <v>9</v>
      </c>
      <c r="Q1" s="12" t="s">
        <v>10</v>
      </c>
      <c r="R1" s="2"/>
      <c r="S1" s="2"/>
      <c r="T1" s="3"/>
      <c r="U1" s="3"/>
    </row>
    <row r="2" spans="1:21" x14ac:dyDescent="0.2">
      <c r="A2" s="1">
        <v>2030</v>
      </c>
      <c r="B2" s="4">
        <f>Sheet1!B2/1000</f>
        <v>860</v>
      </c>
      <c r="C2" s="5">
        <f>Sheet1!C2/1000000</f>
        <v>1064.9015750003239</v>
      </c>
      <c r="D2" s="5">
        <f>Sheet1!D2/1000000</f>
        <v>172.73159670252403</v>
      </c>
      <c r="E2" s="4">
        <v>2770.489441999991</v>
      </c>
      <c r="F2" s="6">
        <v>199.47523982399935</v>
      </c>
      <c r="G2" s="7">
        <v>4.8070319056403334E-3</v>
      </c>
      <c r="H2" s="7">
        <v>4.6011176835856074E-3</v>
      </c>
      <c r="N2" s="11">
        <v>2030</v>
      </c>
      <c r="O2" s="13">
        <v>860</v>
      </c>
      <c r="P2" s="14">
        <v>1064.9015750003239</v>
      </c>
      <c r="Q2" s="14">
        <v>172.73159670252403</v>
      </c>
      <c r="R2" s="4"/>
      <c r="S2" s="6"/>
      <c r="T2" s="7"/>
      <c r="U2" s="7"/>
    </row>
    <row r="3" spans="1:21" x14ac:dyDescent="0.2">
      <c r="A3" s="1">
        <v>2035</v>
      </c>
      <c r="B3" s="4">
        <f>Sheet1!B3/1000</f>
        <v>1720</v>
      </c>
      <c r="C3" s="5">
        <f>Sheet1!C3/1000000</f>
        <v>2146.1141949390476</v>
      </c>
      <c r="D3" s="5">
        <f>Sheet1!D3/1000000</f>
        <v>343.283668845048</v>
      </c>
      <c r="E3" s="4">
        <v>5612.8356600000152</v>
      </c>
      <c r="F3" s="6">
        <v>140.32089150000039</v>
      </c>
      <c r="G3" s="8">
        <v>6.116748044065431E-3</v>
      </c>
      <c r="H3" s="8">
        <v>9.3217616064814705E-3</v>
      </c>
      <c r="N3" s="11">
        <v>2035</v>
      </c>
      <c r="O3" s="13">
        <v>1720</v>
      </c>
      <c r="P3" s="14">
        <v>2146.1141949390476</v>
      </c>
      <c r="Q3" s="14">
        <v>343.283668845048</v>
      </c>
      <c r="R3" s="4"/>
      <c r="S3" s="6"/>
      <c r="T3" s="8"/>
      <c r="U3" s="8"/>
    </row>
    <row r="4" spans="1:21" x14ac:dyDescent="0.2">
      <c r="A4" s="1">
        <v>2040</v>
      </c>
      <c r="B4" s="4">
        <f>Sheet1!B4/1000</f>
        <v>2580</v>
      </c>
      <c r="C4" s="5">
        <f>Sheet1!C4/1000000</f>
        <v>3317.0375620389732</v>
      </c>
      <c r="D4" s="5">
        <f>Sheet1!D4/1000000</f>
        <v>501.84835590757206</v>
      </c>
      <c r="E4" s="4">
        <v>8850.3941459999969</v>
      </c>
      <c r="F4" s="6">
        <v>168.15748877399994</v>
      </c>
      <c r="G4" s="8">
        <v>1.3507916722481902E-2</v>
      </c>
      <c r="H4" s="8">
        <v>1.4699059728342746E-2</v>
      </c>
      <c r="N4" s="11">
        <v>2040</v>
      </c>
      <c r="O4" s="13">
        <v>2580</v>
      </c>
      <c r="P4" s="14">
        <v>3317.0375620389732</v>
      </c>
      <c r="Q4" s="14">
        <v>501.84835590757206</v>
      </c>
      <c r="R4" s="4"/>
      <c r="S4" s="6"/>
      <c r="T4" s="8"/>
      <c r="U4" s="8"/>
    </row>
    <row r="5" spans="1:21" x14ac:dyDescent="0.2">
      <c r="A5" s="1">
        <v>2045</v>
      </c>
      <c r="B5" s="4">
        <f>Sheet1!B5/1000</f>
        <v>3440</v>
      </c>
      <c r="C5" s="5">
        <f>Sheet1!C5/1000000</f>
        <v>4487.9609291388942</v>
      </c>
      <c r="D5" s="5">
        <f>Sheet1!D5/1000000</f>
        <v>660.41304297009594</v>
      </c>
      <c r="E5" s="4">
        <v>12087.952632000006</v>
      </c>
      <c r="F5" s="6">
        <v>169.2313368480001</v>
      </c>
      <c r="G5" s="9">
        <v>2.0945509288578655E-2</v>
      </c>
      <c r="H5" s="9">
        <v>2.0076735288634098E-2</v>
      </c>
      <c r="N5" s="11">
        <v>2045</v>
      </c>
      <c r="O5" s="13">
        <v>3440</v>
      </c>
      <c r="P5" s="14">
        <v>4487.9609291388942</v>
      </c>
      <c r="Q5" s="14">
        <v>660.41304297009594</v>
      </c>
      <c r="R5" s="4"/>
      <c r="S5" s="6"/>
      <c r="T5" s="9"/>
      <c r="U5" s="9"/>
    </row>
    <row r="6" spans="1:21" x14ac:dyDescent="0.2">
      <c r="A6" s="1">
        <v>2050</v>
      </c>
      <c r="B6" s="4">
        <f>Sheet1!B6/1000</f>
        <v>4300</v>
      </c>
      <c r="C6" s="5">
        <f>Sheet1!C6/1000000</f>
        <v>5558.9791459911166</v>
      </c>
      <c r="D6" s="5">
        <f>Sheet1!D6/1000000</f>
        <v>832.3273179626201</v>
      </c>
      <c r="E6" s="4">
        <v>14885.388364999986</v>
      </c>
      <c r="F6" s="6">
        <v>193.51004874499981</v>
      </c>
      <c r="G6" s="8">
        <v>2.0999754391053918E-3</v>
      </c>
      <c r="H6" s="8">
        <v>2.4722835540265515E-2</v>
      </c>
      <c r="N6" s="11">
        <v>2050</v>
      </c>
      <c r="O6" s="13">
        <v>4300</v>
      </c>
      <c r="P6" s="14">
        <v>5558.9791459911166</v>
      </c>
      <c r="Q6" s="14">
        <v>832.3273179626201</v>
      </c>
      <c r="R6" s="4"/>
      <c r="S6" s="6"/>
      <c r="T6" s="8"/>
      <c r="U6" s="8"/>
    </row>
    <row r="8" spans="1:21" ht="33" customHeight="1" x14ac:dyDescent="0.2">
      <c r="A8" s="1" t="s">
        <v>0</v>
      </c>
      <c r="B8" t="s">
        <v>9</v>
      </c>
      <c r="C8" t="s">
        <v>10</v>
      </c>
      <c r="N8" s="11" t="s">
        <v>0</v>
      </c>
      <c r="O8" s="12" t="s">
        <v>3</v>
      </c>
      <c r="P8" s="12" t="s">
        <v>5</v>
      </c>
      <c r="Q8" s="15" t="s">
        <v>6</v>
      </c>
      <c r="R8" s="15" t="s">
        <v>7</v>
      </c>
    </row>
    <row r="9" spans="1:21" x14ac:dyDescent="0.2">
      <c r="A9" s="1">
        <v>2030</v>
      </c>
      <c r="B9" s="10">
        <v>1064.9015750003239</v>
      </c>
      <c r="C9" s="10">
        <v>172.73159670252403</v>
      </c>
      <c r="N9" s="11">
        <v>2030</v>
      </c>
      <c r="O9" s="13">
        <v>2770.489441999991</v>
      </c>
      <c r="P9" s="16">
        <v>199.47523982399935</v>
      </c>
      <c r="Q9" s="17">
        <v>4.8070319056403334E-3</v>
      </c>
      <c r="R9" s="17">
        <v>4.6011176835856074E-3</v>
      </c>
    </row>
    <row r="10" spans="1:21" x14ac:dyDescent="0.2">
      <c r="A10" s="1">
        <v>2035</v>
      </c>
      <c r="B10" s="10">
        <v>2146.1141949390476</v>
      </c>
      <c r="C10" s="10">
        <v>343.283668845048</v>
      </c>
      <c r="N10" s="11">
        <v>2035</v>
      </c>
      <c r="O10" s="13">
        <v>5612.8356600000152</v>
      </c>
      <c r="P10" s="16">
        <v>140.32089150000039</v>
      </c>
      <c r="Q10" s="18">
        <v>6.116748044065431E-3</v>
      </c>
      <c r="R10" s="18">
        <v>9.3217616064814705E-3</v>
      </c>
    </row>
    <row r="11" spans="1:21" x14ac:dyDescent="0.2">
      <c r="A11" s="1">
        <v>2040</v>
      </c>
      <c r="B11" s="10">
        <v>3317.0375620389732</v>
      </c>
      <c r="C11" s="10">
        <v>501.84835590757206</v>
      </c>
      <c r="N11" s="11">
        <v>2040</v>
      </c>
      <c r="O11" s="13">
        <v>8850.3941459999969</v>
      </c>
      <c r="P11" s="16">
        <v>168.15748877399994</v>
      </c>
      <c r="Q11" s="18">
        <v>1.3507916722481902E-2</v>
      </c>
      <c r="R11" s="18">
        <v>1.4699059728342746E-2</v>
      </c>
    </row>
    <row r="12" spans="1:21" x14ac:dyDescent="0.2">
      <c r="A12" s="1">
        <v>2045</v>
      </c>
      <c r="B12" s="10">
        <v>4487.9609291388942</v>
      </c>
      <c r="C12" s="10">
        <v>660.41304297009594</v>
      </c>
      <c r="N12" s="11">
        <v>2045</v>
      </c>
      <c r="O12" s="13">
        <v>12087.952632000006</v>
      </c>
      <c r="P12" s="16">
        <v>169.2313368480001</v>
      </c>
      <c r="Q12" s="19">
        <v>2.0945509288578655E-2</v>
      </c>
      <c r="R12" s="19">
        <v>2.0076735288634098E-2</v>
      </c>
    </row>
    <row r="13" spans="1:21" x14ac:dyDescent="0.2">
      <c r="A13" s="1">
        <v>2050</v>
      </c>
      <c r="B13" s="10">
        <v>5558.9791459911166</v>
      </c>
      <c r="C13" s="10">
        <v>832.3273179626201</v>
      </c>
      <c r="N13" s="11">
        <v>2050</v>
      </c>
      <c r="O13" s="13">
        <v>14885.388364999986</v>
      </c>
      <c r="P13" s="16">
        <v>193.51004874499981</v>
      </c>
      <c r="Q13" s="18">
        <v>2.0999754391053918E-3</v>
      </c>
      <c r="R13" s="18">
        <v>2.4722835540265515E-2</v>
      </c>
    </row>
    <row r="25" spans="1:9" x14ac:dyDescent="0.2">
      <c r="I25" t="s">
        <v>11</v>
      </c>
    </row>
    <row r="27" spans="1:9" ht="42" x14ac:dyDescent="0.2">
      <c r="A27" s="1" t="s">
        <v>0</v>
      </c>
      <c r="B27" s="2" t="s">
        <v>3</v>
      </c>
      <c r="C27" s="2" t="s">
        <v>5</v>
      </c>
    </row>
    <row r="28" spans="1:9" x14ac:dyDescent="0.2">
      <c r="A28" s="1">
        <v>2030</v>
      </c>
      <c r="B28" s="4">
        <v>2770.489441999991</v>
      </c>
      <c r="C28" s="6">
        <v>199.47523982399935</v>
      </c>
    </row>
    <row r="29" spans="1:9" x14ac:dyDescent="0.2">
      <c r="A29" s="1">
        <v>2035</v>
      </c>
      <c r="B29" s="4">
        <v>5612.8356600000152</v>
      </c>
      <c r="C29" s="6">
        <v>140.32089150000039</v>
      </c>
    </row>
    <row r="30" spans="1:9" x14ac:dyDescent="0.2">
      <c r="A30" s="1">
        <v>2040</v>
      </c>
      <c r="B30" s="4">
        <v>8850.3941459999969</v>
      </c>
      <c r="C30" s="6">
        <v>168.15748877399994</v>
      </c>
    </row>
    <row r="31" spans="1:9" x14ac:dyDescent="0.2">
      <c r="A31" s="1">
        <v>2045</v>
      </c>
      <c r="B31" s="4">
        <v>12087.952632000006</v>
      </c>
      <c r="C31" s="6">
        <v>169.2313368480001</v>
      </c>
    </row>
    <row r="32" spans="1:9" x14ac:dyDescent="0.2">
      <c r="A32" s="1">
        <v>2050</v>
      </c>
      <c r="B32" s="4">
        <v>14885.388364999986</v>
      </c>
      <c r="C32" s="6">
        <v>193.51004874499981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DEVVES</dc:creator>
  <cp:lastModifiedBy>STEVE DEVVES</cp:lastModifiedBy>
  <dcterms:created xsi:type="dcterms:W3CDTF">2026-02-23T17:03:28Z</dcterms:created>
  <dcterms:modified xsi:type="dcterms:W3CDTF">2026-02-26T09:42:30Z</dcterms:modified>
</cp:coreProperties>
</file>