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vvesstathis/Downloads/PAPER SCHEDULE for EEM2026/Final Results for Paper/"/>
    </mc:Choice>
  </mc:AlternateContent>
  <xr:revisionPtr revIDLastSave="0" documentId="13_ncr:1_{101CA8D1-B6CA-B34F-8BAE-5BFDE91C97B4}" xr6:coauthVersionLast="36" xr6:coauthVersionMax="36" xr10:uidLastSave="{00000000-0000-0000-0000-000000000000}"/>
  <bookViews>
    <workbookView xWindow="0" yWindow="500" windowWidth="28800" windowHeight="16600" activeTab="5" xr2:uid="{6CDE17FE-3E65-4E8F-B43B-934F7EC138CD}"/>
  </bookViews>
  <sheets>
    <sheet name="Solar Availability and Gener GR" sheetId="1" r:id="rId1"/>
    <sheet name="System Load" sheetId="3" r:id="rId2"/>
    <sheet name="Battery_Storage" sheetId="2" r:id="rId3"/>
    <sheet name="Sheet2" sheetId="4" r:id="rId4"/>
    <sheet name="Daily Demand per household" sheetId="5" r:id="rId5"/>
    <sheet name="Utility Function plus20%" sheetId="6" r:id="rId6"/>
    <sheet name="Utility Function plus10%" sheetId="8" r:id="rId7"/>
    <sheet name="Utility Function plus5%" sheetId="9" r:id="rId8"/>
    <sheet name="UFplus20%LowPrice" sheetId="10" r:id="rId9"/>
    <sheet name="UFplus10%LowPrice" sheetId="11" r:id="rId10"/>
    <sheet name="UFplus5%LowPrice" sheetId="12" r:id="rId11"/>
    <sheet name="Deficits_Surlus" sheetId="7" r:id="rId12"/>
    <sheet name="Utility Function plus20%PriceEq" sheetId="13" r:id="rId13"/>
    <sheet name="UF plus20%PrEq_Sens_Max_Spot_Pr" sheetId="14" r:id="rId14"/>
    <sheet name="PPAt_Calc" sheetId="15" r:id="rId15"/>
  </sheets>
  <definedNames>
    <definedName name="_xlnm._FilterDatabase" localSheetId="2" hidden="1">Battery_Storage!$A$1:$AA$289</definedName>
    <definedName name="_xlnm._FilterDatabase" localSheetId="13" hidden="1">'UF plus20%PrEq_Sens_Max_Spot_Pr'!$A$1:$V$289</definedName>
    <definedName name="_xlnm._FilterDatabase" localSheetId="9" hidden="1">'UFplus10%LowPrice'!$A$1:$V$289</definedName>
    <definedName name="_xlnm._FilterDatabase" localSheetId="8" hidden="1">'UFplus20%LowPrice'!$A$1:$V$289</definedName>
    <definedName name="_xlnm._FilterDatabase" localSheetId="10" hidden="1">'UFplus5%LowPrice'!$A$1:$V$289</definedName>
    <definedName name="_xlnm._FilterDatabase" localSheetId="6" hidden="1">'Utility Function plus10%'!$A$1:$V$289</definedName>
    <definedName name="_xlnm._FilterDatabase" localSheetId="5" hidden="1">'Utility Function plus20%'!$A$1:$V$289</definedName>
    <definedName name="_xlnm._FilterDatabase" localSheetId="12" hidden="1">'Utility Function plus20%PriceEq'!$A$1:$V$289</definedName>
    <definedName name="_xlnm._FilterDatabase" localSheetId="7" hidden="1">'Utility Function plus5%'!$A$1:$V$289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298" i="6" l="1"/>
  <c r="AG297" i="6"/>
  <c r="O2" i="3" l="1"/>
  <c r="E8" i="15" l="1"/>
  <c r="G2" i="15" s="1"/>
  <c r="C8" i="15"/>
  <c r="B8" i="15"/>
  <c r="B5" i="15"/>
  <c r="C5" i="15"/>
  <c r="D293" i="14" l="1"/>
  <c r="E292" i="14"/>
  <c r="L291" i="14"/>
  <c r="E291" i="14"/>
  <c r="AH289" i="14"/>
  <c r="AF289" i="14"/>
  <c r="AD289" i="14"/>
  <c r="Y289" i="14"/>
  <c r="K289" i="14"/>
  <c r="M289" i="14" s="1"/>
  <c r="AH288" i="14"/>
  <c r="AF288" i="14"/>
  <c r="AD288" i="14"/>
  <c r="Y288" i="14"/>
  <c r="K288" i="14"/>
  <c r="M288" i="14" s="1"/>
  <c r="B288" i="14"/>
  <c r="AH287" i="14"/>
  <c r="AF287" i="14"/>
  <c r="AD287" i="14"/>
  <c r="Y287" i="14"/>
  <c r="K287" i="14"/>
  <c r="M287" i="14" s="1"/>
  <c r="B287" i="14"/>
  <c r="AH286" i="14"/>
  <c r="AF286" i="14"/>
  <c r="AD286" i="14"/>
  <c r="Y286" i="14"/>
  <c r="K286" i="14"/>
  <c r="M286" i="14" s="1"/>
  <c r="B286" i="14"/>
  <c r="AH285" i="14"/>
  <c r="AF285" i="14"/>
  <c r="AD285" i="14"/>
  <c r="Y285" i="14"/>
  <c r="K285" i="14"/>
  <c r="M285" i="14" s="1"/>
  <c r="B285" i="14"/>
  <c r="AH284" i="14"/>
  <c r="AF284" i="14"/>
  <c r="AD284" i="14"/>
  <c r="Y284" i="14"/>
  <c r="K284" i="14"/>
  <c r="M284" i="14" s="1"/>
  <c r="B284" i="14"/>
  <c r="AH283" i="14"/>
  <c r="AF283" i="14"/>
  <c r="AD283" i="14"/>
  <c r="Y283" i="14"/>
  <c r="K283" i="14"/>
  <c r="M283" i="14" s="1"/>
  <c r="B283" i="14"/>
  <c r="AH282" i="14"/>
  <c r="AF282" i="14"/>
  <c r="AD282" i="14"/>
  <c r="Y282" i="14"/>
  <c r="K282" i="14"/>
  <c r="M282" i="14" s="1"/>
  <c r="C282" i="14"/>
  <c r="B282" i="14"/>
  <c r="AD281" i="14"/>
  <c r="Y281" i="14"/>
  <c r="S281" i="14"/>
  <c r="T281" i="14" s="1"/>
  <c r="U281" i="14" s="1"/>
  <c r="B281" i="14" s="1"/>
  <c r="R281" i="14"/>
  <c r="P281" i="14"/>
  <c r="M281" i="14"/>
  <c r="K281" i="14"/>
  <c r="Q281" i="14" s="1"/>
  <c r="W281" i="14" s="1"/>
  <c r="C281" i="14"/>
  <c r="AD280" i="14"/>
  <c r="Y280" i="14"/>
  <c r="S280" i="14"/>
  <c r="T280" i="14" s="1"/>
  <c r="P280" i="14"/>
  <c r="K280" i="14"/>
  <c r="R280" i="14" s="1"/>
  <c r="C280" i="14"/>
  <c r="AD279" i="14"/>
  <c r="Y279" i="14"/>
  <c r="P279" i="14"/>
  <c r="K279" i="14"/>
  <c r="S279" i="14" s="1"/>
  <c r="C279" i="14"/>
  <c r="AD278" i="14"/>
  <c r="Y278" i="14"/>
  <c r="Q278" i="14"/>
  <c r="AH278" i="14" s="1"/>
  <c r="P278" i="14"/>
  <c r="K278" i="14"/>
  <c r="C278" i="14"/>
  <c r="AD277" i="14"/>
  <c r="Y277" i="14"/>
  <c r="P277" i="14"/>
  <c r="K277" i="14"/>
  <c r="S277" i="14" s="1"/>
  <c r="T277" i="14" s="1"/>
  <c r="C277" i="14"/>
  <c r="AG276" i="14"/>
  <c r="AD276" i="14"/>
  <c r="Y276" i="14"/>
  <c r="S276" i="14"/>
  <c r="T276" i="14" s="1"/>
  <c r="P276" i="14"/>
  <c r="K276" i="14"/>
  <c r="R276" i="14" s="1"/>
  <c r="AH275" i="14"/>
  <c r="AF275" i="14"/>
  <c r="AD275" i="14"/>
  <c r="Y275" i="14"/>
  <c r="K275" i="14"/>
  <c r="M275" i="14" s="1"/>
  <c r="B275" i="14"/>
  <c r="AH274" i="14"/>
  <c r="AF274" i="14"/>
  <c r="AD274" i="14"/>
  <c r="Y274" i="14"/>
  <c r="K274" i="14"/>
  <c r="M274" i="14" s="1"/>
  <c r="B274" i="14"/>
  <c r="AH273" i="14"/>
  <c r="AF273" i="14"/>
  <c r="AD273" i="14"/>
  <c r="Y273" i="14"/>
  <c r="K273" i="14"/>
  <c r="M273" i="14" s="1"/>
  <c r="B273" i="14"/>
  <c r="AH272" i="14"/>
  <c r="AF272" i="14"/>
  <c r="AD272" i="14"/>
  <c r="Y272" i="14"/>
  <c r="K272" i="14"/>
  <c r="M272" i="14" s="1"/>
  <c r="B272" i="14"/>
  <c r="AH271" i="14"/>
  <c r="AF271" i="14"/>
  <c r="AD271" i="14"/>
  <c r="Y271" i="14"/>
  <c r="K271" i="14"/>
  <c r="M271" i="14" s="1"/>
  <c r="B271" i="14"/>
  <c r="AH270" i="14"/>
  <c r="AF270" i="14"/>
  <c r="AD270" i="14"/>
  <c r="Y270" i="14"/>
  <c r="K270" i="14"/>
  <c r="M270" i="14" s="1"/>
  <c r="B270" i="14"/>
  <c r="AH269" i="14"/>
  <c r="AF269" i="14"/>
  <c r="AD269" i="14"/>
  <c r="Y269" i="14"/>
  <c r="K269" i="14"/>
  <c r="M269" i="14" s="1"/>
  <c r="B269" i="14"/>
  <c r="AH268" i="14"/>
  <c r="AF268" i="14"/>
  <c r="AD268" i="14"/>
  <c r="Y268" i="14"/>
  <c r="K268" i="14"/>
  <c r="M268" i="14" s="1"/>
  <c r="B268" i="14"/>
  <c r="AH267" i="14"/>
  <c r="AF267" i="14"/>
  <c r="AD267" i="14"/>
  <c r="Y267" i="14"/>
  <c r="K267" i="14"/>
  <c r="M267" i="14" s="1"/>
  <c r="B267" i="14"/>
  <c r="AH266" i="14"/>
  <c r="AF266" i="14"/>
  <c r="AD266" i="14"/>
  <c r="Y266" i="14"/>
  <c r="K266" i="14"/>
  <c r="M266" i="14" s="1"/>
  <c r="B266" i="14"/>
  <c r="AH265" i="14"/>
  <c r="AF265" i="14"/>
  <c r="AD265" i="14"/>
  <c r="Y265" i="14"/>
  <c r="K265" i="14"/>
  <c r="M265" i="14" s="1"/>
  <c r="B265" i="14"/>
  <c r="AH264" i="14"/>
  <c r="AF264" i="14"/>
  <c r="AD264" i="14"/>
  <c r="Y264" i="14"/>
  <c r="K264" i="14"/>
  <c r="M264" i="14" s="1"/>
  <c r="B264" i="14"/>
  <c r="AH263" i="14"/>
  <c r="AF263" i="14"/>
  <c r="AD263" i="14"/>
  <c r="Y263" i="14"/>
  <c r="K263" i="14"/>
  <c r="M263" i="14" s="1"/>
  <c r="B263" i="14"/>
  <c r="AH262" i="14"/>
  <c r="AF262" i="14"/>
  <c r="AD262" i="14"/>
  <c r="Y262" i="14"/>
  <c r="K262" i="14"/>
  <c r="M262" i="14" s="1"/>
  <c r="B262" i="14"/>
  <c r="AH261" i="14"/>
  <c r="AF261" i="14"/>
  <c r="AD261" i="14"/>
  <c r="Y261" i="14"/>
  <c r="K261" i="14"/>
  <c r="M261" i="14" s="1"/>
  <c r="B261" i="14"/>
  <c r="AH260" i="14"/>
  <c r="AF260" i="14"/>
  <c r="AD260" i="14"/>
  <c r="Y260" i="14"/>
  <c r="K260" i="14"/>
  <c r="M260" i="14" s="1"/>
  <c r="B260" i="14"/>
  <c r="AH259" i="14"/>
  <c r="AF259" i="14"/>
  <c r="AD259" i="14"/>
  <c r="Y259" i="14"/>
  <c r="K259" i="14"/>
  <c r="M259" i="14" s="1"/>
  <c r="B259" i="14"/>
  <c r="AH258" i="14"/>
  <c r="AF258" i="14"/>
  <c r="AD258" i="14"/>
  <c r="Y258" i="14"/>
  <c r="K258" i="14"/>
  <c r="M258" i="14" s="1"/>
  <c r="C258" i="14"/>
  <c r="B258" i="14"/>
  <c r="AD257" i="14"/>
  <c r="Y257" i="14"/>
  <c r="R257" i="14"/>
  <c r="P257" i="14"/>
  <c r="M257" i="14"/>
  <c r="K257" i="14"/>
  <c r="Q257" i="14" s="1"/>
  <c r="W257" i="14" s="1"/>
  <c r="C257" i="14"/>
  <c r="AH256" i="14"/>
  <c r="AD256" i="14"/>
  <c r="Y256" i="14"/>
  <c r="S256" i="14"/>
  <c r="T256" i="14" s="1"/>
  <c r="R256" i="14"/>
  <c r="P256" i="14"/>
  <c r="M256" i="14"/>
  <c r="K256" i="14"/>
  <c r="Q256" i="14" s="1"/>
  <c r="C256" i="14"/>
  <c r="AD255" i="14"/>
  <c r="Y255" i="14"/>
  <c r="S255" i="14"/>
  <c r="T255" i="14" s="1"/>
  <c r="R255" i="14"/>
  <c r="P255" i="14"/>
  <c r="M255" i="14"/>
  <c r="N255" i="14" s="1"/>
  <c r="K255" i="14"/>
  <c r="Q255" i="14" s="1"/>
  <c r="AH255" i="14" s="1"/>
  <c r="C255" i="14"/>
  <c r="AD254" i="14"/>
  <c r="Y254" i="14"/>
  <c r="P254" i="14"/>
  <c r="Q254" i="14" s="1"/>
  <c r="AH254" i="14" s="1"/>
  <c r="K254" i="14"/>
  <c r="C254" i="14"/>
  <c r="AD253" i="14"/>
  <c r="Y253" i="14"/>
  <c r="S253" i="14"/>
  <c r="T253" i="14" s="1"/>
  <c r="P253" i="14"/>
  <c r="K253" i="14"/>
  <c r="R253" i="14" s="1"/>
  <c r="C253" i="14"/>
  <c r="AG252" i="14"/>
  <c r="AD252" i="14"/>
  <c r="Y252" i="14"/>
  <c r="S252" i="14"/>
  <c r="T252" i="14" s="1"/>
  <c r="U252" i="14" s="1"/>
  <c r="B252" i="14" s="1"/>
  <c r="R252" i="14"/>
  <c r="P252" i="14"/>
  <c r="M252" i="14"/>
  <c r="K252" i="14"/>
  <c r="Q252" i="14" s="1"/>
  <c r="W252" i="14" s="1"/>
  <c r="AH251" i="14"/>
  <c r="AF251" i="14"/>
  <c r="AD251" i="14"/>
  <c r="Y251" i="14"/>
  <c r="M251" i="14"/>
  <c r="K251" i="14"/>
  <c r="B251" i="14"/>
  <c r="AH250" i="14"/>
  <c r="AF250" i="14"/>
  <c r="AD250" i="14"/>
  <c r="Y250" i="14"/>
  <c r="M250" i="14"/>
  <c r="N250" i="14" s="1"/>
  <c r="K250" i="14"/>
  <c r="B250" i="14"/>
  <c r="AH249" i="14"/>
  <c r="AF249" i="14"/>
  <c r="AD249" i="14"/>
  <c r="Y249" i="14"/>
  <c r="M249" i="14"/>
  <c r="K249" i="14"/>
  <c r="B249" i="14"/>
  <c r="AH248" i="14"/>
  <c r="AF248" i="14"/>
  <c r="AD248" i="14"/>
  <c r="Y248" i="14"/>
  <c r="M248" i="14"/>
  <c r="N248" i="14" s="1"/>
  <c r="K248" i="14"/>
  <c r="B248" i="14"/>
  <c r="AH247" i="14"/>
  <c r="AF247" i="14"/>
  <c r="AD247" i="14"/>
  <c r="Y247" i="14"/>
  <c r="M247" i="14"/>
  <c r="K247" i="14"/>
  <c r="B247" i="14"/>
  <c r="AH246" i="14"/>
  <c r="AF246" i="14"/>
  <c r="AD246" i="14"/>
  <c r="Y246" i="14"/>
  <c r="M246" i="14"/>
  <c r="N246" i="14" s="1"/>
  <c r="K246" i="14"/>
  <c r="B246" i="14"/>
  <c r="AH245" i="14"/>
  <c r="AF245" i="14"/>
  <c r="AD245" i="14"/>
  <c r="Y245" i="14"/>
  <c r="M245" i="14"/>
  <c r="K245" i="14"/>
  <c r="B245" i="14"/>
  <c r="AH244" i="14"/>
  <c r="AF244" i="14"/>
  <c r="AD244" i="14"/>
  <c r="Y244" i="14"/>
  <c r="M244" i="14"/>
  <c r="N244" i="14" s="1"/>
  <c r="K244" i="14"/>
  <c r="B244" i="14"/>
  <c r="AH243" i="14"/>
  <c r="AF243" i="14"/>
  <c r="AD243" i="14"/>
  <c r="Y243" i="14"/>
  <c r="M243" i="14"/>
  <c r="K243" i="14"/>
  <c r="B243" i="14"/>
  <c r="AH242" i="14"/>
  <c r="AF242" i="14"/>
  <c r="AD242" i="14"/>
  <c r="Y242" i="14"/>
  <c r="M242" i="14"/>
  <c r="N242" i="14" s="1"/>
  <c r="K242" i="14"/>
  <c r="B242" i="14"/>
  <c r="AH241" i="14"/>
  <c r="AF241" i="14"/>
  <c r="AD241" i="14"/>
  <c r="Y241" i="14"/>
  <c r="M241" i="14"/>
  <c r="K241" i="14"/>
  <c r="B241" i="14"/>
  <c r="AH240" i="14"/>
  <c r="AF240" i="14"/>
  <c r="AD240" i="14"/>
  <c r="Y240" i="14"/>
  <c r="M240" i="14"/>
  <c r="N240" i="14" s="1"/>
  <c r="K240" i="14"/>
  <c r="B240" i="14"/>
  <c r="AH239" i="14"/>
  <c r="AF239" i="14"/>
  <c r="AD239" i="14"/>
  <c r="Y239" i="14"/>
  <c r="M239" i="14"/>
  <c r="K239" i="14"/>
  <c r="B239" i="14"/>
  <c r="AH238" i="14"/>
  <c r="AF238" i="14"/>
  <c r="AD238" i="14"/>
  <c r="Y238" i="14"/>
  <c r="M238" i="14"/>
  <c r="N238" i="14" s="1"/>
  <c r="K238" i="14"/>
  <c r="B238" i="14"/>
  <c r="AH237" i="14"/>
  <c r="AF237" i="14"/>
  <c r="AD237" i="14"/>
  <c r="Y237" i="14"/>
  <c r="M237" i="14"/>
  <c r="K237" i="14"/>
  <c r="B237" i="14"/>
  <c r="AH236" i="14"/>
  <c r="AF236" i="14"/>
  <c r="AD236" i="14"/>
  <c r="Y236" i="14"/>
  <c r="K236" i="14"/>
  <c r="M236" i="14" s="1"/>
  <c r="B236" i="14"/>
  <c r="AH235" i="14"/>
  <c r="AF235" i="14"/>
  <c r="AD235" i="14"/>
  <c r="Y235" i="14"/>
  <c r="K235" i="14"/>
  <c r="M235" i="14" s="1"/>
  <c r="C235" i="14"/>
  <c r="B235" i="14"/>
  <c r="AD234" i="14"/>
  <c r="Y234" i="14"/>
  <c r="P234" i="14"/>
  <c r="K234" i="14"/>
  <c r="S234" i="14" s="1"/>
  <c r="T234" i="14" s="1"/>
  <c r="C234" i="14"/>
  <c r="AD233" i="14"/>
  <c r="Y233" i="14"/>
  <c r="S233" i="14"/>
  <c r="T233" i="14" s="1"/>
  <c r="R233" i="14"/>
  <c r="P233" i="14"/>
  <c r="N233" i="14"/>
  <c r="M233" i="14"/>
  <c r="K233" i="14"/>
  <c r="Q233" i="14" s="1"/>
  <c r="W233" i="14" s="1"/>
  <c r="C233" i="14"/>
  <c r="AD232" i="14"/>
  <c r="Y232" i="14"/>
  <c r="S232" i="14"/>
  <c r="P232" i="14"/>
  <c r="T232" i="14" s="1"/>
  <c r="K232" i="14"/>
  <c r="R232" i="14" s="1"/>
  <c r="C232" i="14"/>
  <c r="AD231" i="14"/>
  <c r="Y231" i="14"/>
  <c r="P231" i="14"/>
  <c r="K231" i="14"/>
  <c r="S231" i="14" s="1"/>
  <c r="T231" i="14" s="1"/>
  <c r="C231" i="14"/>
  <c r="AD230" i="14"/>
  <c r="Y230" i="14"/>
  <c r="R230" i="14"/>
  <c r="P230" i="14"/>
  <c r="M230" i="14"/>
  <c r="K230" i="14"/>
  <c r="Q230" i="14" s="1"/>
  <c r="AH230" i="14" s="1"/>
  <c r="C230" i="14"/>
  <c r="AD229" i="14"/>
  <c r="Y229" i="14"/>
  <c r="S229" i="14"/>
  <c r="T229" i="14" s="1"/>
  <c r="R229" i="14"/>
  <c r="P229" i="14"/>
  <c r="N229" i="14"/>
  <c r="M229" i="14"/>
  <c r="K229" i="14"/>
  <c r="Q229" i="14" s="1"/>
  <c r="AH229" i="14" s="1"/>
  <c r="C229" i="14"/>
  <c r="AD228" i="14"/>
  <c r="Y228" i="14"/>
  <c r="S228" i="14"/>
  <c r="P228" i="14"/>
  <c r="K228" i="14"/>
  <c r="R228" i="14" s="1"/>
  <c r="C228" i="14"/>
  <c r="AG227" i="14"/>
  <c r="AD227" i="14"/>
  <c r="Y227" i="14"/>
  <c r="P227" i="14"/>
  <c r="K227" i="14"/>
  <c r="R227" i="14" s="1"/>
  <c r="AH226" i="14"/>
  <c r="AF226" i="14"/>
  <c r="AD226" i="14"/>
  <c r="Y226" i="14"/>
  <c r="K226" i="14"/>
  <c r="M226" i="14" s="1"/>
  <c r="B226" i="14"/>
  <c r="AH225" i="14"/>
  <c r="AF225" i="14"/>
  <c r="AD225" i="14"/>
  <c r="Y225" i="14"/>
  <c r="K225" i="14"/>
  <c r="M225" i="14" s="1"/>
  <c r="B225" i="14"/>
  <c r="AH224" i="14"/>
  <c r="AF224" i="14"/>
  <c r="AD224" i="14"/>
  <c r="Y224" i="14"/>
  <c r="K224" i="14"/>
  <c r="M224" i="14" s="1"/>
  <c r="B224" i="14"/>
  <c r="AH223" i="14"/>
  <c r="AF223" i="14"/>
  <c r="AD223" i="14"/>
  <c r="Y223" i="14"/>
  <c r="K223" i="14"/>
  <c r="M223" i="14" s="1"/>
  <c r="B223" i="14"/>
  <c r="AH222" i="14"/>
  <c r="AF222" i="14"/>
  <c r="AD222" i="14"/>
  <c r="Y222" i="14"/>
  <c r="K222" i="14"/>
  <c r="M222" i="14" s="1"/>
  <c r="B222" i="14"/>
  <c r="AH221" i="14"/>
  <c r="AF221" i="14"/>
  <c r="AD221" i="14"/>
  <c r="Y221" i="14"/>
  <c r="K221" i="14"/>
  <c r="M221" i="14" s="1"/>
  <c r="B221" i="14"/>
  <c r="AH220" i="14"/>
  <c r="AF220" i="14"/>
  <c r="AD220" i="14"/>
  <c r="Y220" i="14"/>
  <c r="K220" i="14"/>
  <c r="M220" i="14" s="1"/>
  <c r="B220" i="14"/>
  <c r="AH219" i="14"/>
  <c r="AF219" i="14"/>
  <c r="AD219" i="14"/>
  <c r="Y219" i="14"/>
  <c r="K219" i="14"/>
  <c r="M219" i="14" s="1"/>
  <c r="B219" i="14"/>
  <c r="AH218" i="14"/>
  <c r="AF218" i="14"/>
  <c r="AD218" i="14"/>
  <c r="Y218" i="14"/>
  <c r="K218" i="14"/>
  <c r="M218" i="14" s="1"/>
  <c r="B218" i="14"/>
  <c r="AH217" i="14"/>
  <c r="AF217" i="14"/>
  <c r="AD217" i="14"/>
  <c r="Y217" i="14"/>
  <c r="K217" i="14"/>
  <c r="M217" i="14" s="1"/>
  <c r="B217" i="14"/>
  <c r="AH216" i="14"/>
  <c r="AF216" i="14"/>
  <c r="AD216" i="14"/>
  <c r="Y216" i="14"/>
  <c r="K216" i="14"/>
  <c r="M216" i="14" s="1"/>
  <c r="B216" i="14"/>
  <c r="AH215" i="14"/>
  <c r="AF215" i="14"/>
  <c r="AD215" i="14"/>
  <c r="Y215" i="14"/>
  <c r="K215" i="14"/>
  <c r="M215" i="14" s="1"/>
  <c r="B215" i="14"/>
  <c r="AH214" i="14"/>
  <c r="AF214" i="14"/>
  <c r="AD214" i="14"/>
  <c r="Y214" i="14"/>
  <c r="K214" i="14"/>
  <c r="M214" i="14" s="1"/>
  <c r="B214" i="14"/>
  <c r="AH213" i="14"/>
  <c r="AF213" i="14"/>
  <c r="AD213" i="14"/>
  <c r="Y213" i="14"/>
  <c r="K213" i="14"/>
  <c r="M213" i="14" s="1"/>
  <c r="B213" i="14"/>
  <c r="AH212" i="14"/>
  <c r="AF212" i="14"/>
  <c r="AD212" i="14"/>
  <c r="Y212" i="14"/>
  <c r="K212" i="14"/>
  <c r="M212" i="14" s="1"/>
  <c r="C212" i="14"/>
  <c r="B212" i="14"/>
  <c r="AD211" i="14"/>
  <c r="Y211" i="14"/>
  <c r="S211" i="14"/>
  <c r="T211" i="14" s="1"/>
  <c r="P211" i="14"/>
  <c r="K211" i="14"/>
  <c r="R211" i="14" s="1"/>
  <c r="C211" i="14"/>
  <c r="AD210" i="14"/>
  <c r="Y210" i="14"/>
  <c r="S210" i="14"/>
  <c r="T210" i="14" s="1"/>
  <c r="R210" i="14"/>
  <c r="P210" i="14"/>
  <c r="M210" i="14"/>
  <c r="K210" i="14"/>
  <c r="Q210" i="14" s="1"/>
  <c r="W210" i="14" s="1"/>
  <c r="C210" i="14"/>
  <c r="AD209" i="14"/>
  <c r="Y209" i="14"/>
  <c r="P209" i="14"/>
  <c r="K209" i="14"/>
  <c r="S209" i="14" s="1"/>
  <c r="T209" i="14" s="1"/>
  <c r="C209" i="14"/>
  <c r="AD208" i="14"/>
  <c r="Y208" i="14"/>
  <c r="S208" i="14"/>
  <c r="T208" i="14" s="1"/>
  <c r="R208" i="14"/>
  <c r="P208" i="14"/>
  <c r="M208" i="14"/>
  <c r="K208" i="14"/>
  <c r="Q208" i="14" s="1"/>
  <c r="AH208" i="14" s="1"/>
  <c r="C208" i="14"/>
  <c r="AD207" i="14"/>
  <c r="Y207" i="14"/>
  <c r="S207" i="14"/>
  <c r="T207" i="14" s="1"/>
  <c r="R207" i="14"/>
  <c r="P207" i="14"/>
  <c r="N207" i="14"/>
  <c r="M207" i="14"/>
  <c r="K207" i="14"/>
  <c r="Q207" i="14" s="1"/>
  <c r="AH207" i="14" s="1"/>
  <c r="C207" i="14"/>
  <c r="AD206" i="14"/>
  <c r="Y206" i="14"/>
  <c r="P206" i="14"/>
  <c r="K206" i="14"/>
  <c r="S206" i="14" s="1"/>
  <c r="T206" i="14" s="1"/>
  <c r="C206" i="14"/>
  <c r="AD205" i="14"/>
  <c r="Y205" i="14"/>
  <c r="P205" i="14"/>
  <c r="K205" i="14"/>
  <c r="S205" i="14" s="1"/>
  <c r="T205" i="14" s="1"/>
  <c r="C205" i="14"/>
  <c r="AD204" i="14"/>
  <c r="Y204" i="14"/>
  <c r="S204" i="14"/>
  <c r="T204" i="14" s="1"/>
  <c r="R204" i="14"/>
  <c r="P204" i="14"/>
  <c r="M204" i="14"/>
  <c r="K204" i="14"/>
  <c r="Q204" i="14" s="1"/>
  <c r="AH204" i="14" s="1"/>
  <c r="C204" i="14"/>
  <c r="AG203" i="14"/>
  <c r="AD203" i="14"/>
  <c r="Y203" i="14"/>
  <c r="P203" i="14"/>
  <c r="K203" i="14"/>
  <c r="S203" i="14" s="1"/>
  <c r="T203" i="14" s="1"/>
  <c r="AH202" i="14"/>
  <c r="AF202" i="14"/>
  <c r="AD202" i="14"/>
  <c r="Y202" i="14"/>
  <c r="K202" i="14"/>
  <c r="M202" i="14" s="1"/>
  <c r="B202" i="14"/>
  <c r="AH201" i="14"/>
  <c r="AF201" i="14"/>
  <c r="AD201" i="14"/>
  <c r="Y201" i="14"/>
  <c r="K201" i="14"/>
  <c r="M201" i="14" s="1"/>
  <c r="B201" i="14"/>
  <c r="AH200" i="14"/>
  <c r="AF200" i="14"/>
  <c r="AD200" i="14"/>
  <c r="Y200" i="14"/>
  <c r="K200" i="14"/>
  <c r="M200" i="14" s="1"/>
  <c r="B200" i="14"/>
  <c r="AH199" i="14"/>
  <c r="AF199" i="14"/>
  <c r="AD199" i="14"/>
  <c r="Y199" i="14"/>
  <c r="K199" i="14"/>
  <c r="M199" i="14" s="1"/>
  <c r="B199" i="14"/>
  <c r="AH198" i="14"/>
  <c r="AF198" i="14"/>
  <c r="AD198" i="14"/>
  <c r="Y198" i="14"/>
  <c r="K198" i="14"/>
  <c r="M198" i="14" s="1"/>
  <c r="B198" i="14"/>
  <c r="AH197" i="14"/>
  <c r="AF197" i="14"/>
  <c r="AD197" i="14"/>
  <c r="Y197" i="14"/>
  <c r="K197" i="14"/>
  <c r="M197" i="14" s="1"/>
  <c r="B197" i="14"/>
  <c r="AH196" i="14"/>
  <c r="AF196" i="14"/>
  <c r="AD196" i="14"/>
  <c r="Y196" i="14"/>
  <c r="K196" i="14"/>
  <c r="M196" i="14" s="1"/>
  <c r="B196" i="14"/>
  <c r="AH195" i="14"/>
  <c r="AF195" i="14"/>
  <c r="AD195" i="14"/>
  <c r="Y195" i="14"/>
  <c r="K195" i="14"/>
  <c r="M195" i="14" s="1"/>
  <c r="B195" i="14"/>
  <c r="AH194" i="14"/>
  <c r="AF194" i="14"/>
  <c r="AD194" i="14"/>
  <c r="Y194" i="14"/>
  <c r="K194" i="14"/>
  <c r="M194" i="14" s="1"/>
  <c r="B194" i="14"/>
  <c r="AH193" i="14"/>
  <c r="AF193" i="14"/>
  <c r="AD193" i="14"/>
  <c r="Y193" i="14"/>
  <c r="K193" i="14"/>
  <c r="M193" i="14" s="1"/>
  <c r="B193" i="14"/>
  <c r="AH192" i="14"/>
  <c r="AF192" i="14"/>
  <c r="AD192" i="14"/>
  <c r="Y192" i="14"/>
  <c r="K192" i="14"/>
  <c r="M192" i="14" s="1"/>
  <c r="B192" i="14"/>
  <c r="AH191" i="14"/>
  <c r="AF191" i="14"/>
  <c r="AD191" i="14"/>
  <c r="Y191" i="14"/>
  <c r="K191" i="14"/>
  <c r="M191" i="14" s="1"/>
  <c r="B191" i="14"/>
  <c r="AH190" i="14"/>
  <c r="AF190" i="14"/>
  <c r="AD190" i="14"/>
  <c r="Y190" i="14"/>
  <c r="K190" i="14"/>
  <c r="M190" i="14" s="1"/>
  <c r="C190" i="14"/>
  <c r="B190" i="14"/>
  <c r="AD189" i="14"/>
  <c r="Y189" i="14"/>
  <c r="P189" i="14"/>
  <c r="K189" i="14"/>
  <c r="S189" i="14" s="1"/>
  <c r="T189" i="14" s="1"/>
  <c r="C189" i="14"/>
  <c r="AD188" i="14"/>
  <c r="Y188" i="14"/>
  <c r="S188" i="14"/>
  <c r="T188" i="14" s="1"/>
  <c r="P188" i="14"/>
  <c r="K188" i="14"/>
  <c r="R188" i="14" s="1"/>
  <c r="C188" i="14"/>
  <c r="AD187" i="14"/>
  <c r="Y187" i="14"/>
  <c r="S187" i="14"/>
  <c r="T187" i="14" s="1"/>
  <c r="R187" i="14"/>
  <c r="P187" i="14"/>
  <c r="M187" i="14"/>
  <c r="K187" i="14"/>
  <c r="Q187" i="14" s="1"/>
  <c r="W187" i="14" s="1"/>
  <c r="C187" i="14"/>
  <c r="AD186" i="14"/>
  <c r="Y186" i="14"/>
  <c r="P186" i="14"/>
  <c r="K186" i="14"/>
  <c r="S186" i="14" s="1"/>
  <c r="T186" i="14" s="1"/>
  <c r="C186" i="14"/>
  <c r="AD185" i="14"/>
  <c r="Y185" i="14"/>
  <c r="S185" i="14"/>
  <c r="T185" i="14" s="1"/>
  <c r="R185" i="14"/>
  <c r="P185" i="14"/>
  <c r="M185" i="14"/>
  <c r="K185" i="14"/>
  <c r="Q185" i="14" s="1"/>
  <c r="AH185" i="14" s="1"/>
  <c r="C185" i="14"/>
  <c r="AD184" i="14"/>
  <c r="Y184" i="14"/>
  <c r="S184" i="14"/>
  <c r="T184" i="14" s="1"/>
  <c r="P184" i="14"/>
  <c r="K184" i="14"/>
  <c r="R184" i="14" s="1"/>
  <c r="C184" i="14"/>
  <c r="AD183" i="14"/>
  <c r="Y183" i="14"/>
  <c r="P183" i="14"/>
  <c r="K183" i="14"/>
  <c r="S183" i="14" s="1"/>
  <c r="T183" i="14" s="1"/>
  <c r="C183" i="14"/>
  <c r="AD182" i="14"/>
  <c r="Y182" i="14"/>
  <c r="R182" i="14"/>
  <c r="P182" i="14"/>
  <c r="M182" i="14"/>
  <c r="K182" i="14"/>
  <c r="S182" i="14" s="1"/>
  <c r="T182" i="14" s="1"/>
  <c r="C182" i="14"/>
  <c r="AD181" i="14"/>
  <c r="Y181" i="14"/>
  <c r="S181" i="14"/>
  <c r="T181" i="14" s="1"/>
  <c r="R181" i="14"/>
  <c r="P181" i="14"/>
  <c r="N181" i="14"/>
  <c r="M181" i="14"/>
  <c r="K181" i="14"/>
  <c r="Q181" i="14" s="1"/>
  <c r="AH181" i="14" s="1"/>
  <c r="C181" i="14"/>
  <c r="AD180" i="14"/>
  <c r="Y180" i="14"/>
  <c r="S180" i="14"/>
  <c r="R180" i="14"/>
  <c r="P180" i="14"/>
  <c r="N180" i="14"/>
  <c r="M180" i="14"/>
  <c r="K180" i="14"/>
  <c r="Q180" i="14" s="1"/>
  <c r="AH180" i="14" s="1"/>
  <c r="C180" i="14"/>
  <c r="AD179" i="14"/>
  <c r="Y179" i="14"/>
  <c r="S179" i="14"/>
  <c r="T179" i="14" s="1"/>
  <c r="R179" i="14"/>
  <c r="P179" i="14"/>
  <c r="N179" i="14"/>
  <c r="M179" i="14"/>
  <c r="K179" i="14"/>
  <c r="Q179" i="14" s="1"/>
  <c r="W179" i="14" s="1"/>
  <c r="C179" i="14"/>
  <c r="AG178" i="14"/>
  <c r="AD178" i="14"/>
  <c r="Y178" i="14"/>
  <c r="R178" i="14"/>
  <c r="P178" i="14"/>
  <c r="M178" i="14"/>
  <c r="K178" i="14"/>
  <c r="S178" i="14" s="1"/>
  <c r="T178" i="14" s="1"/>
  <c r="AH177" i="14"/>
  <c r="AF177" i="14"/>
  <c r="AD177" i="14"/>
  <c r="Y177" i="14"/>
  <c r="M177" i="14"/>
  <c r="N177" i="14" s="1"/>
  <c r="K177" i="14"/>
  <c r="B177" i="14"/>
  <c r="AH176" i="14"/>
  <c r="AF176" i="14"/>
  <c r="AD176" i="14"/>
  <c r="Y176" i="14"/>
  <c r="M176" i="14"/>
  <c r="N176" i="14" s="1"/>
  <c r="K176" i="14"/>
  <c r="B176" i="14"/>
  <c r="AH175" i="14"/>
  <c r="AF175" i="14"/>
  <c r="AD175" i="14"/>
  <c r="Y175" i="14"/>
  <c r="K175" i="14"/>
  <c r="M175" i="14" s="1"/>
  <c r="B175" i="14"/>
  <c r="AH174" i="14"/>
  <c r="AF174" i="14"/>
  <c r="AD174" i="14"/>
  <c r="Y174" i="14"/>
  <c r="K174" i="14"/>
  <c r="M174" i="14" s="1"/>
  <c r="B174" i="14"/>
  <c r="AH173" i="14"/>
  <c r="AF173" i="14"/>
  <c r="AD173" i="14"/>
  <c r="Y173" i="14"/>
  <c r="K173" i="14"/>
  <c r="M173" i="14" s="1"/>
  <c r="B173" i="14"/>
  <c r="AH172" i="14"/>
  <c r="AF172" i="14"/>
  <c r="AD172" i="14"/>
  <c r="Y172" i="14"/>
  <c r="K172" i="14"/>
  <c r="M172" i="14" s="1"/>
  <c r="B172" i="14"/>
  <c r="AH171" i="14"/>
  <c r="AF171" i="14"/>
  <c r="AD171" i="14"/>
  <c r="Y171" i="14"/>
  <c r="K171" i="14"/>
  <c r="M171" i="14" s="1"/>
  <c r="B171" i="14"/>
  <c r="AH170" i="14"/>
  <c r="AF170" i="14"/>
  <c r="AD170" i="14"/>
  <c r="Y170" i="14"/>
  <c r="K170" i="14"/>
  <c r="M170" i="14" s="1"/>
  <c r="B170" i="14"/>
  <c r="AH169" i="14"/>
  <c r="AF169" i="14"/>
  <c r="AD169" i="14"/>
  <c r="Y169" i="14"/>
  <c r="K169" i="14"/>
  <c r="M169" i="14" s="1"/>
  <c r="B169" i="14"/>
  <c r="AH168" i="14"/>
  <c r="AF168" i="14"/>
  <c r="AD168" i="14"/>
  <c r="Y168" i="14"/>
  <c r="K168" i="14"/>
  <c r="M168" i="14" s="1"/>
  <c r="B168" i="14"/>
  <c r="AH167" i="14"/>
  <c r="AF167" i="14"/>
  <c r="AD167" i="14"/>
  <c r="Y167" i="14"/>
  <c r="K167" i="14"/>
  <c r="M167" i="14" s="1"/>
  <c r="B167" i="14"/>
  <c r="AH166" i="14"/>
  <c r="AF166" i="14"/>
  <c r="AD166" i="14"/>
  <c r="Y166" i="14"/>
  <c r="K166" i="14"/>
  <c r="M166" i="14" s="1"/>
  <c r="C166" i="14"/>
  <c r="B166" i="14"/>
  <c r="AD165" i="14"/>
  <c r="Y165" i="14"/>
  <c r="P165" i="14"/>
  <c r="K165" i="14"/>
  <c r="S165" i="14" s="1"/>
  <c r="T165" i="14" s="1"/>
  <c r="C165" i="14"/>
  <c r="AD164" i="14"/>
  <c r="Y164" i="14"/>
  <c r="S164" i="14"/>
  <c r="T164" i="14" s="1"/>
  <c r="P164" i="14"/>
  <c r="K164" i="14"/>
  <c r="R164" i="14" s="1"/>
  <c r="C164" i="14"/>
  <c r="AD163" i="14"/>
  <c r="Y163" i="14"/>
  <c r="S163" i="14"/>
  <c r="T163" i="14" s="1"/>
  <c r="R163" i="14"/>
  <c r="P163" i="14"/>
  <c r="M163" i="14"/>
  <c r="K163" i="14"/>
  <c r="Q163" i="14" s="1"/>
  <c r="W163" i="14" s="1"/>
  <c r="C163" i="14"/>
  <c r="AD162" i="14"/>
  <c r="Y162" i="14"/>
  <c r="P162" i="14"/>
  <c r="K162" i="14"/>
  <c r="S162" i="14" s="1"/>
  <c r="T162" i="14" s="1"/>
  <c r="C162" i="14"/>
  <c r="AD161" i="14"/>
  <c r="Y161" i="14"/>
  <c r="S161" i="14"/>
  <c r="T161" i="14" s="1"/>
  <c r="R161" i="14"/>
  <c r="P161" i="14"/>
  <c r="M161" i="14"/>
  <c r="K161" i="14"/>
  <c r="Q161" i="14" s="1"/>
  <c r="AH161" i="14" s="1"/>
  <c r="C161" i="14"/>
  <c r="AD160" i="14"/>
  <c r="Y160" i="14"/>
  <c r="P160" i="14"/>
  <c r="K160" i="14"/>
  <c r="R160" i="14" s="1"/>
  <c r="C160" i="14"/>
  <c r="AD159" i="14"/>
  <c r="Y159" i="14"/>
  <c r="R159" i="14"/>
  <c r="P159" i="14"/>
  <c r="M159" i="14"/>
  <c r="K159" i="14"/>
  <c r="S159" i="14" s="1"/>
  <c r="T159" i="14" s="1"/>
  <c r="C159" i="14"/>
  <c r="AD158" i="14"/>
  <c r="Y158" i="14"/>
  <c r="S158" i="14"/>
  <c r="T158" i="14" s="1"/>
  <c r="R158" i="14"/>
  <c r="P158" i="14"/>
  <c r="N158" i="14"/>
  <c r="M158" i="14"/>
  <c r="K158" i="14"/>
  <c r="Q158" i="14" s="1"/>
  <c r="AH158" i="14" s="1"/>
  <c r="C158" i="14"/>
  <c r="AD157" i="14"/>
  <c r="Y157" i="14"/>
  <c r="T157" i="14"/>
  <c r="S157" i="14"/>
  <c r="P157" i="14"/>
  <c r="K157" i="14"/>
  <c r="Q157" i="14" s="1"/>
  <c r="AH157" i="14" s="1"/>
  <c r="C157" i="14"/>
  <c r="AD156" i="14"/>
  <c r="Y156" i="14"/>
  <c r="T156" i="14"/>
  <c r="U156" i="14" s="1"/>
  <c r="P156" i="14"/>
  <c r="K156" i="14"/>
  <c r="S156" i="14" s="1"/>
  <c r="C156" i="14"/>
  <c r="AD155" i="14"/>
  <c r="Y155" i="14"/>
  <c r="R155" i="14"/>
  <c r="P155" i="14"/>
  <c r="M155" i="14"/>
  <c r="K155" i="14"/>
  <c r="S155" i="14" s="1"/>
  <c r="T155" i="14" s="1"/>
  <c r="C155" i="14"/>
  <c r="AG154" i="14"/>
  <c r="AD154" i="14"/>
  <c r="Y154" i="14"/>
  <c r="S154" i="14"/>
  <c r="T154" i="14" s="1"/>
  <c r="P154" i="14"/>
  <c r="K154" i="14"/>
  <c r="R154" i="14" s="1"/>
  <c r="AH153" i="14"/>
  <c r="AF153" i="14"/>
  <c r="AD153" i="14"/>
  <c r="Y153" i="14"/>
  <c r="K153" i="14"/>
  <c r="M153" i="14" s="1"/>
  <c r="B153" i="14"/>
  <c r="AH152" i="14"/>
  <c r="AF152" i="14"/>
  <c r="AD152" i="14"/>
  <c r="Y152" i="14"/>
  <c r="K152" i="14"/>
  <c r="M152" i="14" s="1"/>
  <c r="B152" i="14"/>
  <c r="AH151" i="14"/>
  <c r="AF151" i="14"/>
  <c r="AD151" i="14"/>
  <c r="Y151" i="14"/>
  <c r="K151" i="14"/>
  <c r="M151" i="14" s="1"/>
  <c r="B151" i="14"/>
  <c r="AH150" i="14"/>
  <c r="AF150" i="14"/>
  <c r="AD150" i="14"/>
  <c r="Y150" i="14"/>
  <c r="K150" i="14"/>
  <c r="M150" i="14" s="1"/>
  <c r="B150" i="14"/>
  <c r="AH149" i="14"/>
  <c r="AF149" i="14"/>
  <c r="AD149" i="14"/>
  <c r="Y149" i="14"/>
  <c r="K149" i="14"/>
  <c r="M149" i="14" s="1"/>
  <c r="B149" i="14"/>
  <c r="AH148" i="14"/>
  <c r="AF148" i="14"/>
  <c r="AD148" i="14"/>
  <c r="Y148" i="14"/>
  <c r="K148" i="14"/>
  <c r="M148" i="14" s="1"/>
  <c r="B148" i="14"/>
  <c r="AH147" i="14"/>
  <c r="AF147" i="14"/>
  <c r="AD147" i="14"/>
  <c r="Y147" i="14"/>
  <c r="K147" i="14"/>
  <c r="M147" i="14" s="1"/>
  <c r="B147" i="14"/>
  <c r="AH146" i="14"/>
  <c r="AF146" i="14"/>
  <c r="AD146" i="14"/>
  <c r="Y146" i="14"/>
  <c r="K146" i="14"/>
  <c r="M146" i="14" s="1"/>
  <c r="B146" i="14"/>
  <c r="AH145" i="14"/>
  <c r="AF145" i="14"/>
  <c r="AD145" i="14"/>
  <c r="Y145" i="14"/>
  <c r="K145" i="14"/>
  <c r="M145" i="14" s="1"/>
  <c r="B145" i="14"/>
  <c r="AH144" i="14"/>
  <c r="AF144" i="14"/>
  <c r="AD144" i="14"/>
  <c r="Y144" i="14"/>
  <c r="K144" i="14"/>
  <c r="M144" i="14" s="1"/>
  <c r="B144" i="14"/>
  <c r="AH143" i="14"/>
  <c r="AF143" i="14"/>
  <c r="AD143" i="14"/>
  <c r="Y143" i="14"/>
  <c r="K143" i="14"/>
  <c r="M143" i="14" s="1"/>
  <c r="B143" i="14"/>
  <c r="AH142" i="14"/>
  <c r="AF142" i="14"/>
  <c r="AD142" i="14"/>
  <c r="Y142" i="14"/>
  <c r="K142" i="14"/>
  <c r="M142" i="14" s="1"/>
  <c r="B142" i="14"/>
  <c r="AH141" i="14"/>
  <c r="AF141" i="14"/>
  <c r="AD141" i="14"/>
  <c r="Y141" i="14"/>
  <c r="K141" i="14"/>
  <c r="M141" i="14" s="1"/>
  <c r="C141" i="14"/>
  <c r="B141" i="14"/>
  <c r="AD140" i="14"/>
  <c r="Y140" i="14"/>
  <c r="W140" i="14"/>
  <c r="S140" i="14"/>
  <c r="R140" i="14"/>
  <c r="P140" i="14"/>
  <c r="M140" i="14"/>
  <c r="K140" i="14"/>
  <c r="Q140" i="14" s="1"/>
  <c r="C140" i="14"/>
  <c r="AD139" i="14"/>
  <c r="Y139" i="14"/>
  <c r="P139" i="14"/>
  <c r="K139" i="14"/>
  <c r="C139" i="14"/>
  <c r="AD138" i="14"/>
  <c r="Y138" i="14"/>
  <c r="R138" i="14"/>
  <c r="P138" i="14"/>
  <c r="M138" i="14"/>
  <c r="N138" i="14" s="1"/>
  <c r="K138" i="14"/>
  <c r="S138" i="14" s="1"/>
  <c r="T138" i="14" s="1"/>
  <c r="C138" i="14"/>
  <c r="AD137" i="14"/>
  <c r="Y137" i="14"/>
  <c r="Q137" i="14"/>
  <c r="AH137" i="14" s="1"/>
  <c r="P137" i="14"/>
  <c r="K137" i="14"/>
  <c r="C137" i="14"/>
  <c r="AH136" i="14"/>
  <c r="AD136" i="14"/>
  <c r="Y136" i="14"/>
  <c r="S136" i="14"/>
  <c r="R136" i="14"/>
  <c r="P136" i="14"/>
  <c r="M136" i="14"/>
  <c r="K136" i="14"/>
  <c r="Q136" i="14" s="1"/>
  <c r="C136" i="14"/>
  <c r="AD135" i="14"/>
  <c r="Y135" i="14"/>
  <c r="S135" i="14"/>
  <c r="T135" i="14" s="1"/>
  <c r="P135" i="14"/>
  <c r="K135" i="14"/>
  <c r="R135" i="14" s="1"/>
  <c r="C135" i="14"/>
  <c r="AD134" i="14"/>
  <c r="Y134" i="14"/>
  <c r="R134" i="14"/>
  <c r="P134" i="14"/>
  <c r="M134" i="14"/>
  <c r="K134" i="14"/>
  <c r="S134" i="14" s="1"/>
  <c r="T134" i="14" s="1"/>
  <c r="C134" i="14"/>
  <c r="AD133" i="14"/>
  <c r="Y133" i="14"/>
  <c r="Q133" i="14"/>
  <c r="AH133" i="14" s="1"/>
  <c r="P133" i="14"/>
  <c r="K133" i="14"/>
  <c r="C133" i="14"/>
  <c r="AD132" i="14"/>
  <c r="Y132" i="14"/>
  <c r="S132" i="14"/>
  <c r="R132" i="14"/>
  <c r="P132" i="14"/>
  <c r="M132" i="14"/>
  <c r="K132" i="14"/>
  <c r="Q132" i="14" s="1"/>
  <c r="AH132" i="14" s="1"/>
  <c r="C132" i="14"/>
  <c r="AD131" i="14"/>
  <c r="Y131" i="14"/>
  <c r="S131" i="14"/>
  <c r="T131" i="14" s="1"/>
  <c r="P131" i="14"/>
  <c r="K131" i="14"/>
  <c r="R131" i="14" s="1"/>
  <c r="C131" i="14"/>
  <c r="AG130" i="14"/>
  <c r="AD130" i="14"/>
  <c r="Y130" i="14"/>
  <c r="S130" i="14"/>
  <c r="R130" i="14"/>
  <c r="P130" i="14"/>
  <c r="T130" i="14" s="1"/>
  <c r="U130" i="14" s="1"/>
  <c r="B130" i="14" s="1"/>
  <c r="M130" i="14"/>
  <c r="K130" i="14"/>
  <c r="Q130" i="14" s="1"/>
  <c r="AH129" i="14"/>
  <c r="AF129" i="14"/>
  <c r="AD129" i="14"/>
  <c r="Y129" i="14"/>
  <c r="M129" i="14"/>
  <c r="N129" i="14" s="1"/>
  <c r="K129" i="14"/>
  <c r="B129" i="14"/>
  <c r="AH128" i="14"/>
  <c r="AF128" i="14"/>
  <c r="AD128" i="14"/>
  <c r="Y128" i="14"/>
  <c r="M128" i="14"/>
  <c r="N128" i="14" s="1"/>
  <c r="K128" i="14"/>
  <c r="B128" i="14"/>
  <c r="AH127" i="14"/>
  <c r="AF127" i="14"/>
  <c r="AD127" i="14"/>
  <c r="Y127" i="14"/>
  <c r="M127" i="14"/>
  <c r="N127" i="14" s="1"/>
  <c r="K127" i="14"/>
  <c r="B127" i="14"/>
  <c r="AH126" i="14"/>
  <c r="AF126" i="14"/>
  <c r="AD126" i="14"/>
  <c r="Y126" i="14"/>
  <c r="M126" i="14"/>
  <c r="N126" i="14" s="1"/>
  <c r="K126" i="14"/>
  <c r="B126" i="14"/>
  <c r="AH125" i="14"/>
  <c r="AF125" i="14"/>
  <c r="AD125" i="14"/>
  <c r="Y125" i="14"/>
  <c r="M125" i="14"/>
  <c r="N125" i="14" s="1"/>
  <c r="K125" i="14"/>
  <c r="B125" i="14"/>
  <c r="AH124" i="14"/>
  <c r="AF124" i="14"/>
  <c r="AD124" i="14"/>
  <c r="Y124" i="14"/>
  <c r="M124" i="14"/>
  <c r="N124" i="14" s="1"/>
  <c r="K124" i="14"/>
  <c r="B124" i="14"/>
  <c r="AH123" i="14"/>
  <c r="AF123" i="14"/>
  <c r="AD123" i="14"/>
  <c r="Y123" i="14"/>
  <c r="M123" i="14"/>
  <c r="N123" i="14" s="1"/>
  <c r="K123" i="14"/>
  <c r="B123" i="14"/>
  <c r="AH122" i="14"/>
  <c r="AF122" i="14"/>
  <c r="AD122" i="14"/>
  <c r="Y122" i="14"/>
  <c r="M122" i="14"/>
  <c r="N122" i="14" s="1"/>
  <c r="K122" i="14"/>
  <c r="B122" i="14"/>
  <c r="AH121" i="14"/>
  <c r="AF121" i="14"/>
  <c r="AD121" i="14"/>
  <c r="Y121" i="14"/>
  <c r="M121" i="14"/>
  <c r="N121" i="14" s="1"/>
  <c r="K121" i="14"/>
  <c r="B121" i="14"/>
  <c r="AH120" i="14"/>
  <c r="AF120" i="14"/>
  <c r="AD120" i="14"/>
  <c r="Y120" i="14"/>
  <c r="M120" i="14"/>
  <c r="N120" i="14" s="1"/>
  <c r="K120" i="14"/>
  <c r="B120" i="14"/>
  <c r="AH119" i="14"/>
  <c r="AF119" i="14"/>
  <c r="AD119" i="14"/>
  <c r="Y119" i="14"/>
  <c r="M119" i="14"/>
  <c r="N119" i="14" s="1"/>
  <c r="K119" i="14"/>
  <c r="B119" i="14"/>
  <c r="AH118" i="14"/>
  <c r="AF118" i="14"/>
  <c r="AD118" i="14"/>
  <c r="Y118" i="14"/>
  <c r="M118" i="14"/>
  <c r="N118" i="14" s="1"/>
  <c r="K118" i="14"/>
  <c r="B118" i="14"/>
  <c r="AH117" i="14"/>
  <c r="AF117" i="14"/>
  <c r="AD117" i="14"/>
  <c r="Y117" i="14"/>
  <c r="M117" i="14"/>
  <c r="N117" i="14" s="1"/>
  <c r="K117" i="14"/>
  <c r="C117" i="14"/>
  <c r="B117" i="14"/>
  <c r="AD116" i="14"/>
  <c r="Y116" i="14"/>
  <c r="Q116" i="14"/>
  <c r="W116" i="14" s="1"/>
  <c r="P116" i="14"/>
  <c r="K116" i="14"/>
  <c r="C116" i="14"/>
  <c r="AD115" i="14"/>
  <c r="Y115" i="14"/>
  <c r="R115" i="14"/>
  <c r="P115" i="14"/>
  <c r="M115" i="14"/>
  <c r="N115" i="14" s="1"/>
  <c r="K115" i="14"/>
  <c r="S115" i="14" s="1"/>
  <c r="T115" i="14" s="1"/>
  <c r="C115" i="14"/>
  <c r="AD114" i="14"/>
  <c r="Y114" i="14"/>
  <c r="Q114" i="14"/>
  <c r="AH114" i="14" s="1"/>
  <c r="P114" i="14"/>
  <c r="K114" i="14"/>
  <c r="C114" i="14"/>
  <c r="AH113" i="14"/>
  <c r="AD113" i="14"/>
  <c r="Y113" i="14"/>
  <c r="S113" i="14"/>
  <c r="R113" i="14"/>
  <c r="P113" i="14"/>
  <c r="T113" i="14" s="1"/>
  <c r="M113" i="14"/>
  <c r="K113" i="14"/>
  <c r="Q113" i="14" s="1"/>
  <c r="C113" i="14"/>
  <c r="AD112" i="14"/>
  <c r="Y112" i="14"/>
  <c r="S112" i="14"/>
  <c r="T112" i="14" s="1"/>
  <c r="P112" i="14"/>
  <c r="K112" i="14"/>
  <c r="R112" i="14" s="1"/>
  <c r="C112" i="14"/>
  <c r="AD111" i="14"/>
  <c r="Y111" i="14"/>
  <c r="R111" i="14"/>
  <c r="P111" i="14"/>
  <c r="M111" i="14"/>
  <c r="K111" i="14"/>
  <c r="S111" i="14" s="1"/>
  <c r="T111" i="14" s="1"/>
  <c r="C111" i="14"/>
  <c r="AD110" i="14"/>
  <c r="Y110" i="14"/>
  <c r="P110" i="14"/>
  <c r="K110" i="14"/>
  <c r="C110" i="14"/>
  <c r="AH109" i="14"/>
  <c r="AD109" i="14"/>
  <c r="Y109" i="14"/>
  <c r="S109" i="14"/>
  <c r="R109" i="14"/>
  <c r="P109" i="14"/>
  <c r="M109" i="14"/>
  <c r="K109" i="14"/>
  <c r="Q109" i="14" s="1"/>
  <c r="C109" i="14"/>
  <c r="AD108" i="14"/>
  <c r="Y108" i="14"/>
  <c r="S108" i="14"/>
  <c r="T108" i="14" s="1"/>
  <c r="P108" i="14"/>
  <c r="K108" i="14"/>
  <c r="R108" i="14" s="1"/>
  <c r="C108" i="14"/>
  <c r="AD107" i="14"/>
  <c r="Y107" i="14"/>
  <c r="R107" i="14"/>
  <c r="P107" i="14"/>
  <c r="M107" i="14"/>
  <c r="K107" i="14"/>
  <c r="S107" i="14" s="1"/>
  <c r="T107" i="14" s="1"/>
  <c r="C107" i="14"/>
  <c r="AG106" i="14"/>
  <c r="AD106" i="14"/>
  <c r="Y106" i="14"/>
  <c r="S106" i="14"/>
  <c r="T106" i="14" s="1"/>
  <c r="P106" i="14"/>
  <c r="K106" i="14"/>
  <c r="R106" i="14" s="1"/>
  <c r="AH105" i="14"/>
  <c r="AF105" i="14"/>
  <c r="AD105" i="14"/>
  <c r="Y105" i="14"/>
  <c r="K105" i="14"/>
  <c r="M105" i="14" s="1"/>
  <c r="B105" i="14"/>
  <c r="AH104" i="14"/>
  <c r="AF104" i="14"/>
  <c r="AD104" i="14"/>
  <c r="Y104" i="14"/>
  <c r="K104" i="14"/>
  <c r="M104" i="14" s="1"/>
  <c r="B104" i="14"/>
  <c r="AH103" i="14"/>
  <c r="AF103" i="14"/>
  <c r="AD103" i="14"/>
  <c r="Y103" i="14"/>
  <c r="K103" i="14"/>
  <c r="M103" i="14" s="1"/>
  <c r="B103" i="14"/>
  <c r="AH102" i="14"/>
  <c r="AF102" i="14"/>
  <c r="AD102" i="14"/>
  <c r="Y102" i="14"/>
  <c r="K102" i="14"/>
  <c r="M102" i="14" s="1"/>
  <c r="B102" i="14"/>
  <c r="AH101" i="14"/>
  <c r="AF101" i="14"/>
  <c r="AD101" i="14"/>
  <c r="Y101" i="14"/>
  <c r="K101" i="14"/>
  <c r="M101" i="14" s="1"/>
  <c r="B101" i="14"/>
  <c r="AH100" i="14"/>
  <c r="AF100" i="14"/>
  <c r="AD100" i="14"/>
  <c r="Y100" i="14"/>
  <c r="K100" i="14"/>
  <c r="M100" i="14" s="1"/>
  <c r="B100" i="14"/>
  <c r="AH99" i="14"/>
  <c r="AF99" i="14"/>
  <c r="AD99" i="14"/>
  <c r="Y99" i="14"/>
  <c r="K99" i="14"/>
  <c r="M99" i="14" s="1"/>
  <c r="B99" i="14"/>
  <c r="AH98" i="14"/>
  <c r="AF98" i="14"/>
  <c r="AD98" i="14"/>
  <c r="Y98" i="14"/>
  <c r="K98" i="14"/>
  <c r="M98" i="14" s="1"/>
  <c r="B98" i="14"/>
  <c r="AH97" i="14"/>
  <c r="AF97" i="14"/>
  <c r="AD97" i="14"/>
  <c r="Y97" i="14"/>
  <c r="K97" i="14"/>
  <c r="M97" i="14" s="1"/>
  <c r="B97" i="14"/>
  <c r="AH96" i="14"/>
  <c r="AF96" i="14"/>
  <c r="AD96" i="14"/>
  <c r="Y96" i="14"/>
  <c r="K96" i="14"/>
  <c r="M96" i="14" s="1"/>
  <c r="B96" i="14"/>
  <c r="AH95" i="14"/>
  <c r="AF95" i="14"/>
  <c r="AD95" i="14"/>
  <c r="Y95" i="14"/>
  <c r="K95" i="14"/>
  <c r="M95" i="14" s="1"/>
  <c r="B95" i="14"/>
  <c r="AH94" i="14"/>
  <c r="AF94" i="14"/>
  <c r="AD94" i="14"/>
  <c r="Y94" i="14"/>
  <c r="K94" i="14"/>
  <c r="M94" i="14" s="1"/>
  <c r="B94" i="14"/>
  <c r="AH93" i="14"/>
  <c r="AF93" i="14"/>
  <c r="AD93" i="14"/>
  <c r="Y93" i="14"/>
  <c r="K93" i="14"/>
  <c r="M93" i="14" s="1"/>
  <c r="C93" i="14"/>
  <c r="B93" i="14"/>
  <c r="AD92" i="14"/>
  <c r="Y92" i="14"/>
  <c r="Q92" i="14"/>
  <c r="W92" i="14" s="1"/>
  <c r="P92" i="14"/>
  <c r="K92" i="14"/>
  <c r="C92" i="14"/>
  <c r="AD91" i="14"/>
  <c r="Y91" i="14"/>
  <c r="T91" i="14"/>
  <c r="S91" i="14"/>
  <c r="R91" i="14"/>
  <c r="P91" i="14"/>
  <c r="M91" i="14"/>
  <c r="K91" i="14"/>
  <c r="Q91" i="14" s="1"/>
  <c r="AH91" i="14" s="1"/>
  <c r="C91" i="14"/>
  <c r="AD90" i="14"/>
  <c r="Y90" i="14"/>
  <c r="R90" i="14"/>
  <c r="P90" i="14"/>
  <c r="M90" i="14"/>
  <c r="N90" i="14" s="1"/>
  <c r="K90" i="14"/>
  <c r="S90" i="14" s="1"/>
  <c r="T90" i="14" s="1"/>
  <c r="C90" i="14"/>
  <c r="AD89" i="14"/>
  <c r="Y89" i="14"/>
  <c r="S89" i="14"/>
  <c r="R89" i="14"/>
  <c r="P89" i="14"/>
  <c r="M89" i="14"/>
  <c r="N89" i="14" s="1"/>
  <c r="K89" i="14"/>
  <c r="C89" i="14"/>
  <c r="AD88" i="14"/>
  <c r="Y88" i="14"/>
  <c r="S88" i="14"/>
  <c r="T88" i="14" s="1"/>
  <c r="P88" i="14"/>
  <c r="K88" i="14"/>
  <c r="C88" i="14"/>
  <c r="AF87" i="14"/>
  <c r="AD87" i="14"/>
  <c r="Y87" i="14"/>
  <c r="T87" i="14"/>
  <c r="U87" i="14" s="1"/>
  <c r="P87" i="14"/>
  <c r="Q87" i="14" s="1"/>
  <c r="AH87" i="14" s="1"/>
  <c r="M87" i="14"/>
  <c r="K87" i="14"/>
  <c r="S87" i="14" s="1"/>
  <c r="C87" i="14"/>
  <c r="B87" i="14"/>
  <c r="AD86" i="14"/>
  <c r="Y86" i="14"/>
  <c r="S86" i="14"/>
  <c r="T86" i="14" s="1"/>
  <c r="AF86" i="14" s="1"/>
  <c r="R86" i="14"/>
  <c r="P86" i="14"/>
  <c r="M86" i="14"/>
  <c r="N86" i="14" s="1"/>
  <c r="K86" i="14"/>
  <c r="Q86" i="14" s="1"/>
  <c r="AH86" i="14" s="1"/>
  <c r="C86" i="14"/>
  <c r="AD85" i="14"/>
  <c r="Y85" i="14"/>
  <c r="P85" i="14"/>
  <c r="K85" i="14"/>
  <c r="C85" i="14"/>
  <c r="AD84" i="14"/>
  <c r="Y84" i="14"/>
  <c r="S84" i="14"/>
  <c r="T84" i="14" s="1"/>
  <c r="R84" i="14"/>
  <c r="P84" i="14"/>
  <c r="M84" i="14"/>
  <c r="K84" i="14"/>
  <c r="Q84" i="14" s="1"/>
  <c r="AH84" i="14" s="1"/>
  <c r="C84" i="14"/>
  <c r="AG83" i="14"/>
  <c r="AD83" i="14"/>
  <c r="Y83" i="14"/>
  <c r="P83" i="14"/>
  <c r="K83" i="14"/>
  <c r="Q83" i="14" s="1"/>
  <c r="W83" i="14" s="1"/>
  <c r="AH82" i="14"/>
  <c r="AF82" i="14"/>
  <c r="AD82" i="14"/>
  <c r="Y82" i="14"/>
  <c r="K82" i="14"/>
  <c r="M82" i="14" s="1"/>
  <c r="B82" i="14"/>
  <c r="AH81" i="14"/>
  <c r="AF81" i="14"/>
  <c r="AD81" i="14"/>
  <c r="Y81" i="14"/>
  <c r="K81" i="14"/>
  <c r="M81" i="14" s="1"/>
  <c r="B81" i="14"/>
  <c r="AH80" i="14"/>
  <c r="AF80" i="14"/>
  <c r="AD80" i="14"/>
  <c r="Y80" i="14"/>
  <c r="K80" i="14"/>
  <c r="M80" i="14" s="1"/>
  <c r="B80" i="14"/>
  <c r="AH79" i="14"/>
  <c r="AF79" i="14"/>
  <c r="AD79" i="14"/>
  <c r="Y79" i="14"/>
  <c r="K79" i="14"/>
  <c r="M79" i="14" s="1"/>
  <c r="B79" i="14"/>
  <c r="AH78" i="14"/>
  <c r="AF78" i="14"/>
  <c r="AD78" i="14"/>
  <c r="Y78" i="14"/>
  <c r="K78" i="14"/>
  <c r="M78" i="14" s="1"/>
  <c r="B78" i="14"/>
  <c r="AH77" i="14"/>
  <c r="AF77" i="14"/>
  <c r="AD77" i="14"/>
  <c r="Y77" i="14"/>
  <c r="K77" i="14"/>
  <c r="M77" i="14" s="1"/>
  <c r="B77" i="14"/>
  <c r="AH76" i="14"/>
  <c r="AF76" i="14"/>
  <c r="AD76" i="14"/>
  <c r="Y76" i="14"/>
  <c r="K76" i="14"/>
  <c r="M76" i="14" s="1"/>
  <c r="B76" i="14"/>
  <c r="AH75" i="14"/>
  <c r="AF75" i="14"/>
  <c r="AD75" i="14"/>
  <c r="Y75" i="14"/>
  <c r="K75" i="14"/>
  <c r="M75" i="14" s="1"/>
  <c r="B75" i="14"/>
  <c r="AH74" i="14"/>
  <c r="AF74" i="14"/>
  <c r="AD74" i="14"/>
  <c r="Y74" i="14"/>
  <c r="K74" i="14"/>
  <c r="M74" i="14" s="1"/>
  <c r="B74" i="14"/>
  <c r="AH73" i="14"/>
  <c r="AF73" i="14"/>
  <c r="AD73" i="14"/>
  <c r="Y73" i="14"/>
  <c r="K73" i="14"/>
  <c r="M73" i="14" s="1"/>
  <c r="B73" i="14"/>
  <c r="AH72" i="14"/>
  <c r="AF72" i="14"/>
  <c r="AD72" i="14"/>
  <c r="Y72" i="14"/>
  <c r="K72" i="14"/>
  <c r="M72" i="14" s="1"/>
  <c r="B72" i="14"/>
  <c r="AH71" i="14"/>
  <c r="AF71" i="14"/>
  <c r="AD71" i="14"/>
  <c r="Y71" i="14"/>
  <c r="K71" i="14"/>
  <c r="M71" i="14" s="1"/>
  <c r="B71" i="14"/>
  <c r="AH70" i="14"/>
  <c r="AF70" i="14"/>
  <c r="AD70" i="14"/>
  <c r="Y70" i="14"/>
  <c r="K70" i="14"/>
  <c r="M70" i="14" s="1"/>
  <c r="B70" i="14"/>
  <c r="AH69" i="14"/>
  <c r="AF69" i="14"/>
  <c r="AD69" i="14"/>
  <c r="Y69" i="14"/>
  <c r="K69" i="14"/>
  <c r="M69" i="14" s="1"/>
  <c r="B69" i="14"/>
  <c r="AH68" i="14"/>
  <c r="AF68" i="14"/>
  <c r="AD68" i="14"/>
  <c r="Y68" i="14"/>
  <c r="K68" i="14"/>
  <c r="M68" i="14" s="1"/>
  <c r="C68" i="14"/>
  <c r="B68" i="14"/>
  <c r="AD67" i="14"/>
  <c r="Y67" i="14"/>
  <c r="P67" i="14"/>
  <c r="T67" i="14" s="1"/>
  <c r="K67" i="14"/>
  <c r="S67" i="14" s="1"/>
  <c r="C67" i="14"/>
  <c r="AD66" i="14"/>
  <c r="Y66" i="14"/>
  <c r="P66" i="14"/>
  <c r="K66" i="14"/>
  <c r="Q66" i="14" s="1"/>
  <c r="AH66" i="14" s="1"/>
  <c r="C66" i="14"/>
  <c r="AH65" i="14"/>
  <c r="AD65" i="14"/>
  <c r="Y65" i="14"/>
  <c r="S65" i="14"/>
  <c r="T65" i="14" s="1"/>
  <c r="R65" i="14"/>
  <c r="P65" i="14"/>
  <c r="M65" i="14"/>
  <c r="K65" i="14"/>
  <c r="Q65" i="14" s="1"/>
  <c r="C65" i="14"/>
  <c r="AD64" i="14"/>
  <c r="Y64" i="14"/>
  <c r="S64" i="14"/>
  <c r="T64" i="14" s="1"/>
  <c r="P64" i="14"/>
  <c r="K64" i="14"/>
  <c r="R64" i="14" s="1"/>
  <c r="C64" i="14"/>
  <c r="AD63" i="14"/>
  <c r="Y63" i="14"/>
  <c r="P63" i="14"/>
  <c r="K63" i="14"/>
  <c r="S63" i="14" s="1"/>
  <c r="T63" i="14" s="1"/>
  <c r="C63" i="14"/>
  <c r="AD62" i="14"/>
  <c r="Y62" i="14"/>
  <c r="P62" i="14"/>
  <c r="K62" i="14"/>
  <c r="Q62" i="14" s="1"/>
  <c r="AH62" i="14" s="1"/>
  <c r="C62" i="14"/>
  <c r="AD61" i="14"/>
  <c r="Y61" i="14"/>
  <c r="S61" i="14"/>
  <c r="T61" i="14" s="1"/>
  <c r="R61" i="14"/>
  <c r="P61" i="14"/>
  <c r="M61" i="14"/>
  <c r="K61" i="14"/>
  <c r="Q61" i="14" s="1"/>
  <c r="AH61" i="14" s="1"/>
  <c r="C61" i="14"/>
  <c r="AD60" i="14"/>
  <c r="Y60" i="14"/>
  <c r="S60" i="14"/>
  <c r="T60" i="14" s="1"/>
  <c r="P60" i="14"/>
  <c r="K60" i="14"/>
  <c r="R60" i="14" s="1"/>
  <c r="C60" i="14"/>
  <c r="AG59" i="14"/>
  <c r="AD59" i="14"/>
  <c r="Y59" i="14"/>
  <c r="S59" i="14"/>
  <c r="T59" i="14" s="1"/>
  <c r="U59" i="14" s="1"/>
  <c r="B59" i="14" s="1"/>
  <c r="R59" i="14"/>
  <c r="P59" i="14"/>
  <c r="M59" i="14"/>
  <c r="K59" i="14"/>
  <c r="Q59" i="14" s="1"/>
  <c r="W59" i="14" s="1"/>
  <c r="AH58" i="14"/>
  <c r="AF58" i="14"/>
  <c r="AC58" i="14"/>
  <c r="AD58" i="14" s="1"/>
  <c r="Y58" i="14"/>
  <c r="K58" i="14"/>
  <c r="M58" i="14" s="1"/>
  <c r="B58" i="14"/>
  <c r="AH57" i="14"/>
  <c r="AF57" i="14"/>
  <c r="AC57" i="14"/>
  <c r="AD57" i="14" s="1"/>
  <c r="Y57" i="14"/>
  <c r="M57" i="14"/>
  <c r="K57" i="14"/>
  <c r="B57" i="14"/>
  <c r="AH56" i="14"/>
  <c r="AF56" i="14"/>
  <c r="AC56" i="14"/>
  <c r="AD56" i="14" s="1"/>
  <c r="Y56" i="14"/>
  <c r="K56" i="14"/>
  <c r="M56" i="14" s="1"/>
  <c r="B56" i="14"/>
  <c r="AH55" i="14"/>
  <c r="AF55" i="14"/>
  <c r="AC55" i="14"/>
  <c r="AD55" i="14" s="1"/>
  <c r="Y55" i="14"/>
  <c r="M55" i="14"/>
  <c r="K55" i="14"/>
  <c r="B55" i="14"/>
  <c r="AH54" i="14"/>
  <c r="AF54" i="14"/>
  <c r="AC54" i="14"/>
  <c r="AD54" i="14" s="1"/>
  <c r="Y54" i="14"/>
  <c r="K54" i="14"/>
  <c r="M54" i="14" s="1"/>
  <c r="B54" i="14"/>
  <c r="AH53" i="14"/>
  <c r="AF53" i="14"/>
  <c r="AC53" i="14"/>
  <c r="AD53" i="14" s="1"/>
  <c r="Y53" i="14"/>
  <c r="M53" i="14"/>
  <c r="K53" i="14"/>
  <c r="B53" i="14"/>
  <c r="AH52" i="14"/>
  <c r="AF52" i="14"/>
  <c r="AC52" i="14"/>
  <c r="AD52" i="14" s="1"/>
  <c r="Y52" i="14"/>
  <c r="K52" i="14"/>
  <c r="M52" i="14" s="1"/>
  <c r="B52" i="14"/>
  <c r="AH51" i="14"/>
  <c r="AF51" i="14"/>
  <c r="AD51" i="14"/>
  <c r="AC51" i="14"/>
  <c r="Y51" i="14"/>
  <c r="M51" i="14"/>
  <c r="K51" i="14"/>
  <c r="B51" i="14"/>
  <c r="AH50" i="14"/>
  <c r="AF50" i="14"/>
  <c r="AC50" i="14"/>
  <c r="AD50" i="14" s="1"/>
  <c r="Y50" i="14"/>
  <c r="K50" i="14"/>
  <c r="M50" i="14" s="1"/>
  <c r="B50" i="14"/>
  <c r="AH49" i="14"/>
  <c r="AF49" i="14"/>
  <c r="AD49" i="14"/>
  <c r="Y49" i="14"/>
  <c r="K49" i="14"/>
  <c r="M49" i="14" s="1"/>
  <c r="B49" i="14"/>
  <c r="AH48" i="14"/>
  <c r="AF48" i="14"/>
  <c r="AD48" i="14"/>
  <c r="Y48" i="14"/>
  <c r="K48" i="14"/>
  <c r="M48" i="14" s="1"/>
  <c r="B48" i="14"/>
  <c r="AH47" i="14"/>
  <c r="AF47" i="14"/>
  <c r="AD47" i="14"/>
  <c r="Y47" i="14"/>
  <c r="K47" i="14"/>
  <c r="M47" i="14" s="1"/>
  <c r="B47" i="14"/>
  <c r="AH46" i="14"/>
  <c r="AF46" i="14"/>
  <c r="AD46" i="14"/>
  <c r="Y46" i="14"/>
  <c r="K46" i="14"/>
  <c r="M46" i="14" s="1"/>
  <c r="B46" i="14"/>
  <c r="AH45" i="14"/>
  <c r="AF45" i="14"/>
  <c r="AD45" i="14"/>
  <c r="Y45" i="14"/>
  <c r="K45" i="14"/>
  <c r="M45" i="14" s="1"/>
  <c r="B45" i="14"/>
  <c r="AH44" i="14"/>
  <c r="AF44" i="14"/>
  <c r="AD44" i="14"/>
  <c r="Y44" i="14"/>
  <c r="K44" i="14"/>
  <c r="M44" i="14" s="1"/>
  <c r="B44" i="14"/>
  <c r="AH43" i="14"/>
  <c r="AF43" i="14"/>
  <c r="AD43" i="14"/>
  <c r="Y43" i="14"/>
  <c r="K43" i="14"/>
  <c r="M43" i="14" s="1"/>
  <c r="C43" i="14"/>
  <c r="B43" i="14"/>
  <c r="AD42" i="14"/>
  <c r="Y42" i="14"/>
  <c r="S42" i="14"/>
  <c r="T42" i="14" s="1"/>
  <c r="U42" i="14" s="1"/>
  <c r="B42" i="14" s="1"/>
  <c r="R42" i="14"/>
  <c r="P42" i="14"/>
  <c r="M42" i="14"/>
  <c r="K42" i="14"/>
  <c r="Q42" i="14" s="1"/>
  <c r="AH42" i="14" s="1"/>
  <c r="C42" i="14"/>
  <c r="AD41" i="14"/>
  <c r="Y41" i="14"/>
  <c r="S41" i="14"/>
  <c r="T41" i="14" s="1"/>
  <c r="R41" i="14"/>
  <c r="P41" i="14"/>
  <c r="N41" i="14"/>
  <c r="M41" i="14"/>
  <c r="K41" i="14"/>
  <c r="Q41" i="14" s="1"/>
  <c r="AH41" i="14" s="1"/>
  <c r="C41" i="14"/>
  <c r="AD40" i="14"/>
  <c r="Y40" i="14"/>
  <c r="P40" i="14"/>
  <c r="K40" i="14"/>
  <c r="S40" i="14" s="1"/>
  <c r="T40" i="14" s="1"/>
  <c r="C40" i="14"/>
  <c r="AD39" i="14"/>
  <c r="Y39" i="14"/>
  <c r="Q39" i="14"/>
  <c r="AH39" i="14" s="1"/>
  <c r="P39" i="14"/>
  <c r="K39" i="14"/>
  <c r="C39" i="14"/>
  <c r="AH38" i="14"/>
  <c r="AD38" i="14"/>
  <c r="Y38" i="14"/>
  <c r="S38" i="14"/>
  <c r="T38" i="14" s="1"/>
  <c r="R38" i="14"/>
  <c r="P38" i="14"/>
  <c r="M38" i="14"/>
  <c r="K38" i="14"/>
  <c r="Q38" i="14" s="1"/>
  <c r="C38" i="14"/>
  <c r="AD37" i="14"/>
  <c r="Y37" i="14"/>
  <c r="P37" i="14"/>
  <c r="K37" i="14"/>
  <c r="S37" i="14" s="1"/>
  <c r="T37" i="14" s="1"/>
  <c r="C37" i="14"/>
  <c r="AD36" i="14"/>
  <c r="Y36" i="14"/>
  <c r="P36" i="14"/>
  <c r="K36" i="14"/>
  <c r="Q36" i="14" s="1"/>
  <c r="AH36" i="14" s="1"/>
  <c r="AG35" i="14"/>
  <c r="AH35" i="14" s="1"/>
  <c r="AF35" i="14"/>
  <c r="AD35" i="14"/>
  <c r="AC35" i="14"/>
  <c r="Y35" i="14"/>
  <c r="K35" i="14"/>
  <c r="M35" i="14" s="1"/>
  <c r="B35" i="14"/>
  <c r="AH34" i="14"/>
  <c r="AF34" i="14"/>
  <c r="AC34" i="14"/>
  <c r="AD34" i="14" s="1"/>
  <c r="Y34" i="14"/>
  <c r="M34" i="14"/>
  <c r="X34" i="14" s="1"/>
  <c r="K34" i="14"/>
  <c r="B34" i="14"/>
  <c r="AH33" i="14"/>
  <c r="AF33" i="14"/>
  <c r="AC33" i="14"/>
  <c r="AD33" i="14" s="1"/>
  <c r="Y33" i="14"/>
  <c r="M33" i="14"/>
  <c r="K33" i="14"/>
  <c r="B33" i="14"/>
  <c r="AH32" i="14"/>
  <c r="AF32" i="14"/>
  <c r="AC32" i="14"/>
  <c r="AD32" i="14" s="1"/>
  <c r="Y32" i="14"/>
  <c r="K32" i="14"/>
  <c r="M32" i="14" s="1"/>
  <c r="B32" i="14"/>
  <c r="AH31" i="14"/>
  <c r="AF31" i="14"/>
  <c r="AC31" i="14"/>
  <c r="AD31" i="14" s="1"/>
  <c r="Y31" i="14"/>
  <c r="K31" i="14"/>
  <c r="M31" i="14" s="1"/>
  <c r="B31" i="14"/>
  <c r="AH30" i="14"/>
  <c r="AF30" i="14"/>
  <c r="AD30" i="14"/>
  <c r="AC30" i="14"/>
  <c r="Y30" i="14"/>
  <c r="K30" i="14"/>
  <c r="M30" i="14" s="1"/>
  <c r="B30" i="14"/>
  <c r="AH29" i="14"/>
  <c r="AF29" i="14"/>
  <c r="AD29" i="14"/>
  <c r="AC29" i="14"/>
  <c r="Y29" i="14"/>
  <c r="K29" i="14"/>
  <c r="M29" i="14" s="1"/>
  <c r="B29" i="14"/>
  <c r="AH28" i="14"/>
  <c r="AF28" i="14"/>
  <c r="AD28" i="14"/>
  <c r="AC28" i="14"/>
  <c r="Y28" i="14"/>
  <c r="K28" i="14"/>
  <c r="M28" i="14" s="1"/>
  <c r="B28" i="14"/>
  <c r="AH27" i="14"/>
  <c r="AF27" i="14"/>
  <c r="AD27" i="14"/>
  <c r="AC27" i="14"/>
  <c r="Y27" i="14"/>
  <c r="K27" i="14"/>
  <c r="M27" i="14" s="1"/>
  <c r="B27" i="14"/>
  <c r="AH26" i="14"/>
  <c r="AF26" i="14"/>
  <c r="AD26" i="14"/>
  <c r="Y26" i="14"/>
  <c r="K26" i="14"/>
  <c r="M26" i="14" s="1"/>
  <c r="B26" i="14"/>
  <c r="AH25" i="14"/>
  <c r="AF25" i="14"/>
  <c r="AC25" i="14"/>
  <c r="AD25" i="14" s="1"/>
  <c r="Y25" i="14"/>
  <c r="K25" i="14"/>
  <c r="M25" i="14" s="1"/>
  <c r="B25" i="14"/>
  <c r="AH24" i="14"/>
  <c r="AF24" i="14"/>
  <c r="AD24" i="14"/>
  <c r="AC24" i="14"/>
  <c r="Y24" i="14"/>
  <c r="K24" i="14"/>
  <c r="M24" i="14" s="1"/>
  <c r="B24" i="14"/>
  <c r="AH23" i="14"/>
  <c r="AF23" i="14"/>
  <c r="AD23" i="14"/>
  <c r="AC23" i="14"/>
  <c r="Y23" i="14"/>
  <c r="K23" i="14"/>
  <c r="M23" i="14" s="1"/>
  <c r="B23" i="14"/>
  <c r="AH22" i="14"/>
  <c r="AF22" i="14"/>
  <c r="AD22" i="14"/>
  <c r="AC22" i="14"/>
  <c r="Y22" i="14"/>
  <c r="K22" i="14"/>
  <c r="M22" i="14" s="1"/>
  <c r="B22" i="14"/>
  <c r="AH21" i="14"/>
  <c r="AF21" i="14"/>
  <c r="AD21" i="14"/>
  <c r="Y21" i="14"/>
  <c r="K21" i="14"/>
  <c r="M21" i="14" s="1"/>
  <c r="B21" i="14"/>
  <c r="AH20" i="14"/>
  <c r="AF20" i="14"/>
  <c r="AD20" i="14"/>
  <c r="Y20" i="14"/>
  <c r="K20" i="14"/>
  <c r="M20" i="14" s="1"/>
  <c r="B20" i="14"/>
  <c r="AH19" i="14"/>
  <c r="AF19" i="14"/>
  <c r="AD19" i="14"/>
  <c r="Y19" i="14"/>
  <c r="K19" i="14"/>
  <c r="M19" i="14" s="1"/>
  <c r="C19" i="14"/>
  <c r="B19" i="14"/>
  <c r="AD18" i="14"/>
  <c r="Y18" i="14"/>
  <c r="R18" i="14"/>
  <c r="P18" i="14"/>
  <c r="M18" i="14"/>
  <c r="N18" i="14" s="1"/>
  <c r="K18" i="14"/>
  <c r="S18" i="14" s="1"/>
  <c r="T18" i="14" s="1"/>
  <c r="C18" i="14"/>
  <c r="AD17" i="14"/>
  <c r="Y17" i="14"/>
  <c r="P17" i="14"/>
  <c r="K17" i="14"/>
  <c r="R17" i="14" s="1"/>
  <c r="C17" i="14"/>
  <c r="AD16" i="14"/>
  <c r="Y16" i="14"/>
  <c r="P16" i="14"/>
  <c r="K16" i="14"/>
  <c r="S16" i="14" s="1"/>
  <c r="T16" i="14" s="1"/>
  <c r="C16" i="14"/>
  <c r="AD15" i="14"/>
  <c r="Y15" i="14"/>
  <c r="S15" i="14"/>
  <c r="T15" i="14" s="1"/>
  <c r="P15" i="14"/>
  <c r="K15" i="14"/>
  <c r="R15" i="14" s="1"/>
  <c r="C15" i="14"/>
  <c r="AD14" i="14"/>
  <c r="Y14" i="14"/>
  <c r="P14" i="14"/>
  <c r="K14" i="14"/>
  <c r="S14" i="14" s="1"/>
  <c r="T14" i="14" s="1"/>
  <c r="C14" i="14"/>
  <c r="AD13" i="14"/>
  <c r="Y13" i="14"/>
  <c r="R13" i="14"/>
  <c r="P13" i="14"/>
  <c r="M13" i="14"/>
  <c r="N13" i="14" s="1"/>
  <c r="K13" i="14"/>
  <c r="S13" i="14" s="1"/>
  <c r="T13" i="14" s="1"/>
  <c r="C13" i="14"/>
  <c r="AG12" i="14"/>
  <c r="AD12" i="14"/>
  <c r="Y12" i="14"/>
  <c r="S12" i="14"/>
  <c r="T12" i="14" s="1"/>
  <c r="P12" i="14"/>
  <c r="K12" i="14"/>
  <c r="R12" i="14" s="1"/>
  <c r="AF11" i="14"/>
  <c r="AC11" i="14"/>
  <c r="AD11" i="14" s="1"/>
  <c r="Y11" i="14"/>
  <c r="M11" i="14"/>
  <c r="K11" i="14"/>
  <c r="B11" i="14"/>
  <c r="AF10" i="14"/>
  <c r="AD10" i="14"/>
  <c r="AC10" i="14"/>
  <c r="Y10" i="14"/>
  <c r="K10" i="14"/>
  <c r="M10" i="14" s="1"/>
  <c r="B10" i="14"/>
  <c r="AF9" i="14"/>
  <c r="AC9" i="14"/>
  <c r="AD9" i="14" s="1"/>
  <c r="Y9" i="14"/>
  <c r="M9" i="14"/>
  <c r="X9" i="14" s="1"/>
  <c r="K9" i="14"/>
  <c r="B9" i="14"/>
  <c r="AF8" i="14"/>
  <c r="AD8" i="14"/>
  <c r="AC8" i="14"/>
  <c r="Y8" i="14"/>
  <c r="K8" i="14"/>
  <c r="M8" i="14" s="1"/>
  <c r="B8" i="14"/>
  <c r="AF7" i="14"/>
  <c r="AC7" i="14"/>
  <c r="AD7" i="14" s="1"/>
  <c r="Y7" i="14"/>
  <c r="M7" i="14"/>
  <c r="K7" i="14"/>
  <c r="B7" i="14"/>
  <c r="AF6" i="14"/>
  <c r="AD6" i="14"/>
  <c r="AC6" i="14"/>
  <c r="Y6" i="14"/>
  <c r="K6" i="14"/>
  <c r="M6" i="14" s="1"/>
  <c r="B6" i="14"/>
  <c r="AF5" i="14"/>
  <c r="AC5" i="14"/>
  <c r="AD5" i="14" s="1"/>
  <c r="Y5" i="14"/>
  <c r="M5" i="14"/>
  <c r="X5" i="14" s="1"/>
  <c r="K5" i="14"/>
  <c r="B5" i="14"/>
  <c r="AF4" i="14"/>
  <c r="AD4" i="14"/>
  <c r="Y4" i="14"/>
  <c r="K4" i="14"/>
  <c r="M4" i="14" s="1"/>
  <c r="B4" i="14"/>
  <c r="AF3" i="14"/>
  <c r="AD3" i="14"/>
  <c r="Y3" i="14"/>
  <c r="M3" i="14"/>
  <c r="N3" i="14" s="1"/>
  <c r="K3" i="14"/>
  <c r="B3" i="14"/>
  <c r="AF2" i="14"/>
  <c r="AD2" i="14"/>
  <c r="Y2" i="14"/>
  <c r="K2" i="14"/>
  <c r="M2" i="14" s="1"/>
  <c r="D2" i="14"/>
  <c r="B2" i="14"/>
  <c r="E292" i="13"/>
  <c r="AH292" i="13"/>
  <c r="AH291" i="13"/>
  <c r="Q291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102" i="13"/>
  <c r="AH103" i="13"/>
  <c r="AH104" i="13"/>
  <c r="AH105" i="13"/>
  <c r="AH106" i="13"/>
  <c r="AH107" i="13"/>
  <c r="AH108" i="13"/>
  <c r="AH109" i="13"/>
  <c r="AH110" i="13"/>
  <c r="AH111" i="13"/>
  <c r="AH112" i="13"/>
  <c r="AH113" i="13"/>
  <c r="AH114" i="13"/>
  <c r="AH115" i="13"/>
  <c r="AH116" i="13"/>
  <c r="AH117" i="13"/>
  <c r="AH118" i="13"/>
  <c r="AH119" i="13"/>
  <c r="AH120" i="13"/>
  <c r="AH121" i="13"/>
  <c r="AH122" i="13"/>
  <c r="AH123" i="13"/>
  <c r="AH124" i="13"/>
  <c r="AH125" i="13"/>
  <c r="AH126" i="13"/>
  <c r="AH127" i="13"/>
  <c r="AH128" i="13"/>
  <c r="AH129" i="13"/>
  <c r="AH130" i="13"/>
  <c r="AH131" i="13"/>
  <c r="AH132" i="13"/>
  <c r="AH133" i="13"/>
  <c r="AH134" i="13"/>
  <c r="AH135" i="13"/>
  <c r="AH136" i="13"/>
  <c r="AH137" i="13"/>
  <c r="AH138" i="13"/>
  <c r="AH139" i="13"/>
  <c r="AH140" i="13"/>
  <c r="AH141" i="13"/>
  <c r="AH142" i="13"/>
  <c r="AH143" i="13"/>
  <c r="AH144" i="13"/>
  <c r="AH145" i="13"/>
  <c r="AH146" i="13"/>
  <c r="AH147" i="13"/>
  <c r="AH148" i="13"/>
  <c r="AH149" i="13"/>
  <c r="AH150" i="13"/>
  <c r="AH151" i="13"/>
  <c r="AH152" i="13"/>
  <c r="AH153" i="13"/>
  <c r="AH154" i="13"/>
  <c r="AH155" i="13"/>
  <c r="AH156" i="13"/>
  <c r="AH157" i="13"/>
  <c r="AH158" i="13"/>
  <c r="AH159" i="13"/>
  <c r="AH160" i="13"/>
  <c r="AH161" i="13"/>
  <c r="AH162" i="13"/>
  <c r="AH163" i="13"/>
  <c r="AH164" i="13"/>
  <c r="AH165" i="13"/>
  <c r="AH166" i="13"/>
  <c r="AH167" i="13"/>
  <c r="AH168" i="13"/>
  <c r="AH169" i="13"/>
  <c r="AH170" i="13"/>
  <c r="AH171" i="13"/>
  <c r="AH172" i="13"/>
  <c r="AH173" i="13"/>
  <c r="AH174" i="13"/>
  <c r="AH175" i="13"/>
  <c r="AH176" i="13"/>
  <c r="AH177" i="13"/>
  <c r="AH178" i="13"/>
  <c r="AH179" i="13"/>
  <c r="AH180" i="13"/>
  <c r="AH181" i="13"/>
  <c r="AH182" i="13"/>
  <c r="AH183" i="13"/>
  <c r="AH184" i="13"/>
  <c r="AH185" i="13"/>
  <c r="AH186" i="13"/>
  <c r="AH187" i="13"/>
  <c r="AH188" i="13"/>
  <c r="AH189" i="13"/>
  <c r="AH190" i="13"/>
  <c r="AH191" i="13"/>
  <c r="AH192" i="13"/>
  <c r="AH193" i="13"/>
  <c r="AH194" i="13"/>
  <c r="AH195" i="13"/>
  <c r="AH196" i="13"/>
  <c r="AH197" i="13"/>
  <c r="AH198" i="13"/>
  <c r="AH199" i="13"/>
  <c r="AH200" i="13"/>
  <c r="AH201" i="13"/>
  <c r="AH202" i="13"/>
  <c r="AH203" i="13"/>
  <c r="AH204" i="13"/>
  <c r="AH205" i="13"/>
  <c r="AH206" i="13"/>
  <c r="AH207" i="13"/>
  <c r="AH208" i="13"/>
  <c r="AH209" i="13"/>
  <c r="AH210" i="13"/>
  <c r="AH211" i="13"/>
  <c r="AH212" i="13"/>
  <c r="AH213" i="13"/>
  <c r="AH214" i="13"/>
  <c r="AH215" i="13"/>
  <c r="AH216" i="13"/>
  <c r="AH217" i="13"/>
  <c r="AH218" i="13"/>
  <c r="AH219" i="13"/>
  <c r="AH220" i="13"/>
  <c r="AH221" i="13"/>
  <c r="AH222" i="13"/>
  <c r="AH223" i="13"/>
  <c r="AH224" i="13"/>
  <c r="AH225" i="13"/>
  <c r="AH226" i="13"/>
  <c r="AH227" i="13"/>
  <c r="AH228" i="13"/>
  <c r="AH229" i="13"/>
  <c r="AH230" i="13"/>
  <c r="AH231" i="13"/>
  <c r="AH232" i="13"/>
  <c r="AH233" i="13"/>
  <c r="AH234" i="13"/>
  <c r="AH235" i="13"/>
  <c r="AH236" i="13"/>
  <c r="AH237" i="13"/>
  <c r="AH238" i="13"/>
  <c r="AH239" i="13"/>
  <c r="AH240" i="13"/>
  <c r="AH241" i="13"/>
  <c r="AH242" i="13"/>
  <c r="AH243" i="13"/>
  <c r="AH244" i="13"/>
  <c r="AH245" i="13"/>
  <c r="AH246" i="13"/>
  <c r="AH247" i="13"/>
  <c r="AH248" i="13"/>
  <c r="AH249" i="13"/>
  <c r="AH250" i="13"/>
  <c r="AH251" i="13"/>
  <c r="AH252" i="13"/>
  <c r="AH253" i="13"/>
  <c r="AH254" i="13"/>
  <c r="AH255" i="13"/>
  <c r="AH256" i="13"/>
  <c r="AH257" i="13"/>
  <c r="AH258" i="13"/>
  <c r="AH259" i="13"/>
  <c r="AH260" i="13"/>
  <c r="AH261" i="13"/>
  <c r="AH262" i="13"/>
  <c r="AH263" i="13"/>
  <c r="AH264" i="13"/>
  <c r="AH265" i="13"/>
  <c r="AH266" i="13"/>
  <c r="AH267" i="13"/>
  <c r="AH268" i="13"/>
  <c r="AH269" i="13"/>
  <c r="AH270" i="13"/>
  <c r="AH271" i="13"/>
  <c r="AH272" i="13"/>
  <c r="AH273" i="13"/>
  <c r="AH274" i="13"/>
  <c r="AH275" i="13"/>
  <c r="AH276" i="13"/>
  <c r="AH277" i="13"/>
  <c r="AH278" i="13"/>
  <c r="AH279" i="13"/>
  <c r="AH280" i="13"/>
  <c r="AH281" i="13"/>
  <c r="AH282" i="13"/>
  <c r="AH283" i="13"/>
  <c r="AH284" i="13"/>
  <c r="AH285" i="13"/>
  <c r="AH286" i="13"/>
  <c r="AH287" i="13"/>
  <c r="AH288" i="13"/>
  <c r="AH289" i="13"/>
  <c r="AH12" i="13"/>
  <c r="AG281" i="13"/>
  <c r="AG277" i="13"/>
  <c r="AG276" i="13"/>
  <c r="AG257" i="13"/>
  <c r="AG252" i="13"/>
  <c r="AG234" i="13"/>
  <c r="AG233" i="13"/>
  <c r="AG227" i="13"/>
  <c r="AG210" i="13"/>
  <c r="AG211" i="13"/>
  <c r="AG209" i="13"/>
  <c r="AG203" i="13"/>
  <c r="AG187" i="13"/>
  <c r="AG188" i="13"/>
  <c r="AG189" i="13"/>
  <c r="AG186" i="13"/>
  <c r="AG179" i="13"/>
  <c r="AG178" i="13"/>
  <c r="AG163" i="13"/>
  <c r="AG164" i="13"/>
  <c r="AG165" i="13"/>
  <c r="AG162" i="13"/>
  <c r="AG154" i="13"/>
  <c r="AG139" i="13"/>
  <c r="AG140" i="13"/>
  <c r="AG138" i="13"/>
  <c r="AG130" i="13"/>
  <c r="AG116" i="13"/>
  <c r="AG115" i="13"/>
  <c r="AG106" i="13"/>
  <c r="AG83" i="13"/>
  <c r="AG67" i="13"/>
  <c r="AG59" i="13"/>
  <c r="AG35" i="13"/>
  <c r="AG12" i="13"/>
  <c r="AG14" i="13"/>
  <c r="AG15" i="13"/>
  <c r="AG16" i="13"/>
  <c r="AG17" i="13"/>
  <c r="AG18" i="13"/>
  <c r="AG13" i="13"/>
  <c r="AF3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102" i="13"/>
  <c r="AF103" i="13"/>
  <c r="AF104" i="13"/>
  <c r="AF105" i="13"/>
  <c r="AF106" i="13"/>
  <c r="AF107" i="13"/>
  <c r="AF108" i="13"/>
  <c r="AF109" i="13"/>
  <c r="AF110" i="13"/>
  <c r="AF111" i="13"/>
  <c r="AF112" i="13"/>
  <c r="AF113" i="13"/>
  <c r="AF114" i="13"/>
  <c r="AF115" i="13"/>
  <c r="AF116" i="13"/>
  <c r="AF117" i="13"/>
  <c r="AF118" i="13"/>
  <c r="AF119" i="13"/>
  <c r="AF120" i="13"/>
  <c r="AF121" i="13"/>
  <c r="AF122" i="13"/>
  <c r="AF123" i="13"/>
  <c r="AF124" i="13"/>
  <c r="AF125" i="13"/>
  <c r="AF126" i="13"/>
  <c r="AF127" i="13"/>
  <c r="AF128" i="13"/>
  <c r="AF129" i="13"/>
  <c r="AF130" i="13"/>
  <c r="AF131" i="13"/>
  <c r="AF132" i="13"/>
  <c r="AF133" i="13"/>
  <c r="AF134" i="13"/>
  <c r="AF135" i="13"/>
  <c r="AF136" i="13"/>
  <c r="AF137" i="13"/>
  <c r="AF138" i="13"/>
  <c r="AF139" i="13"/>
  <c r="AF140" i="13"/>
  <c r="AF141" i="13"/>
  <c r="AF142" i="13"/>
  <c r="AF143" i="13"/>
  <c r="AF144" i="13"/>
  <c r="AF145" i="13"/>
  <c r="AF146" i="13"/>
  <c r="AF147" i="13"/>
  <c r="AF148" i="13"/>
  <c r="AF149" i="13"/>
  <c r="AF150" i="13"/>
  <c r="AF151" i="13"/>
  <c r="AF152" i="13"/>
  <c r="AF153" i="13"/>
  <c r="AF154" i="13"/>
  <c r="AF155" i="13"/>
  <c r="AF156" i="13"/>
  <c r="AF157" i="13"/>
  <c r="AF158" i="13"/>
  <c r="AF159" i="13"/>
  <c r="AF160" i="13"/>
  <c r="AF161" i="13"/>
  <c r="AF162" i="13"/>
  <c r="AF163" i="13"/>
  <c r="AF164" i="13"/>
  <c r="AF165" i="13"/>
  <c r="AF166" i="13"/>
  <c r="AF167" i="13"/>
  <c r="AF168" i="13"/>
  <c r="AF169" i="13"/>
  <c r="AF170" i="13"/>
  <c r="AF171" i="13"/>
  <c r="AF172" i="13"/>
  <c r="AF173" i="13"/>
  <c r="AF174" i="13"/>
  <c r="AF175" i="13"/>
  <c r="AF176" i="13"/>
  <c r="AF177" i="13"/>
  <c r="AF178" i="13"/>
  <c r="AF179" i="13"/>
  <c r="AF180" i="13"/>
  <c r="AF181" i="13"/>
  <c r="AF182" i="13"/>
  <c r="AF183" i="13"/>
  <c r="AF184" i="13"/>
  <c r="AF185" i="13"/>
  <c r="AF186" i="13"/>
  <c r="AF187" i="13"/>
  <c r="AF188" i="13"/>
  <c r="AF189" i="13"/>
  <c r="AF190" i="13"/>
  <c r="AF191" i="13"/>
  <c r="AF192" i="13"/>
  <c r="AF193" i="13"/>
  <c r="AF194" i="13"/>
  <c r="AF195" i="13"/>
  <c r="AF196" i="13"/>
  <c r="AF197" i="13"/>
  <c r="AF198" i="13"/>
  <c r="AF199" i="13"/>
  <c r="AF200" i="13"/>
  <c r="AF201" i="13"/>
  <c r="AF202" i="13"/>
  <c r="AF203" i="13"/>
  <c r="AF204" i="13"/>
  <c r="AF205" i="13"/>
  <c r="AF206" i="13"/>
  <c r="AF207" i="13"/>
  <c r="AF208" i="13"/>
  <c r="AF209" i="13"/>
  <c r="AF210" i="13"/>
  <c r="AF211" i="13"/>
  <c r="AF212" i="13"/>
  <c r="AF213" i="13"/>
  <c r="AF214" i="13"/>
  <c r="AF215" i="13"/>
  <c r="AF216" i="13"/>
  <c r="AF217" i="13"/>
  <c r="AF218" i="13"/>
  <c r="AF219" i="13"/>
  <c r="AF220" i="13"/>
  <c r="AF221" i="13"/>
  <c r="AF222" i="13"/>
  <c r="AF223" i="13"/>
  <c r="AF224" i="13"/>
  <c r="AF225" i="13"/>
  <c r="AF226" i="13"/>
  <c r="AF227" i="13"/>
  <c r="AF228" i="13"/>
  <c r="AF229" i="13"/>
  <c r="AF230" i="13"/>
  <c r="AF231" i="13"/>
  <c r="AF232" i="13"/>
  <c r="AF233" i="13"/>
  <c r="AF234" i="13"/>
  <c r="AF235" i="13"/>
  <c r="AF236" i="13"/>
  <c r="AF237" i="13"/>
  <c r="AF238" i="13"/>
  <c r="AF239" i="13"/>
  <c r="AF240" i="13"/>
  <c r="AF241" i="13"/>
  <c r="AF242" i="13"/>
  <c r="AF243" i="13"/>
  <c r="AF244" i="13"/>
  <c r="AF245" i="13"/>
  <c r="AF246" i="13"/>
  <c r="AF247" i="13"/>
  <c r="AF248" i="13"/>
  <c r="AF249" i="13"/>
  <c r="AF250" i="13"/>
  <c r="AF251" i="13"/>
  <c r="AF252" i="13"/>
  <c r="AF253" i="13"/>
  <c r="AF254" i="13"/>
  <c r="AF255" i="13"/>
  <c r="AF256" i="13"/>
  <c r="AF257" i="13"/>
  <c r="AF258" i="13"/>
  <c r="AF259" i="13"/>
  <c r="AF260" i="13"/>
  <c r="AF261" i="13"/>
  <c r="AF262" i="13"/>
  <c r="AF263" i="13"/>
  <c r="AF264" i="13"/>
  <c r="AF265" i="13"/>
  <c r="AF266" i="13"/>
  <c r="AF267" i="13"/>
  <c r="AF268" i="13"/>
  <c r="AF269" i="13"/>
  <c r="AF270" i="13"/>
  <c r="AF271" i="13"/>
  <c r="AF272" i="13"/>
  <c r="AF273" i="13"/>
  <c r="AF274" i="13"/>
  <c r="AF275" i="13"/>
  <c r="AF276" i="13"/>
  <c r="AF277" i="13"/>
  <c r="AF278" i="13"/>
  <c r="AF279" i="13"/>
  <c r="AF280" i="13"/>
  <c r="AF281" i="13"/>
  <c r="AF282" i="13"/>
  <c r="AF283" i="13"/>
  <c r="AF284" i="13"/>
  <c r="AF285" i="13"/>
  <c r="AF286" i="13"/>
  <c r="AF287" i="13"/>
  <c r="AF288" i="13"/>
  <c r="AF289" i="13"/>
  <c r="AF2" i="13"/>
  <c r="D293" i="13"/>
  <c r="L291" i="13"/>
  <c r="E291" i="13"/>
  <c r="AD289" i="13"/>
  <c r="Y289" i="13"/>
  <c r="M289" i="13"/>
  <c r="N289" i="13" s="1"/>
  <c r="K289" i="13"/>
  <c r="AD288" i="13"/>
  <c r="Y288" i="13"/>
  <c r="N288" i="13"/>
  <c r="M288" i="13"/>
  <c r="K288" i="13"/>
  <c r="B288" i="13"/>
  <c r="AD287" i="13"/>
  <c r="Y287" i="13"/>
  <c r="K287" i="13"/>
  <c r="M287" i="13" s="1"/>
  <c r="B287" i="13"/>
  <c r="AD286" i="13"/>
  <c r="Y286" i="13"/>
  <c r="M286" i="13"/>
  <c r="K286" i="13"/>
  <c r="B286" i="13"/>
  <c r="AD285" i="13"/>
  <c r="Y285" i="13"/>
  <c r="M285" i="13"/>
  <c r="N285" i="13" s="1"/>
  <c r="K285" i="13"/>
  <c r="B285" i="13"/>
  <c r="AD284" i="13"/>
  <c r="Y284" i="13"/>
  <c r="M284" i="13"/>
  <c r="K284" i="13"/>
  <c r="B284" i="13"/>
  <c r="AD283" i="13"/>
  <c r="Y283" i="13"/>
  <c r="M283" i="13"/>
  <c r="N283" i="13" s="1"/>
  <c r="K283" i="13"/>
  <c r="B283" i="13"/>
  <c r="AD282" i="13"/>
  <c r="Y282" i="13"/>
  <c r="M282" i="13"/>
  <c r="K282" i="13"/>
  <c r="C282" i="13"/>
  <c r="B282" i="13"/>
  <c r="AD281" i="13"/>
  <c r="Y281" i="13"/>
  <c r="S281" i="13"/>
  <c r="T281" i="13" s="1"/>
  <c r="U281" i="13" s="1"/>
  <c r="B281" i="13" s="1"/>
  <c r="R281" i="13"/>
  <c r="P281" i="13"/>
  <c r="M281" i="13"/>
  <c r="K281" i="13"/>
  <c r="Q281" i="13" s="1"/>
  <c r="W281" i="13" s="1"/>
  <c r="C281" i="13"/>
  <c r="AD280" i="13"/>
  <c r="Y280" i="13"/>
  <c r="Q280" i="13"/>
  <c r="P280" i="13"/>
  <c r="K280" i="13"/>
  <c r="S280" i="13" s="1"/>
  <c r="T280" i="13" s="1"/>
  <c r="U280" i="13" s="1"/>
  <c r="B280" i="13" s="1"/>
  <c r="C280" i="13"/>
  <c r="AD279" i="13"/>
  <c r="Y279" i="13"/>
  <c r="P279" i="13"/>
  <c r="K279" i="13"/>
  <c r="C279" i="13"/>
  <c r="AD278" i="13"/>
  <c r="Y278" i="13"/>
  <c r="S278" i="13"/>
  <c r="P278" i="13"/>
  <c r="K278" i="13"/>
  <c r="R278" i="13" s="1"/>
  <c r="C278" i="13"/>
  <c r="AD277" i="13"/>
  <c r="Y277" i="13"/>
  <c r="T277" i="13"/>
  <c r="U277" i="13" s="1"/>
  <c r="B277" i="13" s="1"/>
  <c r="S277" i="13"/>
  <c r="P277" i="13"/>
  <c r="K277" i="13"/>
  <c r="R277" i="13" s="1"/>
  <c r="C277" i="13"/>
  <c r="AD276" i="13"/>
  <c r="Y276" i="13"/>
  <c r="S276" i="13"/>
  <c r="P276" i="13"/>
  <c r="K276" i="13"/>
  <c r="R276" i="13" s="1"/>
  <c r="AD275" i="13"/>
  <c r="Y275" i="13"/>
  <c r="M275" i="13"/>
  <c r="K275" i="13"/>
  <c r="B275" i="13"/>
  <c r="AD274" i="13"/>
  <c r="Y274" i="13"/>
  <c r="N274" i="13"/>
  <c r="K274" i="13"/>
  <c r="M274" i="13" s="1"/>
  <c r="B274" i="13"/>
  <c r="AD273" i="13"/>
  <c r="Y273" i="13"/>
  <c r="M273" i="13"/>
  <c r="N273" i="13" s="1"/>
  <c r="K273" i="13"/>
  <c r="B273" i="13"/>
  <c r="AD272" i="13"/>
  <c r="Y272" i="13"/>
  <c r="N272" i="13"/>
  <c r="K272" i="13"/>
  <c r="M272" i="13" s="1"/>
  <c r="B272" i="13"/>
  <c r="AD271" i="13"/>
  <c r="Y271" i="13"/>
  <c r="M271" i="13"/>
  <c r="K271" i="13"/>
  <c r="B271" i="13"/>
  <c r="AD270" i="13"/>
  <c r="Y270" i="13"/>
  <c r="N270" i="13"/>
  <c r="K270" i="13"/>
  <c r="M270" i="13" s="1"/>
  <c r="B270" i="13"/>
  <c r="AD269" i="13"/>
  <c r="Y269" i="13"/>
  <c r="M269" i="13"/>
  <c r="N269" i="13" s="1"/>
  <c r="K269" i="13"/>
  <c r="B269" i="13"/>
  <c r="AD268" i="13"/>
  <c r="Y268" i="13"/>
  <c r="N268" i="13"/>
  <c r="K268" i="13"/>
  <c r="M268" i="13" s="1"/>
  <c r="B268" i="13"/>
  <c r="AD267" i="13"/>
  <c r="Y267" i="13"/>
  <c r="M267" i="13"/>
  <c r="K267" i="13"/>
  <c r="B267" i="13"/>
  <c r="AD266" i="13"/>
  <c r="Y266" i="13"/>
  <c r="N266" i="13"/>
  <c r="K266" i="13"/>
  <c r="M266" i="13" s="1"/>
  <c r="B266" i="13"/>
  <c r="AD265" i="13"/>
  <c r="Y265" i="13"/>
  <c r="M265" i="13"/>
  <c r="N265" i="13" s="1"/>
  <c r="K265" i="13"/>
  <c r="B265" i="13"/>
  <c r="AD264" i="13"/>
  <c r="Y264" i="13"/>
  <c r="N264" i="13"/>
  <c r="K264" i="13"/>
  <c r="M264" i="13" s="1"/>
  <c r="B264" i="13"/>
  <c r="AD263" i="13"/>
  <c r="Y263" i="13"/>
  <c r="M263" i="13"/>
  <c r="K263" i="13"/>
  <c r="B263" i="13"/>
  <c r="AD262" i="13"/>
  <c r="Y262" i="13"/>
  <c r="N262" i="13"/>
  <c r="K262" i="13"/>
  <c r="M262" i="13" s="1"/>
  <c r="B262" i="13"/>
  <c r="AD261" i="13"/>
  <c r="Y261" i="13"/>
  <c r="K261" i="13"/>
  <c r="M261" i="13" s="1"/>
  <c r="N261" i="13" s="1"/>
  <c r="B261" i="13"/>
  <c r="AD260" i="13"/>
  <c r="Y260" i="13"/>
  <c r="N260" i="13"/>
  <c r="K260" i="13"/>
  <c r="M260" i="13" s="1"/>
  <c r="B260" i="13"/>
  <c r="AD259" i="13"/>
  <c r="Y259" i="13"/>
  <c r="K259" i="13"/>
  <c r="M259" i="13" s="1"/>
  <c r="N259" i="13" s="1"/>
  <c r="B259" i="13"/>
  <c r="AD258" i="13"/>
  <c r="Y258" i="13"/>
  <c r="N258" i="13"/>
  <c r="K258" i="13"/>
  <c r="M258" i="13" s="1"/>
  <c r="C258" i="13"/>
  <c r="B258" i="13"/>
  <c r="AD257" i="13"/>
  <c r="Y257" i="13"/>
  <c r="S257" i="13"/>
  <c r="T257" i="13" s="1"/>
  <c r="U257" i="13" s="1"/>
  <c r="B257" i="13" s="1"/>
  <c r="P257" i="13"/>
  <c r="K257" i="13"/>
  <c r="C257" i="13"/>
  <c r="AD256" i="13"/>
  <c r="Y256" i="13"/>
  <c r="T256" i="13"/>
  <c r="U256" i="13" s="1"/>
  <c r="B256" i="13" s="1"/>
  <c r="S256" i="13"/>
  <c r="R256" i="13"/>
  <c r="P256" i="13"/>
  <c r="N256" i="13"/>
  <c r="M256" i="13"/>
  <c r="K256" i="13"/>
  <c r="Q256" i="13" s="1"/>
  <c r="C256" i="13"/>
  <c r="AD255" i="13"/>
  <c r="Y255" i="13"/>
  <c r="S255" i="13"/>
  <c r="T255" i="13" s="1"/>
  <c r="U255" i="13" s="1"/>
  <c r="P255" i="13"/>
  <c r="K255" i="13"/>
  <c r="R255" i="13" s="1"/>
  <c r="C255" i="13"/>
  <c r="AD254" i="13"/>
  <c r="Y254" i="13"/>
  <c r="T254" i="13"/>
  <c r="U254" i="13" s="1"/>
  <c r="Q254" i="13"/>
  <c r="P254" i="13"/>
  <c r="M254" i="13"/>
  <c r="K254" i="13"/>
  <c r="S254" i="13" s="1"/>
  <c r="C254" i="13"/>
  <c r="B254" i="13"/>
  <c r="AD253" i="13"/>
  <c r="Y253" i="13"/>
  <c r="P253" i="13"/>
  <c r="K253" i="13"/>
  <c r="C253" i="13"/>
  <c r="AD252" i="13"/>
  <c r="Y252" i="13"/>
  <c r="P252" i="13"/>
  <c r="K252" i="13"/>
  <c r="AD251" i="13"/>
  <c r="Y251" i="13"/>
  <c r="M251" i="13"/>
  <c r="N251" i="13" s="1"/>
  <c r="K251" i="13"/>
  <c r="B251" i="13"/>
  <c r="AD250" i="13"/>
  <c r="Y250" i="13"/>
  <c r="M250" i="13"/>
  <c r="N250" i="13" s="1"/>
  <c r="K250" i="13"/>
  <c r="B250" i="13"/>
  <c r="AD249" i="13"/>
  <c r="Y249" i="13"/>
  <c r="M249" i="13"/>
  <c r="N249" i="13" s="1"/>
  <c r="K249" i="13"/>
  <c r="B249" i="13"/>
  <c r="AD248" i="13"/>
  <c r="Y248" i="13"/>
  <c r="M248" i="13"/>
  <c r="N248" i="13" s="1"/>
  <c r="K248" i="13"/>
  <c r="B248" i="13"/>
  <c r="AD247" i="13"/>
  <c r="Y247" i="13"/>
  <c r="M247" i="13"/>
  <c r="N247" i="13" s="1"/>
  <c r="K247" i="13"/>
  <c r="B247" i="13"/>
  <c r="AD246" i="13"/>
  <c r="Y246" i="13"/>
  <c r="M246" i="13"/>
  <c r="K246" i="13"/>
  <c r="B246" i="13"/>
  <c r="AD245" i="13"/>
  <c r="Y245" i="13"/>
  <c r="M245" i="13"/>
  <c r="N245" i="13" s="1"/>
  <c r="K245" i="13"/>
  <c r="B245" i="13"/>
  <c r="AD244" i="13"/>
  <c r="Y244" i="13"/>
  <c r="M244" i="13"/>
  <c r="N244" i="13" s="1"/>
  <c r="K244" i="13"/>
  <c r="B244" i="13"/>
  <c r="AD243" i="13"/>
  <c r="Y243" i="13"/>
  <c r="M243" i="13"/>
  <c r="N243" i="13" s="1"/>
  <c r="K243" i="13"/>
  <c r="B243" i="13"/>
  <c r="AD242" i="13"/>
  <c r="Y242" i="13"/>
  <c r="M242" i="13"/>
  <c r="N242" i="13" s="1"/>
  <c r="K242" i="13"/>
  <c r="B242" i="13"/>
  <c r="AD241" i="13"/>
  <c r="Y241" i="13"/>
  <c r="M241" i="13"/>
  <c r="N241" i="13" s="1"/>
  <c r="K241" i="13"/>
  <c r="B241" i="13"/>
  <c r="AD240" i="13"/>
  <c r="Y240" i="13"/>
  <c r="M240" i="13"/>
  <c r="N240" i="13" s="1"/>
  <c r="K240" i="13"/>
  <c r="B240" i="13"/>
  <c r="AD239" i="13"/>
  <c r="Y239" i="13"/>
  <c r="M239" i="13"/>
  <c r="N239" i="13" s="1"/>
  <c r="K239" i="13"/>
  <c r="B239" i="13"/>
  <c r="AD238" i="13"/>
  <c r="Y238" i="13"/>
  <c r="M238" i="13"/>
  <c r="N238" i="13" s="1"/>
  <c r="K238" i="13"/>
  <c r="B238" i="13"/>
  <c r="AD237" i="13"/>
  <c r="Y237" i="13"/>
  <c r="M237" i="13"/>
  <c r="N237" i="13" s="1"/>
  <c r="K237" i="13"/>
  <c r="B237" i="13"/>
  <c r="AD236" i="13"/>
  <c r="Y236" i="13"/>
  <c r="M236" i="13"/>
  <c r="N236" i="13" s="1"/>
  <c r="K236" i="13"/>
  <c r="B236" i="13"/>
  <c r="AD235" i="13"/>
  <c r="Y235" i="13"/>
  <c r="M235" i="13"/>
  <c r="N235" i="13" s="1"/>
  <c r="K235" i="13"/>
  <c r="C235" i="13"/>
  <c r="B235" i="13"/>
  <c r="AD234" i="13"/>
  <c r="Y234" i="13"/>
  <c r="R234" i="13"/>
  <c r="P234" i="13"/>
  <c r="M234" i="13"/>
  <c r="K234" i="13"/>
  <c r="Q234" i="13" s="1"/>
  <c r="W234" i="13" s="1"/>
  <c r="C234" i="13"/>
  <c r="AD233" i="13"/>
  <c r="Y233" i="13"/>
  <c r="W233" i="13"/>
  <c r="R233" i="13"/>
  <c r="P233" i="13"/>
  <c r="M233" i="13"/>
  <c r="N233" i="13" s="1"/>
  <c r="K233" i="13"/>
  <c r="Q233" i="13" s="1"/>
  <c r="C233" i="13"/>
  <c r="AD232" i="13"/>
  <c r="Y232" i="13"/>
  <c r="Q232" i="13"/>
  <c r="P232" i="13"/>
  <c r="K232" i="13"/>
  <c r="C232" i="13"/>
  <c r="AD231" i="13"/>
  <c r="Y231" i="13"/>
  <c r="S231" i="13"/>
  <c r="R231" i="13"/>
  <c r="P231" i="13"/>
  <c r="T231" i="13" s="1"/>
  <c r="U231" i="13" s="1"/>
  <c r="M231" i="13"/>
  <c r="K231" i="13"/>
  <c r="C231" i="13"/>
  <c r="AD230" i="13"/>
  <c r="Y230" i="13"/>
  <c r="P230" i="13"/>
  <c r="K230" i="13"/>
  <c r="C230" i="13"/>
  <c r="AD229" i="13"/>
  <c r="Y229" i="13"/>
  <c r="R229" i="13"/>
  <c r="P229" i="13"/>
  <c r="M229" i="13"/>
  <c r="K229" i="13"/>
  <c r="Q229" i="13" s="1"/>
  <c r="C229" i="13"/>
  <c r="AD228" i="13"/>
  <c r="Y228" i="13"/>
  <c r="S228" i="13"/>
  <c r="T228" i="13" s="1"/>
  <c r="U228" i="13" s="1"/>
  <c r="P228" i="13"/>
  <c r="K228" i="13"/>
  <c r="C228" i="13"/>
  <c r="AD227" i="13"/>
  <c r="Y227" i="13"/>
  <c r="Q227" i="13"/>
  <c r="W227" i="13" s="1"/>
  <c r="P227" i="13"/>
  <c r="K227" i="13"/>
  <c r="AD226" i="13"/>
  <c r="Y226" i="13"/>
  <c r="K226" i="13"/>
  <c r="M226" i="13" s="1"/>
  <c r="B226" i="13"/>
  <c r="AD225" i="13"/>
  <c r="Y225" i="13"/>
  <c r="K225" i="13"/>
  <c r="M225" i="13" s="1"/>
  <c r="B225" i="13"/>
  <c r="AD224" i="13"/>
  <c r="Y224" i="13"/>
  <c r="K224" i="13"/>
  <c r="M224" i="13" s="1"/>
  <c r="B224" i="13"/>
  <c r="AD223" i="13"/>
  <c r="Y223" i="13"/>
  <c r="N223" i="13"/>
  <c r="K223" i="13"/>
  <c r="M223" i="13" s="1"/>
  <c r="B223" i="13"/>
  <c r="AD222" i="13"/>
  <c r="Y222" i="13"/>
  <c r="K222" i="13"/>
  <c r="M222" i="13" s="1"/>
  <c r="N222" i="13" s="1"/>
  <c r="B222" i="13"/>
  <c r="AD221" i="13"/>
  <c r="Y221" i="13"/>
  <c r="N221" i="13"/>
  <c r="K221" i="13"/>
  <c r="M221" i="13" s="1"/>
  <c r="B221" i="13"/>
  <c r="AD220" i="13"/>
  <c r="Y220" i="13"/>
  <c r="K220" i="13"/>
  <c r="M220" i="13" s="1"/>
  <c r="N220" i="13" s="1"/>
  <c r="B220" i="13"/>
  <c r="AD219" i="13"/>
  <c r="Y219" i="13"/>
  <c r="K219" i="13"/>
  <c r="M219" i="13" s="1"/>
  <c r="B219" i="13"/>
  <c r="AD218" i="13"/>
  <c r="Y218" i="13"/>
  <c r="K218" i="13"/>
  <c r="M218" i="13" s="1"/>
  <c r="B218" i="13"/>
  <c r="AD217" i="13"/>
  <c r="Y217" i="13"/>
  <c r="K217" i="13"/>
  <c r="M217" i="13" s="1"/>
  <c r="B217" i="13"/>
  <c r="AD216" i="13"/>
  <c r="Y216" i="13"/>
  <c r="K216" i="13"/>
  <c r="M216" i="13" s="1"/>
  <c r="B216" i="13"/>
  <c r="AD215" i="13"/>
  <c r="Y215" i="13"/>
  <c r="K215" i="13"/>
  <c r="M215" i="13" s="1"/>
  <c r="B215" i="13"/>
  <c r="AD214" i="13"/>
  <c r="Y214" i="13"/>
  <c r="K214" i="13"/>
  <c r="M214" i="13" s="1"/>
  <c r="B214" i="13"/>
  <c r="AD213" i="13"/>
  <c r="Y213" i="13"/>
  <c r="K213" i="13"/>
  <c r="M213" i="13" s="1"/>
  <c r="B213" i="13"/>
  <c r="AD212" i="13"/>
  <c r="Y212" i="13"/>
  <c r="K212" i="13"/>
  <c r="M212" i="13" s="1"/>
  <c r="C212" i="13"/>
  <c r="B212" i="13"/>
  <c r="AD211" i="13"/>
  <c r="Y211" i="13"/>
  <c r="Q211" i="13"/>
  <c r="W211" i="13" s="1"/>
  <c r="P211" i="13"/>
  <c r="K211" i="13"/>
  <c r="C211" i="13"/>
  <c r="AD210" i="13"/>
  <c r="Y210" i="13"/>
  <c r="Q210" i="13"/>
  <c r="W210" i="13" s="1"/>
  <c r="P210" i="13"/>
  <c r="K210" i="13"/>
  <c r="C210" i="13"/>
  <c r="AD209" i="13"/>
  <c r="Y209" i="13"/>
  <c r="Q209" i="13"/>
  <c r="W209" i="13" s="1"/>
  <c r="P209" i="13"/>
  <c r="K209" i="13"/>
  <c r="C209" i="13"/>
  <c r="AD208" i="13"/>
  <c r="Y208" i="13"/>
  <c r="S208" i="13"/>
  <c r="T208" i="13" s="1"/>
  <c r="U208" i="13" s="1"/>
  <c r="R208" i="13"/>
  <c r="P208" i="13"/>
  <c r="M208" i="13"/>
  <c r="K208" i="13"/>
  <c r="C208" i="13"/>
  <c r="AD207" i="13"/>
  <c r="Y207" i="13"/>
  <c r="S207" i="13"/>
  <c r="T207" i="13" s="1"/>
  <c r="U207" i="13" s="1"/>
  <c r="R207" i="13"/>
  <c r="P207" i="13"/>
  <c r="M207" i="13"/>
  <c r="N207" i="13" s="1"/>
  <c r="K207" i="13"/>
  <c r="Q207" i="13" s="1"/>
  <c r="C207" i="13"/>
  <c r="AD206" i="13"/>
  <c r="Y206" i="13"/>
  <c r="P206" i="13"/>
  <c r="K206" i="13"/>
  <c r="C206" i="13"/>
  <c r="AD205" i="13"/>
  <c r="Y205" i="13"/>
  <c r="P205" i="13"/>
  <c r="Q205" i="13" s="1"/>
  <c r="K205" i="13"/>
  <c r="C205" i="13"/>
  <c r="AD204" i="13"/>
  <c r="Y204" i="13"/>
  <c r="S204" i="13"/>
  <c r="T204" i="13" s="1"/>
  <c r="U204" i="13" s="1"/>
  <c r="R204" i="13"/>
  <c r="P204" i="13"/>
  <c r="M204" i="13"/>
  <c r="K204" i="13"/>
  <c r="C204" i="13"/>
  <c r="AD203" i="13"/>
  <c r="Y203" i="13"/>
  <c r="S203" i="13"/>
  <c r="R203" i="13"/>
  <c r="P203" i="13"/>
  <c r="M203" i="13"/>
  <c r="N203" i="13" s="1"/>
  <c r="K203" i="13"/>
  <c r="AD202" i="13"/>
  <c r="Y202" i="13"/>
  <c r="K202" i="13"/>
  <c r="M202" i="13" s="1"/>
  <c r="N202" i="13" s="1"/>
  <c r="B202" i="13"/>
  <c r="AD201" i="13"/>
  <c r="Y201" i="13"/>
  <c r="M201" i="13"/>
  <c r="K201" i="13"/>
  <c r="B201" i="13"/>
  <c r="AD200" i="13"/>
  <c r="Y200" i="13"/>
  <c r="K200" i="13"/>
  <c r="M200" i="13" s="1"/>
  <c r="B200" i="13"/>
  <c r="AD199" i="13"/>
  <c r="Y199" i="13"/>
  <c r="M199" i="13"/>
  <c r="N199" i="13" s="1"/>
  <c r="K199" i="13"/>
  <c r="B199" i="13"/>
  <c r="AD198" i="13"/>
  <c r="Y198" i="13"/>
  <c r="K198" i="13"/>
  <c r="M198" i="13" s="1"/>
  <c r="N198" i="13" s="1"/>
  <c r="B198" i="13"/>
  <c r="AD197" i="13"/>
  <c r="Y197" i="13"/>
  <c r="M197" i="13"/>
  <c r="N197" i="13" s="1"/>
  <c r="K197" i="13"/>
  <c r="B197" i="13"/>
  <c r="AD196" i="13"/>
  <c r="Y196" i="13"/>
  <c r="K196" i="13"/>
  <c r="M196" i="13" s="1"/>
  <c r="B196" i="13"/>
  <c r="AD195" i="13"/>
  <c r="Y195" i="13"/>
  <c r="M195" i="13"/>
  <c r="N195" i="13" s="1"/>
  <c r="K195" i="13"/>
  <c r="B195" i="13"/>
  <c r="AD194" i="13"/>
  <c r="Y194" i="13"/>
  <c r="K194" i="13"/>
  <c r="M194" i="13" s="1"/>
  <c r="N194" i="13" s="1"/>
  <c r="B194" i="13"/>
  <c r="AD193" i="13"/>
  <c r="Y193" i="13"/>
  <c r="M193" i="13"/>
  <c r="N193" i="13" s="1"/>
  <c r="K193" i="13"/>
  <c r="B193" i="13"/>
  <c r="AD192" i="13"/>
  <c r="Y192" i="13"/>
  <c r="K192" i="13"/>
  <c r="M192" i="13" s="1"/>
  <c r="B192" i="13"/>
  <c r="AD191" i="13"/>
  <c r="Y191" i="13"/>
  <c r="M191" i="13"/>
  <c r="N191" i="13" s="1"/>
  <c r="K191" i="13"/>
  <c r="B191" i="13"/>
  <c r="AD190" i="13"/>
  <c r="Y190" i="13"/>
  <c r="K190" i="13"/>
  <c r="M190" i="13" s="1"/>
  <c r="C190" i="13"/>
  <c r="B190" i="13"/>
  <c r="AD189" i="13"/>
  <c r="Y189" i="13"/>
  <c r="P189" i="13"/>
  <c r="K189" i="13"/>
  <c r="S189" i="13" s="1"/>
  <c r="C189" i="13"/>
  <c r="AD188" i="13"/>
  <c r="Y188" i="13"/>
  <c r="S188" i="13"/>
  <c r="T188" i="13" s="1"/>
  <c r="U188" i="13" s="1"/>
  <c r="B188" i="13" s="1"/>
  <c r="P188" i="13"/>
  <c r="K188" i="13"/>
  <c r="R188" i="13" s="1"/>
  <c r="C188" i="13"/>
  <c r="AD187" i="13"/>
  <c r="Y187" i="13"/>
  <c r="S187" i="13"/>
  <c r="T187" i="13" s="1"/>
  <c r="U187" i="13" s="1"/>
  <c r="B187" i="13" s="1"/>
  <c r="P187" i="13"/>
  <c r="K187" i="13"/>
  <c r="R187" i="13" s="1"/>
  <c r="C187" i="13"/>
  <c r="AD186" i="13"/>
  <c r="Y186" i="13"/>
  <c r="S186" i="13"/>
  <c r="T186" i="13" s="1"/>
  <c r="U186" i="13" s="1"/>
  <c r="B186" i="13" s="1"/>
  <c r="P186" i="13"/>
  <c r="K186" i="13"/>
  <c r="R186" i="13" s="1"/>
  <c r="C186" i="13"/>
  <c r="AD185" i="13"/>
  <c r="Y185" i="13"/>
  <c r="S185" i="13"/>
  <c r="R185" i="13"/>
  <c r="P185" i="13"/>
  <c r="T185" i="13" s="1"/>
  <c r="U185" i="13" s="1"/>
  <c r="M185" i="13"/>
  <c r="K185" i="13"/>
  <c r="Q185" i="13" s="1"/>
  <c r="B185" i="13" s="1"/>
  <c r="C185" i="13"/>
  <c r="AD184" i="13"/>
  <c r="Y184" i="13"/>
  <c r="P184" i="13"/>
  <c r="K184" i="13"/>
  <c r="C184" i="13"/>
  <c r="AD183" i="13"/>
  <c r="Y183" i="13"/>
  <c r="R183" i="13"/>
  <c r="P183" i="13"/>
  <c r="M183" i="13"/>
  <c r="K183" i="13"/>
  <c r="Q183" i="13" s="1"/>
  <c r="C183" i="13"/>
  <c r="AD182" i="13"/>
  <c r="Y182" i="13"/>
  <c r="S182" i="13"/>
  <c r="T182" i="13" s="1"/>
  <c r="U182" i="13" s="1"/>
  <c r="P182" i="13"/>
  <c r="K182" i="13"/>
  <c r="R182" i="13" s="1"/>
  <c r="C182" i="13"/>
  <c r="AD181" i="13"/>
  <c r="Y181" i="13"/>
  <c r="S181" i="13"/>
  <c r="R181" i="13"/>
  <c r="P181" i="13"/>
  <c r="T181" i="13" s="1"/>
  <c r="U181" i="13" s="1"/>
  <c r="M181" i="13"/>
  <c r="K181" i="13"/>
  <c r="Q181" i="13" s="1"/>
  <c r="B181" i="13" s="1"/>
  <c r="C181" i="13"/>
  <c r="AD180" i="13"/>
  <c r="Y180" i="13"/>
  <c r="P180" i="13"/>
  <c r="K180" i="13"/>
  <c r="C180" i="13"/>
  <c r="AD179" i="13"/>
  <c r="Y179" i="13"/>
  <c r="P179" i="13"/>
  <c r="K179" i="13"/>
  <c r="C179" i="13"/>
  <c r="AD178" i="13"/>
  <c r="Y178" i="13"/>
  <c r="Q178" i="13"/>
  <c r="W178" i="13" s="1"/>
  <c r="P178" i="13"/>
  <c r="K178" i="13"/>
  <c r="AD177" i="13"/>
  <c r="Y177" i="13"/>
  <c r="N177" i="13"/>
  <c r="K177" i="13"/>
  <c r="M177" i="13" s="1"/>
  <c r="B177" i="13"/>
  <c r="AD176" i="13"/>
  <c r="Y176" i="13"/>
  <c r="K176" i="13"/>
  <c r="M176" i="13" s="1"/>
  <c r="B176" i="13"/>
  <c r="AD175" i="13"/>
  <c r="Y175" i="13"/>
  <c r="N175" i="13"/>
  <c r="K175" i="13"/>
  <c r="M175" i="13" s="1"/>
  <c r="B175" i="13"/>
  <c r="AD174" i="13"/>
  <c r="Y174" i="13"/>
  <c r="K174" i="13"/>
  <c r="M174" i="13" s="1"/>
  <c r="B174" i="13"/>
  <c r="AD173" i="13"/>
  <c r="Y173" i="13"/>
  <c r="N173" i="13"/>
  <c r="K173" i="13"/>
  <c r="M173" i="13" s="1"/>
  <c r="B173" i="13"/>
  <c r="AD172" i="13"/>
  <c r="Y172" i="13"/>
  <c r="K172" i="13"/>
  <c r="M172" i="13" s="1"/>
  <c r="B172" i="13"/>
  <c r="AD171" i="13"/>
  <c r="Y171" i="13"/>
  <c r="N171" i="13"/>
  <c r="K171" i="13"/>
  <c r="M171" i="13" s="1"/>
  <c r="B171" i="13"/>
  <c r="AD170" i="13"/>
  <c r="Y170" i="13"/>
  <c r="K170" i="13"/>
  <c r="M170" i="13" s="1"/>
  <c r="B170" i="13"/>
  <c r="AD169" i="13"/>
  <c r="Y169" i="13"/>
  <c r="N169" i="13"/>
  <c r="K169" i="13"/>
  <c r="M169" i="13" s="1"/>
  <c r="B169" i="13"/>
  <c r="AD168" i="13"/>
  <c r="Y168" i="13"/>
  <c r="K168" i="13"/>
  <c r="M168" i="13" s="1"/>
  <c r="B168" i="13"/>
  <c r="AD167" i="13"/>
  <c r="Y167" i="13"/>
  <c r="N167" i="13"/>
  <c r="K167" i="13"/>
  <c r="M167" i="13" s="1"/>
  <c r="B167" i="13"/>
  <c r="AD166" i="13"/>
  <c r="Y166" i="13"/>
  <c r="K166" i="13"/>
  <c r="M166" i="13" s="1"/>
  <c r="C166" i="13"/>
  <c r="B166" i="13"/>
  <c r="AD165" i="13"/>
  <c r="Y165" i="13"/>
  <c r="P165" i="13"/>
  <c r="K165" i="13"/>
  <c r="C165" i="13"/>
  <c r="AD164" i="13"/>
  <c r="Y164" i="13"/>
  <c r="Q164" i="13"/>
  <c r="W164" i="13" s="1"/>
  <c r="P164" i="13"/>
  <c r="K164" i="13"/>
  <c r="C164" i="13"/>
  <c r="AD163" i="13"/>
  <c r="Y163" i="13"/>
  <c r="P163" i="13"/>
  <c r="K163" i="13"/>
  <c r="C163" i="13"/>
  <c r="AD162" i="13"/>
  <c r="Y162" i="13"/>
  <c r="U162" i="13"/>
  <c r="B162" i="13" s="1"/>
  <c r="S162" i="13"/>
  <c r="T162" i="13" s="1"/>
  <c r="R162" i="13"/>
  <c r="P162" i="13"/>
  <c r="N162" i="13"/>
  <c r="M162" i="13"/>
  <c r="K162" i="13"/>
  <c r="Q162" i="13" s="1"/>
  <c r="W162" i="13" s="1"/>
  <c r="C162" i="13"/>
  <c r="AD161" i="13"/>
  <c r="Y161" i="13"/>
  <c r="P161" i="13"/>
  <c r="T161" i="13" s="1"/>
  <c r="U161" i="13" s="1"/>
  <c r="M161" i="13"/>
  <c r="K161" i="13"/>
  <c r="S161" i="13" s="1"/>
  <c r="C161" i="13"/>
  <c r="AD160" i="13"/>
  <c r="Y160" i="13"/>
  <c r="Q160" i="13"/>
  <c r="P160" i="13"/>
  <c r="K160" i="13"/>
  <c r="C160" i="13"/>
  <c r="AD159" i="13"/>
  <c r="Y159" i="13"/>
  <c r="S159" i="13"/>
  <c r="R159" i="13"/>
  <c r="P159" i="13"/>
  <c r="T159" i="13" s="1"/>
  <c r="U159" i="13" s="1"/>
  <c r="N159" i="13"/>
  <c r="M159" i="13"/>
  <c r="K159" i="13"/>
  <c r="C159" i="13"/>
  <c r="AD158" i="13"/>
  <c r="Y158" i="13"/>
  <c r="S158" i="13"/>
  <c r="T158" i="13" s="1"/>
  <c r="U158" i="13" s="1"/>
  <c r="R158" i="13"/>
  <c r="P158" i="13"/>
  <c r="N158" i="13"/>
  <c r="M158" i="13"/>
  <c r="K158" i="13"/>
  <c r="Q158" i="13" s="1"/>
  <c r="C158" i="13"/>
  <c r="AD157" i="13"/>
  <c r="Y157" i="13"/>
  <c r="R157" i="13"/>
  <c r="P157" i="13"/>
  <c r="M157" i="13"/>
  <c r="K157" i="13"/>
  <c r="S157" i="13" s="1"/>
  <c r="T157" i="13" s="1"/>
  <c r="U157" i="13" s="1"/>
  <c r="C157" i="13"/>
  <c r="AD156" i="13"/>
  <c r="Y156" i="13"/>
  <c r="P156" i="13"/>
  <c r="K156" i="13"/>
  <c r="C156" i="13"/>
  <c r="AD155" i="13"/>
  <c r="Y155" i="13"/>
  <c r="T155" i="13"/>
  <c r="U155" i="13" s="1"/>
  <c r="S155" i="13"/>
  <c r="R155" i="13"/>
  <c r="P155" i="13"/>
  <c r="N155" i="13"/>
  <c r="M155" i="13"/>
  <c r="K155" i="13"/>
  <c r="C155" i="13"/>
  <c r="AD154" i="13"/>
  <c r="Y154" i="13"/>
  <c r="T154" i="13"/>
  <c r="U154" i="13" s="1"/>
  <c r="B154" i="13" s="1"/>
  <c r="S154" i="13"/>
  <c r="R154" i="13"/>
  <c r="P154" i="13"/>
  <c r="N154" i="13"/>
  <c r="M154" i="13"/>
  <c r="K154" i="13"/>
  <c r="AD153" i="13"/>
  <c r="Y153" i="13"/>
  <c r="M153" i="13"/>
  <c r="N153" i="13" s="1"/>
  <c r="K153" i="13"/>
  <c r="B153" i="13"/>
  <c r="AD152" i="13"/>
  <c r="Y152" i="13"/>
  <c r="N152" i="13"/>
  <c r="M152" i="13"/>
  <c r="K152" i="13"/>
  <c r="B152" i="13"/>
  <c r="AD151" i="13"/>
  <c r="Y151" i="13"/>
  <c r="M151" i="13"/>
  <c r="K151" i="13"/>
  <c r="B151" i="13"/>
  <c r="AD150" i="13"/>
  <c r="Y150" i="13"/>
  <c r="N150" i="13"/>
  <c r="M150" i="13"/>
  <c r="K150" i="13"/>
  <c r="B150" i="13"/>
  <c r="AD149" i="13"/>
  <c r="Y149" i="13"/>
  <c r="M149" i="13"/>
  <c r="N149" i="13" s="1"/>
  <c r="K149" i="13"/>
  <c r="B149" i="13"/>
  <c r="AD148" i="13"/>
  <c r="Y148" i="13"/>
  <c r="N148" i="13"/>
  <c r="M148" i="13"/>
  <c r="K148" i="13"/>
  <c r="B148" i="13"/>
  <c r="AD147" i="13"/>
  <c r="Y147" i="13"/>
  <c r="M147" i="13"/>
  <c r="K147" i="13"/>
  <c r="B147" i="13"/>
  <c r="AD146" i="13"/>
  <c r="Y146" i="13"/>
  <c r="N146" i="13"/>
  <c r="M146" i="13"/>
  <c r="K146" i="13"/>
  <c r="B146" i="13"/>
  <c r="AD145" i="13"/>
  <c r="Y145" i="13"/>
  <c r="M145" i="13"/>
  <c r="N145" i="13" s="1"/>
  <c r="K145" i="13"/>
  <c r="B145" i="13"/>
  <c r="AD144" i="13"/>
  <c r="Y144" i="13"/>
  <c r="N144" i="13"/>
  <c r="M144" i="13"/>
  <c r="K144" i="13"/>
  <c r="B144" i="13"/>
  <c r="AD143" i="13"/>
  <c r="Y143" i="13"/>
  <c r="M143" i="13"/>
  <c r="K143" i="13"/>
  <c r="B143" i="13"/>
  <c r="AD142" i="13"/>
  <c r="Y142" i="13"/>
  <c r="N142" i="13"/>
  <c r="M142" i="13"/>
  <c r="K142" i="13"/>
  <c r="B142" i="13"/>
  <c r="AD141" i="13"/>
  <c r="Y141" i="13"/>
  <c r="M141" i="13"/>
  <c r="N141" i="13" s="1"/>
  <c r="K141" i="13"/>
  <c r="C141" i="13"/>
  <c r="B141" i="13"/>
  <c r="AD140" i="13"/>
  <c r="Y140" i="13"/>
  <c r="R140" i="13"/>
  <c r="P140" i="13"/>
  <c r="M140" i="13"/>
  <c r="K140" i="13"/>
  <c r="S140" i="13" s="1"/>
  <c r="T140" i="13" s="1"/>
  <c r="U140" i="13" s="1"/>
  <c r="B140" i="13" s="1"/>
  <c r="C140" i="13"/>
  <c r="AD139" i="13"/>
  <c r="Y139" i="13"/>
  <c r="R139" i="13"/>
  <c r="P139" i="13"/>
  <c r="M139" i="13"/>
  <c r="K139" i="13"/>
  <c r="S139" i="13" s="1"/>
  <c r="T139" i="13" s="1"/>
  <c r="U139" i="13" s="1"/>
  <c r="C139" i="13"/>
  <c r="B139" i="13"/>
  <c r="AD138" i="13"/>
  <c r="Y138" i="13"/>
  <c r="R138" i="13"/>
  <c r="P138" i="13"/>
  <c r="M138" i="13"/>
  <c r="K138" i="13"/>
  <c r="S138" i="13" s="1"/>
  <c r="T138" i="13" s="1"/>
  <c r="U138" i="13" s="1"/>
  <c r="C138" i="13"/>
  <c r="B138" i="13"/>
  <c r="AD137" i="13"/>
  <c r="Y137" i="13"/>
  <c r="Q137" i="13"/>
  <c r="P137" i="13"/>
  <c r="K137" i="13"/>
  <c r="C137" i="13"/>
  <c r="AD136" i="13"/>
  <c r="Y136" i="13"/>
  <c r="T136" i="13"/>
  <c r="U136" i="13" s="1"/>
  <c r="S136" i="13"/>
  <c r="R136" i="13"/>
  <c r="P136" i="13"/>
  <c r="N136" i="13"/>
  <c r="M136" i="13"/>
  <c r="K136" i="13"/>
  <c r="Q136" i="13" s="1"/>
  <c r="C136" i="13"/>
  <c r="AD135" i="13"/>
  <c r="Y135" i="13"/>
  <c r="S135" i="13"/>
  <c r="T135" i="13" s="1"/>
  <c r="U135" i="13" s="1"/>
  <c r="B135" i="13" s="1"/>
  <c r="R135" i="13"/>
  <c r="P135" i="13"/>
  <c r="N135" i="13"/>
  <c r="M135" i="13"/>
  <c r="K135" i="13"/>
  <c r="Q135" i="13" s="1"/>
  <c r="C135" i="13"/>
  <c r="AD134" i="13"/>
  <c r="Y134" i="13"/>
  <c r="R134" i="13"/>
  <c r="P134" i="13"/>
  <c r="M134" i="13"/>
  <c r="K134" i="13"/>
  <c r="S134" i="13" s="1"/>
  <c r="T134" i="13" s="1"/>
  <c r="U134" i="13" s="1"/>
  <c r="C134" i="13"/>
  <c r="AD133" i="13"/>
  <c r="Y133" i="13"/>
  <c r="Q133" i="13"/>
  <c r="P133" i="13"/>
  <c r="K133" i="13"/>
  <c r="C133" i="13"/>
  <c r="AD132" i="13"/>
  <c r="Y132" i="13"/>
  <c r="T132" i="13"/>
  <c r="U132" i="13" s="1"/>
  <c r="S132" i="13"/>
  <c r="R132" i="13"/>
  <c r="P132" i="13"/>
  <c r="N132" i="13"/>
  <c r="M132" i="13"/>
  <c r="K132" i="13"/>
  <c r="Q132" i="13" s="1"/>
  <c r="C132" i="13"/>
  <c r="AD131" i="13"/>
  <c r="Y131" i="13"/>
  <c r="S131" i="13"/>
  <c r="T131" i="13" s="1"/>
  <c r="U131" i="13" s="1"/>
  <c r="B131" i="13" s="1"/>
  <c r="R131" i="13"/>
  <c r="P131" i="13"/>
  <c r="N131" i="13"/>
  <c r="M131" i="13"/>
  <c r="K131" i="13"/>
  <c r="Q131" i="13" s="1"/>
  <c r="C131" i="13"/>
  <c r="AD130" i="13"/>
  <c r="Y130" i="13"/>
  <c r="S130" i="13"/>
  <c r="T130" i="13" s="1"/>
  <c r="U130" i="13" s="1"/>
  <c r="B130" i="13" s="1"/>
  <c r="R130" i="13"/>
  <c r="P130" i="13"/>
  <c r="N130" i="13"/>
  <c r="M130" i="13"/>
  <c r="K130" i="13"/>
  <c r="Q130" i="13" s="1"/>
  <c r="W130" i="13" s="1"/>
  <c r="AD129" i="13"/>
  <c r="Y129" i="13"/>
  <c r="K129" i="13"/>
  <c r="M129" i="13" s="1"/>
  <c r="B129" i="13"/>
  <c r="AD128" i="13"/>
  <c r="Y128" i="13"/>
  <c r="N128" i="13"/>
  <c r="M128" i="13"/>
  <c r="K128" i="13"/>
  <c r="B128" i="13"/>
  <c r="AD127" i="13"/>
  <c r="Y127" i="13"/>
  <c r="K127" i="13"/>
  <c r="M127" i="13" s="1"/>
  <c r="B127" i="13"/>
  <c r="AD126" i="13"/>
  <c r="Y126" i="13"/>
  <c r="N126" i="13"/>
  <c r="M126" i="13"/>
  <c r="K126" i="13"/>
  <c r="B126" i="13"/>
  <c r="AD125" i="13"/>
  <c r="Y125" i="13"/>
  <c r="K125" i="13"/>
  <c r="M125" i="13" s="1"/>
  <c r="B125" i="13"/>
  <c r="AD124" i="13"/>
  <c r="Y124" i="13"/>
  <c r="N124" i="13"/>
  <c r="M124" i="13"/>
  <c r="K124" i="13"/>
  <c r="B124" i="13"/>
  <c r="AD123" i="13"/>
  <c r="Y123" i="13"/>
  <c r="K123" i="13"/>
  <c r="M123" i="13" s="1"/>
  <c r="B123" i="13"/>
  <c r="AD122" i="13"/>
  <c r="Y122" i="13"/>
  <c r="N122" i="13"/>
  <c r="M122" i="13"/>
  <c r="K122" i="13"/>
  <c r="B122" i="13"/>
  <c r="AD121" i="13"/>
  <c r="Y121" i="13"/>
  <c r="K121" i="13"/>
  <c r="M121" i="13" s="1"/>
  <c r="B121" i="13"/>
  <c r="AD120" i="13"/>
  <c r="Y120" i="13"/>
  <c r="N120" i="13"/>
  <c r="M120" i="13"/>
  <c r="K120" i="13"/>
  <c r="B120" i="13"/>
  <c r="AD119" i="13"/>
  <c r="Y119" i="13"/>
  <c r="K119" i="13"/>
  <c r="M119" i="13" s="1"/>
  <c r="B119" i="13"/>
  <c r="AD118" i="13"/>
  <c r="Y118" i="13"/>
  <c r="N118" i="13"/>
  <c r="M118" i="13"/>
  <c r="K118" i="13"/>
  <c r="B118" i="13"/>
  <c r="AD117" i="13"/>
  <c r="Y117" i="13"/>
  <c r="K117" i="13"/>
  <c r="M117" i="13" s="1"/>
  <c r="C117" i="13"/>
  <c r="B117" i="13"/>
  <c r="AD116" i="13"/>
  <c r="Y116" i="13"/>
  <c r="Q116" i="13"/>
  <c r="W116" i="13" s="1"/>
  <c r="P116" i="13"/>
  <c r="K116" i="13"/>
  <c r="C116" i="13"/>
  <c r="AD115" i="13"/>
  <c r="Y115" i="13"/>
  <c r="Q115" i="13"/>
  <c r="W115" i="13" s="1"/>
  <c r="P115" i="13"/>
  <c r="K115" i="13"/>
  <c r="C115" i="13"/>
  <c r="AD114" i="13"/>
  <c r="Y114" i="13"/>
  <c r="S114" i="13"/>
  <c r="R114" i="13"/>
  <c r="P114" i="13"/>
  <c r="T114" i="13" s="1"/>
  <c r="U114" i="13" s="1"/>
  <c r="N114" i="13"/>
  <c r="M114" i="13"/>
  <c r="K114" i="13"/>
  <c r="C114" i="13"/>
  <c r="AD113" i="13"/>
  <c r="Y113" i="13"/>
  <c r="S113" i="13"/>
  <c r="T113" i="13" s="1"/>
  <c r="U113" i="13" s="1"/>
  <c r="R113" i="13"/>
  <c r="P113" i="13"/>
  <c r="N113" i="13"/>
  <c r="M113" i="13"/>
  <c r="K113" i="13"/>
  <c r="Q113" i="13" s="1"/>
  <c r="C113" i="13"/>
  <c r="B113" i="13"/>
  <c r="AD112" i="13"/>
  <c r="Y112" i="13"/>
  <c r="R112" i="13"/>
  <c r="P112" i="13"/>
  <c r="K112" i="13"/>
  <c r="C112" i="13"/>
  <c r="AD111" i="13"/>
  <c r="Y111" i="13"/>
  <c r="P111" i="13"/>
  <c r="Q111" i="13" s="1"/>
  <c r="K111" i="13"/>
  <c r="C111" i="13"/>
  <c r="AD110" i="13"/>
  <c r="Y110" i="13"/>
  <c r="S110" i="13"/>
  <c r="T110" i="13" s="1"/>
  <c r="U110" i="13" s="1"/>
  <c r="R110" i="13"/>
  <c r="P110" i="13"/>
  <c r="N110" i="13"/>
  <c r="M110" i="13"/>
  <c r="K110" i="13"/>
  <c r="C110" i="13"/>
  <c r="AD109" i="13"/>
  <c r="Y109" i="13"/>
  <c r="S109" i="13"/>
  <c r="T109" i="13" s="1"/>
  <c r="U109" i="13" s="1"/>
  <c r="R109" i="13"/>
  <c r="P109" i="13"/>
  <c r="M109" i="13"/>
  <c r="K109" i="13"/>
  <c r="Q109" i="13" s="1"/>
  <c r="C109" i="13"/>
  <c r="AD108" i="13"/>
  <c r="Y108" i="13"/>
  <c r="Q108" i="13"/>
  <c r="P108" i="13"/>
  <c r="K108" i="13"/>
  <c r="S108" i="13" s="1"/>
  <c r="T108" i="13" s="1"/>
  <c r="U108" i="13" s="1"/>
  <c r="C108" i="13"/>
  <c r="B108" i="13"/>
  <c r="AD107" i="13"/>
  <c r="Y107" i="13"/>
  <c r="P107" i="13"/>
  <c r="K107" i="13"/>
  <c r="C107" i="13"/>
  <c r="AD106" i="13"/>
  <c r="Y106" i="13"/>
  <c r="P106" i="13"/>
  <c r="Q106" i="13" s="1"/>
  <c r="W106" i="13" s="1"/>
  <c r="K106" i="13"/>
  <c r="AD105" i="13"/>
  <c r="Y105" i="13"/>
  <c r="N105" i="13"/>
  <c r="M105" i="13"/>
  <c r="K105" i="13"/>
  <c r="B105" i="13"/>
  <c r="AD104" i="13"/>
  <c r="Y104" i="13"/>
  <c r="K104" i="13"/>
  <c r="M104" i="13" s="1"/>
  <c r="B104" i="13"/>
  <c r="AD103" i="13"/>
  <c r="Y103" i="13"/>
  <c r="N103" i="13"/>
  <c r="M103" i="13"/>
  <c r="K103" i="13"/>
  <c r="B103" i="13"/>
  <c r="AD102" i="13"/>
  <c r="Y102" i="13"/>
  <c r="K102" i="13"/>
  <c r="M102" i="13" s="1"/>
  <c r="B102" i="13"/>
  <c r="AD101" i="13"/>
  <c r="Y101" i="13"/>
  <c r="N101" i="13"/>
  <c r="M101" i="13"/>
  <c r="K101" i="13"/>
  <c r="B101" i="13"/>
  <c r="AD100" i="13"/>
  <c r="Y100" i="13"/>
  <c r="K100" i="13"/>
  <c r="M100" i="13" s="1"/>
  <c r="B100" i="13"/>
  <c r="AD99" i="13"/>
  <c r="Y99" i="13"/>
  <c r="N99" i="13"/>
  <c r="M99" i="13"/>
  <c r="K99" i="13"/>
  <c r="B99" i="13"/>
  <c r="AD98" i="13"/>
  <c r="Y98" i="13"/>
  <c r="K98" i="13"/>
  <c r="M98" i="13" s="1"/>
  <c r="B98" i="13"/>
  <c r="AD97" i="13"/>
  <c r="Y97" i="13"/>
  <c r="N97" i="13"/>
  <c r="M97" i="13"/>
  <c r="K97" i="13"/>
  <c r="B97" i="13"/>
  <c r="AD96" i="13"/>
  <c r="Y96" i="13"/>
  <c r="N96" i="13"/>
  <c r="K96" i="13"/>
  <c r="M96" i="13" s="1"/>
  <c r="B96" i="13"/>
  <c r="AD95" i="13"/>
  <c r="Y95" i="13"/>
  <c r="K95" i="13"/>
  <c r="M95" i="13" s="1"/>
  <c r="N95" i="13" s="1"/>
  <c r="B95" i="13"/>
  <c r="AD94" i="13"/>
  <c r="Y94" i="13"/>
  <c r="N94" i="13"/>
  <c r="K94" i="13"/>
  <c r="M94" i="13" s="1"/>
  <c r="B94" i="13"/>
  <c r="AD93" i="13"/>
  <c r="Y93" i="13"/>
  <c r="K93" i="13"/>
  <c r="M93" i="13" s="1"/>
  <c r="N93" i="13" s="1"/>
  <c r="C93" i="13"/>
  <c r="B93" i="13"/>
  <c r="AD92" i="13"/>
  <c r="Y92" i="13"/>
  <c r="Q92" i="13"/>
  <c r="W92" i="13" s="1"/>
  <c r="P92" i="13"/>
  <c r="K92" i="13"/>
  <c r="C92" i="13"/>
  <c r="AD91" i="13"/>
  <c r="Y91" i="13"/>
  <c r="R91" i="13"/>
  <c r="P91" i="13"/>
  <c r="M91" i="13"/>
  <c r="K91" i="13"/>
  <c r="S91" i="13" s="1"/>
  <c r="T91" i="13" s="1"/>
  <c r="U91" i="13" s="1"/>
  <c r="C91" i="13"/>
  <c r="AD90" i="13"/>
  <c r="Y90" i="13"/>
  <c r="R90" i="13"/>
  <c r="P90" i="13"/>
  <c r="M90" i="13"/>
  <c r="N90" i="13" s="1"/>
  <c r="K90" i="13"/>
  <c r="S90" i="13" s="1"/>
  <c r="T90" i="13" s="1"/>
  <c r="U90" i="13" s="1"/>
  <c r="B90" i="13" s="1"/>
  <c r="C90" i="13"/>
  <c r="AD89" i="13"/>
  <c r="Y89" i="13"/>
  <c r="R89" i="13"/>
  <c r="P89" i="13"/>
  <c r="M89" i="13"/>
  <c r="N89" i="13" s="1"/>
  <c r="K89" i="13"/>
  <c r="S89" i="13" s="1"/>
  <c r="T89" i="13" s="1"/>
  <c r="U89" i="13" s="1"/>
  <c r="B89" i="13" s="1"/>
  <c r="C89" i="13"/>
  <c r="AD88" i="13"/>
  <c r="Y88" i="13"/>
  <c r="S88" i="13"/>
  <c r="T88" i="13" s="1"/>
  <c r="U88" i="13" s="1"/>
  <c r="P88" i="13"/>
  <c r="K88" i="13"/>
  <c r="R88" i="13" s="1"/>
  <c r="C88" i="13"/>
  <c r="AD87" i="13"/>
  <c r="Y87" i="13"/>
  <c r="S87" i="13"/>
  <c r="R87" i="13"/>
  <c r="P87" i="13"/>
  <c r="T87" i="13" s="1"/>
  <c r="U87" i="13" s="1"/>
  <c r="B87" i="13" s="1"/>
  <c r="M87" i="13"/>
  <c r="K87" i="13"/>
  <c r="Q87" i="13" s="1"/>
  <c r="C87" i="13"/>
  <c r="AD86" i="13"/>
  <c r="Y86" i="13"/>
  <c r="Q86" i="13"/>
  <c r="P86" i="13"/>
  <c r="K86" i="13"/>
  <c r="C86" i="13"/>
  <c r="AD85" i="13"/>
  <c r="Y85" i="13"/>
  <c r="R85" i="13"/>
  <c r="P85" i="13"/>
  <c r="M85" i="13"/>
  <c r="K85" i="13"/>
  <c r="S85" i="13" s="1"/>
  <c r="T85" i="13" s="1"/>
  <c r="U85" i="13" s="1"/>
  <c r="C85" i="13"/>
  <c r="AD84" i="13"/>
  <c r="Y84" i="13"/>
  <c r="S84" i="13"/>
  <c r="T84" i="13" s="1"/>
  <c r="U84" i="13" s="1"/>
  <c r="P84" i="13"/>
  <c r="K84" i="13"/>
  <c r="R84" i="13" s="1"/>
  <c r="C84" i="13"/>
  <c r="AD83" i="13"/>
  <c r="Y83" i="13"/>
  <c r="S83" i="13"/>
  <c r="T83" i="13" s="1"/>
  <c r="U83" i="13" s="1"/>
  <c r="B83" i="13" s="1"/>
  <c r="P83" i="13"/>
  <c r="K83" i="13"/>
  <c r="R83" i="13" s="1"/>
  <c r="AD82" i="13"/>
  <c r="Y82" i="13"/>
  <c r="K82" i="13"/>
  <c r="M82" i="13" s="1"/>
  <c r="B82" i="13"/>
  <c r="AD81" i="13"/>
  <c r="Y81" i="13"/>
  <c r="K81" i="13"/>
  <c r="M81" i="13" s="1"/>
  <c r="B81" i="13"/>
  <c r="AD80" i="13"/>
  <c r="Y80" i="13"/>
  <c r="K80" i="13"/>
  <c r="M80" i="13" s="1"/>
  <c r="B80" i="13"/>
  <c r="AD79" i="13"/>
  <c r="Y79" i="13"/>
  <c r="N79" i="13"/>
  <c r="K79" i="13"/>
  <c r="M79" i="13" s="1"/>
  <c r="B79" i="13"/>
  <c r="AD78" i="13"/>
  <c r="Y78" i="13"/>
  <c r="K78" i="13"/>
  <c r="M78" i="13" s="1"/>
  <c r="B78" i="13"/>
  <c r="AD77" i="13"/>
  <c r="Y77" i="13"/>
  <c r="K77" i="13"/>
  <c r="M77" i="13" s="1"/>
  <c r="B77" i="13"/>
  <c r="AD76" i="13"/>
  <c r="Y76" i="13"/>
  <c r="K76" i="13"/>
  <c r="M76" i="13" s="1"/>
  <c r="B76" i="13"/>
  <c r="AD75" i="13"/>
  <c r="Y75" i="13"/>
  <c r="N75" i="13"/>
  <c r="K75" i="13"/>
  <c r="M75" i="13" s="1"/>
  <c r="B75" i="13"/>
  <c r="AD74" i="13"/>
  <c r="Y74" i="13"/>
  <c r="K74" i="13"/>
  <c r="M74" i="13" s="1"/>
  <c r="B74" i="13"/>
  <c r="AD73" i="13"/>
  <c r="Y73" i="13"/>
  <c r="K73" i="13"/>
  <c r="M73" i="13" s="1"/>
  <c r="B73" i="13"/>
  <c r="AD72" i="13"/>
  <c r="Y72" i="13"/>
  <c r="K72" i="13"/>
  <c r="M72" i="13" s="1"/>
  <c r="B72" i="13"/>
  <c r="AD71" i="13"/>
  <c r="Y71" i="13"/>
  <c r="N71" i="13"/>
  <c r="K71" i="13"/>
  <c r="M71" i="13" s="1"/>
  <c r="B71" i="13"/>
  <c r="AD70" i="13"/>
  <c r="Y70" i="13"/>
  <c r="K70" i="13"/>
  <c r="M70" i="13" s="1"/>
  <c r="B70" i="13"/>
  <c r="AD69" i="13"/>
  <c r="Y69" i="13"/>
  <c r="K69" i="13"/>
  <c r="M69" i="13" s="1"/>
  <c r="B69" i="13"/>
  <c r="AD68" i="13"/>
  <c r="Y68" i="13"/>
  <c r="K68" i="13"/>
  <c r="M68" i="13" s="1"/>
  <c r="C68" i="13"/>
  <c r="B68" i="13"/>
  <c r="AD67" i="13"/>
  <c r="Y67" i="13"/>
  <c r="P67" i="13"/>
  <c r="K67" i="13"/>
  <c r="C67" i="13"/>
  <c r="AD66" i="13"/>
  <c r="Y66" i="13"/>
  <c r="R66" i="13"/>
  <c r="P66" i="13"/>
  <c r="M66" i="13"/>
  <c r="K66" i="13"/>
  <c r="S66" i="13" s="1"/>
  <c r="T66" i="13" s="1"/>
  <c r="U66" i="13" s="1"/>
  <c r="C66" i="13"/>
  <c r="AD65" i="13"/>
  <c r="Y65" i="13"/>
  <c r="S65" i="13"/>
  <c r="T65" i="13" s="1"/>
  <c r="U65" i="13" s="1"/>
  <c r="P65" i="13"/>
  <c r="K65" i="13"/>
  <c r="R65" i="13" s="1"/>
  <c r="C65" i="13"/>
  <c r="AD64" i="13"/>
  <c r="Y64" i="13"/>
  <c r="S64" i="13"/>
  <c r="R64" i="13"/>
  <c r="P64" i="13"/>
  <c r="T64" i="13" s="1"/>
  <c r="U64" i="13" s="1"/>
  <c r="M64" i="13"/>
  <c r="K64" i="13"/>
  <c r="Q64" i="13" s="1"/>
  <c r="C64" i="13"/>
  <c r="B64" i="13"/>
  <c r="AD63" i="13"/>
  <c r="Y63" i="13"/>
  <c r="Q63" i="13"/>
  <c r="P63" i="13"/>
  <c r="K63" i="13"/>
  <c r="C63" i="13"/>
  <c r="AD62" i="13"/>
  <c r="Y62" i="13"/>
  <c r="R62" i="13"/>
  <c r="P62" i="13"/>
  <c r="M62" i="13"/>
  <c r="K62" i="13"/>
  <c r="S62" i="13" s="1"/>
  <c r="T62" i="13" s="1"/>
  <c r="U62" i="13" s="1"/>
  <c r="C62" i="13"/>
  <c r="AD61" i="13"/>
  <c r="Y61" i="13"/>
  <c r="S61" i="13"/>
  <c r="T61" i="13" s="1"/>
  <c r="U61" i="13" s="1"/>
  <c r="P61" i="13"/>
  <c r="K61" i="13"/>
  <c r="R61" i="13" s="1"/>
  <c r="C61" i="13"/>
  <c r="AD60" i="13"/>
  <c r="Y60" i="13"/>
  <c r="S60" i="13"/>
  <c r="R60" i="13"/>
  <c r="P60" i="13"/>
  <c r="T60" i="13" s="1"/>
  <c r="U60" i="13" s="1"/>
  <c r="B60" i="13" s="1"/>
  <c r="M60" i="13"/>
  <c r="K60" i="13"/>
  <c r="Q60" i="13" s="1"/>
  <c r="C60" i="13"/>
  <c r="AD59" i="13"/>
  <c r="Y59" i="13"/>
  <c r="S59" i="13"/>
  <c r="R59" i="13"/>
  <c r="P59" i="13"/>
  <c r="T59" i="13" s="1"/>
  <c r="U59" i="13" s="1"/>
  <c r="B59" i="13" s="1"/>
  <c r="M59" i="13"/>
  <c r="K59" i="13"/>
  <c r="Q59" i="13" s="1"/>
  <c r="W59" i="13" s="1"/>
  <c r="AC58" i="13"/>
  <c r="AD58" i="13" s="1"/>
  <c r="Y58" i="13"/>
  <c r="M58" i="13"/>
  <c r="K58" i="13"/>
  <c r="B58" i="13"/>
  <c r="AC57" i="13"/>
  <c r="AD57" i="13" s="1"/>
  <c r="Y57" i="13"/>
  <c r="M57" i="13"/>
  <c r="K57" i="13"/>
  <c r="B57" i="13"/>
  <c r="AC56" i="13"/>
  <c r="AD56" i="13" s="1"/>
  <c r="Y56" i="13"/>
  <c r="M56" i="13"/>
  <c r="K56" i="13"/>
  <c r="B56" i="13"/>
  <c r="AC55" i="13"/>
  <c r="AD55" i="13" s="1"/>
  <c r="Y55" i="13"/>
  <c r="M55" i="13"/>
  <c r="K55" i="13"/>
  <c r="B55" i="13"/>
  <c r="AC54" i="13"/>
  <c r="AD54" i="13" s="1"/>
  <c r="Y54" i="13"/>
  <c r="M54" i="13"/>
  <c r="K54" i="13"/>
  <c r="B54" i="13"/>
  <c r="AC53" i="13"/>
  <c r="AD53" i="13" s="1"/>
  <c r="Y53" i="13"/>
  <c r="M53" i="13"/>
  <c r="K53" i="13"/>
  <c r="B53" i="13"/>
  <c r="AC52" i="13"/>
  <c r="AD52" i="13" s="1"/>
  <c r="Y52" i="13"/>
  <c r="M52" i="13"/>
  <c r="K52" i="13"/>
  <c r="B52" i="13"/>
  <c r="AC51" i="13"/>
  <c r="AD51" i="13" s="1"/>
  <c r="Y51" i="13"/>
  <c r="M51" i="13"/>
  <c r="K51" i="13"/>
  <c r="B51" i="13"/>
  <c r="AC50" i="13"/>
  <c r="AD50" i="13" s="1"/>
  <c r="Y50" i="13"/>
  <c r="M50" i="13"/>
  <c r="K50" i="13"/>
  <c r="B50" i="13"/>
  <c r="AD49" i="13"/>
  <c r="Y49" i="13"/>
  <c r="M49" i="13"/>
  <c r="N49" i="13" s="1"/>
  <c r="K49" i="13"/>
  <c r="B49" i="13"/>
  <c r="AD48" i="13"/>
  <c r="Y48" i="13"/>
  <c r="M48" i="13"/>
  <c r="N48" i="13" s="1"/>
  <c r="K48" i="13"/>
  <c r="B48" i="13"/>
  <c r="AD47" i="13"/>
  <c r="Y47" i="13"/>
  <c r="M47" i="13"/>
  <c r="N47" i="13" s="1"/>
  <c r="K47" i="13"/>
  <c r="B47" i="13"/>
  <c r="AD46" i="13"/>
  <c r="Y46" i="13"/>
  <c r="M46" i="13"/>
  <c r="N46" i="13" s="1"/>
  <c r="K46" i="13"/>
  <c r="B46" i="13"/>
  <c r="AD45" i="13"/>
  <c r="Y45" i="13"/>
  <c r="M45" i="13"/>
  <c r="N45" i="13" s="1"/>
  <c r="K45" i="13"/>
  <c r="B45" i="13"/>
  <c r="AD44" i="13"/>
  <c r="Y44" i="13"/>
  <c r="M44" i="13"/>
  <c r="N44" i="13" s="1"/>
  <c r="K44" i="13"/>
  <c r="B44" i="13"/>
  <c r="AD43" i="13"/>
  <c r="Y43" i="13"/>
  <c r="M43" i="13"/>
  <c r="N43" i="13" s="1"/>
  <c r="K43" i="13"/>
  <c r="C43" i="13"/>
  <c r="B43" i="13"/>
  <c r="AD42" i="13"/>
  <c r="Y42" i="13"/>
  <c r="R42" i="13"/>
  <c r="P42" i="13"/>
  <c r="M42" i="13"/>
  <c r="N42" i="13" s="1"/>
  <c r="K42" i="13"/>
  <c r="S42" i="13" s="1"/>
  <c r="T42" i="13" s="1"/>
  <c r="U42" i="13" s="1"/>
  <c r="B42" i="13" s="1"/>
  <c r="C42" i="13"/>
  <c r="AD41" i="13"/>
  <c r="Y41" i="13"/>
  <c r="S41" i="13"/>
  <c r="T41" i="13" s="1"/>
  <c r="U41" i="13" s="1"/>
  <c r="P41" i="13"/>
  <c r="K41" i="13"/>
  <c r="R41" i="13" s="1"/>
  <c r="C41" i="13"/>
  <c r="AD40" i="13"/>
  <c r="Y40" i="13"/>
  <c r="S40" i="13"/>
  <c r="R40" i="13"/>
  <c r="P40" i="13"/>
  <c r="T40" i="13" s="1"/>
  <c r="U40" i="13" s="1"/>
  <c r="B40" i="13" s="1"/>
  <c r="M40" i="13"/>
  <c r="K40" i="13"/>
  <c r="Q40" i="13" s="1"/>
  <c r="C40" i="13"/>
  <c r="AD39" i="13"/>
  <c r="Y39" i="13"/>
  <c r="Q39" i="13"/>
  <c r="P39" i="13"/>
  <c r="K39" i="13"/>
  <c r="C39" i="13"/>
  <c r="AD38" i="13"/>
  <c r="Y38" i="13"/>
  <c r="R38" i="13"/>
  <c r="P38" i="13"/>
  <c r="M38" i="13"/>
  <c r="K38" i="13"/>
  <c r="S38" i="13" s="1"/>
  <c r="T38" i="13" s="1"/>
  <c r="U38" i="13" s="1"/>
  <c r="C38" i="13"/>
  <c r="AD37" i="13"/>
  <c r="Y37" i="13"/>
  <c r="R37" i="13"/>
  <c r="P37" i="13"/>
  <c r="M37" i="13"/>
  <c r="N37" i="13" s="1"/>
  <c r="K37" i="13"/>
  <c r="S37" i="13" s="1"/>
  <c r="T37" i="13" s="1"/>
  <c r="U37" i="13" s="1"/>
  <c r="B37" i="13" s="1"/>
  <c r="C37" i="13"/>
  <c r="AD36" i="13"/>
  <c r="Y36" i="13"/>
  <c r="R36" i="13"/>
  <c r="P36" i="13"/>
  <c r="M36" i="13"/>
  <c r="N36" i="13" s="1"/>
  <c r="K36" i="13"/>
  <c r="S36" i="13" s="1"/>
  <c r="T36" i="13" s="1"/>
  <c r="U36" i="13" s="1"/>
  <c r="B36" i="13" s="1"/>
  <c r="AC35" i="13"/>
  <c r="AD35" i="13" s="1"/>
  <c r="Y35" i="13"/>
  <c r="M35" i="13"/>
  <c r="K35" i="13"/>
  <c r="B35" i="13"/>
  <c r="AC34" i="13"/>
  <c r="AD34" i="13" s="1"/>
  <c r="Y34" i="13"/>
  <c r="M34" i="13"/>
  <c r="K34" i="13"/>
  <c r="B34" i="13"/>
  <c r="AC33" i="13"/>
  <c r="AD33" i="13" s="1"/>
  <c r="Y33" i="13"/>
  <c r="K33" i="13"/>
  <c r="M33" i="13" s="1"/>
  <c r="B33" i="13"/>
  <c r="AC32" i="13"/>
  <c r="AD32" i="13" s="1"/>
  <c r="Y32" i="13"/>
  <c r="K32" i="13"/>
  <c r="M32" i="13" s="1"/>
  <c r="B32" i="13"/>
  <c r="AC31" i="13"/>
  <c r="AD31" i="13" s="1"/>
  <c r="Y31" i="13"/>
  <c r="K31" i="13"/>
  <c r="M31" i="13" s="1"/>
  <c r="B31" i="13"/>
  <c r="AC30" i="13"/>
  <c r="AD30" i="13" s="1"/>
  <c r="Y30" i="13"/>
  <c r="M30" i="13"/>
  <c r="K30" i="13"/>
  <c r="B30" i="13"/>
  <c r="AD29" i="13"/>
  <c r="AC29" i="13"/>
  <c r="Y29" i="13"/>
  <c r="K29" i="13"/>
  <c r="M29" i="13" s="1"/>
  <c r="B29" i="13"/>
  <c r="AC28" i="13"/>
  <c r="AD28" i="13" s="1"/>
  <c r="Y28" i="13"/>
  <c r="K28" i="13"/>
  <c r="M28" i="13" s="1"/>
  <c r="B28" i="13"/>
  <c r="AC27" i="13"/>
  <c r="AD27" i="13" s="1"/>
  <c r="Y27" i="13"/>
  <c r="K27" i="13"/>
  <c r="M27" i="13" s="1"/>
  <c r="B27" i="13"/>
  <c r="AD26" i="13"/>
  <c r="Y26" i="13"/>
  <c r="M26" i="13"/>
  <c r="N26" i="13" s="1"/>
  <c r="K26" i="13"/>
  <c r="B26" i="13"/>
  <c r="AC25" i="13"/>
  <c r="AD25" i="13" s="1"/>
  <c r="Y25" i="13"/>
  <c r="M25" i="13"/>
  <c r="X25" i="13" s="1"/>
  <c r="K25" i="13"/>
  <c r="B25" i="13"/>
  <c r="AC24" i="13"/>
  <c r="AD24" i="13" s="1"/>
  <c r="Y24" i="13"/>
  <c r="M24" i="13"/>
  <c r="X24" i="13" s="1"/>
  <c r="K24" i="13"/>
  <c r="B24" i="13"/>
  <c r="AC23" i="13"/>
  <c r="AD23" i="13" s="1"/>
  <c r="Y23" i="13"/>
  <c r="M23" i="13"/>
  <c r="X23" i="13" s="1"/>
  <c r="K23" i="13"/>
  <c r="B23" i="13"/>
  <c r="AC22" i="13"/>
  <c r="AD22" i="13" s="1"/>
  <c r="Y22" i="13"/>
  <c r="M22" i="13"/>
  <c r="X22" i="13" s="1"/>
  <c r="K22" i="13"/>
  <c r="B22" i="13"/>
  <c r="AD21" i="13"/>
  <c r="Y21" i="13"/>
  <c r="K21" i="13"/>
  <c r="M21" i="13" s="1"/>
  <c r="B21" i="13"/>
  <c r="AD20" i="13"/>
  <c r="Y20" i="13"/>
  <c r="M20" i="13"/>
  <c r="N20" i="13" s="1"/>
  <c r="K20" i="13"/>
  <c r="B20" i="13"/>
  <c r="AD19" i="13"/>
  <c r="Y19" i="13"/>
  <c r="M19" i="13"/>
  <c r="K19" i="13"/>
  <c r="C19" i="13"/>
  <c r="B19" i="13"/>
  <c r="AD18" i="13"/>
  <c r="Y18" i="13"/>
  <c r="S18" i="13"/>
  <c r="T18" i="13" s="1"/>
  <c r="U18" i="13" s="1"/>
  <c r="B18" i="13" s="1"/>
  <c r="R18" i="13"/>
  <c r="P18" i="13"/>
  <c r="M18" i="13"/>
  <c r="K18" i="13"/>
  <c r="Q18" i="13" s="1"/>
  <c r="W18" i="13" s="1"/>
  <c r="C18" i="13"/>
  <c r="AD17" i="13"/>
  <c r="Y17" i="13"/>
  <c r="S17" i="13"/>
  <c r="T17" i="13" s="1"/>
  <c r="U17" i="13" s="1"/>
  <c r="B17" i="13" s="1"/>
  <c r="R17" i="13"/>
  <c r="P17" i="13"/>
  <c r="M17" i="13"/>
  <c r="K17" i="13"/>
  <c r="Q17" i="13" s="1"/>
  <c r="W17" i="13" s="1"/>
  <c r="C17" i="13"/>
  <c r="AD16" i="13"/>
  <c r="Y16" i="13"/>
  <c r="P16" i="13"/>
  <c r="K16" i="13"/>
  <c r="Q16" i="13" s="1"/>
  <c r="C16" i="13"/>
  <c r="AD15" i="13"/>
  <c r="Y15" i="13"/>
  <c r="P15" i="13"/>
  <c r="K15" i="13"/>
  <c r="S15" i="13" s="1"/>
  <c r="T15" i="13" s="1"/>
  <c r="U15" i="13" s="1"/>
  <c r="C15" i="13"/>
  <c r="AD14" i="13"/>
  <c r="Y14" i="13"/>
  <c r="S14" i="13"/>
  <c r="T14" i="13" s="1"/>
  <c r="U14" i="13" s="1"/>
  <c r="P14" i="13"/>
  <c r="K14" i="13"/>
  <c r="R14" i="13" s="1"/>
  <c r="C14" i="13"/>
  <c r="AD13" i="13"/>
  <c r="Y13" i="13"/>
  <c r="S13" i="13"/>
  <c r="T13" i="13" s="1"/>
  <c r="U13" i="13" s="1"/>
  <c r="B13" i="13" s="1"/>
  <c r="P13" i="13"/>
  <c r="K13" i="13"/>
  <c r="R13" i="13" s="1"/>
  <c r="C13" i="13"/>
  <c r="AD12" i="13"/>
  <c r="Y12" i="13"/>
  <c r="S12" i="13"/>
  <c r="T12" i="13" s="1"/>
  <c r="U12" i="13" s="1"/>
  <c r="B12" i="13" s="1"/>
  <c r="P12" i="13"/>
  <c r="K12" i="13"/>
  <c r="R12" i="13" s="1"/>
  <c r="AC11" i="13"/>
  <c r="AD11" i="13" s="1"/>
  <c r="Y11" i="13"/>
  <c r="K11" i="13"/>
  <c r="M11" i="13" s="1"/>
  <c r="B11" i="13"/>
  <c r="AC10" i="13"/>
  <c r="AD10" i="13" s="1"/>
  <c r="Y10" i="13"/>
  <c r="K10" i="13"/>
  <c r="M10" i="13" s="1"/>
  <c r="B10" i="13"/>
  <c r="AC9" i="13"/>
  <c r="AD9" i="13" s="1"/>
  <c r="Y9" i="13"/>
  <c r="K9" i="13"/>
  <c r="M9" i="13" s="1"/>
  <c r="B9" i="13"/>
  <c r="AC8" i="13"/>
  <c r="AD8" i="13" s="1"/>
  <c r="Y8" i="13"/>
  <c r="K8" i="13"/>
  <c r="M8" i="13" s="1"/>
  <c r="B8" i="13"/>
  <c r="AC7" i="13"/>
  <c r="AD7" i="13" s="1"/>
  <c r="Y7" i="13"/>
  <c r="K7" i="13"/>
  <c r="M7" i="13" s="1"/>
  <c r="B7" i="13"/>
  <c r="AC6" i="13"/>
  <c r="AD6" i="13" s="1"/>
  <c r="Y6" i="13"/>
  <c r="K6" i="13"/>
  <c r="M6" i="13" s="1"/>
  <c r="B6" i="13"/>
  <c r="AC5" i="13"/>
  <c r="AD5" i="13" s="1"/>
  <c r="Y5" i="13"/>
  <c r="K5" i="13"/>
  <c r="M5" i="13" s="1"/>
  <c r="B5" i="13"/>
  <c r="AD4" i="13"/>
  <c r="Y4" i="13"/>
  <c r="K4" i="13"/>
  <c r="M4" i="13" s="1"/>
  <c r="B4" i="13"/>
  <c r="AD3" i="13"/>
  <c r="Y3" i="13"/>
  <c r="K3" i="13"/>
  <c r="M3" i="13" s="1"/>
  <c r="B3" i="13"/>
  <c r="AD2" i="13"/>
  <c r="Y2" i="13"/>
  <c r="Y290" i="13" s="1"/>
  <c r="Y291" i="13" s="1"/>
  <c r="W293" i="13" s="1"/>
  <c r="K2" i="13"/>
  <c r="M2" i="13" s="1"/>
  <c r="D2" i="13"/>
  <c r="V2" i="13" s="1"/>
  <c r="C3" i="13" s="1"/>
  <c r="D3" i="13" s="1"/>
  <c r="B2" i="13"/>
  <c r="T89" i="14" l="1"/>
  <c r="U89" i="14" s="1"/>
  <c r="B89" i="14" s="1"/>
  <c r="T109" i="14"/>
  <c r="AH130" i="14"/>
  <c r="T136" i="14"/>
  <c r="T140" i="14"/>
  <c r="T279" i="14"/>
  <c r="Y290" i="14"/>
  <c r="Y291" i="14" s="1"/>
  <c r="W293" i="14" s="1"/>
  <c r="T132" i="14"/>
  <c r="AF156" i="14"/>
  <c r="T180" i="14"/>
  <c r="T228" i="14"/>
  <c r="AF228" i="14" s="1"/>
  <c r="AF15" i="14"/>
  <c r="AG16" i="14" s="1"/>
  <c r="U15" i="14"/>
  <c r="N20" i="14"/>
  <c r="X28" i="14"/>
  <c r="N28" i="14"/>
  <c r="U90" i="14"/>
  <c r="B90" i="14" s="1"/>
  <c r="AF90" i="14"/>
  <c r="V2" i="14"/>
  <c r="C3" i="14" s="1"/>
  <c r="D3" i="14" s="1"/>
  <c r="N4" i="14"/>
  <c r="AF12" i="14"/>
  <c r="AG13" i="14" s="1"/>
  <c r="U12" i="14"/>
  <c r="B12" i="14" s="1"/>
  <c r="AF14" i="14"/>
  <c r="AG15" i="14" s="1"/>
  <c r="U14" i="14"/>
  <c r="X25" i="14"/>
  <c r="N25" i="14"/>
  <c r="N27" i="14"/>
  <c r="X27" i="14"/>
  <c r="N31" i="14"/>
  <c r="X31" i="14"/>
  <c r="AF16" i="14"/>
  <c r="AG17" i="14" s="1"/>
  <c r="U16" i="14"/>
  <c r="N22" i="14"/>
  <c r="X22" i="14"/>
  <c r="AA2" i="14"/>
  <c r="N2" i="14"/>
  <c r="AF18" i="14"/>
  <c r="U18" i="14"/>
  <c r="B18" i="14" s="1"/>
  <c r="N19" i="14"/>
  <c r="N21" i="14"/>
  <c r="N24" i="14"/>
  <c r="X24" i="14"/>
  <c r="X30" i="14"/>
  <c r="N30" i="14"/>
  <c r="AF63" i="14"/>
  <c r="U63" i="14"/>
  <c r="AF115" i="14"/>
  <c r="AG116" i="14" s="1"/>
  <c r="AH116" i="14" s="1"/>
  <c r="U115" i="14"/>
  <c r="B115" i="14" s="1"/>
  <c r="N6" i="14"/>
  <c r="X6" i="14"/>
  <c r="X8" i="14"/>
  <c r="N8" i="14"/>
  <c r="N10" i="14"/>
  <c r="X10" i="14"/>
  <c r="AH12" i="14"/>
  <c r="AF67" i="14"/>
  <c r="U67" i="14"/>
  <c r="B67" i="14" s="1"/>
  <c r="AF13" i="14"/>
  <c r="AG14" i="14" s="1"/>
  <c r="U13" i="14"/>
  <c r="B13" i="14" s="1"/>
  <c r="X23" i="14"/>
  <c r="N23" i="14"/>
  <c r="N26" i="14"/>
  <c r="N29" i="14"/>
  <c r="X29" i="14"/>
  <c r="X32" i="14"/>
  <c r="N32" i="14"/>
  <c r="N35" i="14"/>
  <c r="X35" i="14"/>
  <c r="AF37" i="14"/>
  <c r="U37" i="14"/>
  <c r="B37" i="14" s="1"/>
  <c r="AF40" i="14"/>
  <c r="U40" i="14"/>
  <c r="AD291" i="14"/>
  <c r="Y299" i="14" s="1"/>
  <c r="Q14" i="14"/>
  <c r="Q16" i="14"/>
  <c r="S17" i="14"/>
  <c r="T17" i="14" s="1"/>
  <c r="X33" i="14"/>
  <c r="N34" i="14"/>
  <c r="N54" i="14"/>
  <c r="X54" i="14"/>
  <c r="X55" i="14"/>
  <c r="N55" i="14"/>
  <c r="AF64" i="14"/>
  <c r="U64" i="14"/>
  <c r="AH83" i="14"/>
  <c r="N84" i="14"/>
  <c r="S85" i="14"/>
  <c r="T85" i="14" s="1"/>
  <c r="R85" i="14"/>
  <c r="M85" i="14"/>
  <c r="AF88" i="14"/>
  <c r="U88" i="14"/>
  <c r="AF112" i="14"/>
  <c r="U112" i="14"/>
  <c r="N5" i="14"/>
  <c r="X7" i="14"/>
  <c r="N9" i="14"/>
  <c r="X11" i="14"/>
  <c r="Q13" i="14"/>
  <c r="W13" i="14" s="1"/>
  <c r="M14" i="14"/>
  <c r="R14" i="14"/>
  <c r="M16" i="14"/>
  <c r="R16" i="14"/>
  <c r="Q18" i="14"/>
  <c r="W18" i="14" s="1"/>
  <c r="R36" i="14"/>
  <c r="AF42" i="14"/>
  <c r="N43" i="14"/>
  <c r="N44" i="14"/>
  <c r="N45" i="14"/>
  <c r="N46" i="14"/>
  <c r="N47" i="14"/>
  <c r="N48" i="14"/>
  <c r="N49" i="14"/>
  <c r="N50" i="14"/>
  <c r="X50" i="14"/>
  <c r="X51" i="14"/>
  <c r="N51" i="14"/>
  <c r="N52" i="14"/>
  <c r="X52" i="14"/>
  <c r="X53" i="14"/>
  <c r="N53" i="14"/>
  <c r="AF59" i="14"/>
  <c r="AF61" i="14"/>
  <c r="U61" i="14"/>
  <c r="B61" i="14" s="1"/>
  <c r="N68" i="14"/>
  <c r="N70" i="14"/>
  <c r="N72" i="14"/>
  <c r="N74" i="14"/>
  <c r="N76" i="14"/>
  <c r="N78" i="14"/>
  <c r="N80" i="14"/>
  <c r="N82" i="14"/>
  <c r="AF89" i="14"/>
  <c r="N109" i="14"/>
  <c r="S110" i="14"/>
  <c r="T110" i="14" s="1"/>
  <c r="R110" i="14"/>
  <c r="M110" i="14"/>
  <c r="Q110" i="14"/>
  <c r="AH110" i="14" s="1"/>
  <c r="AA3" i="14"/>
  <c r="AA4" i="14" s="1"/>
  <c r="AA5" i="14" s="1"/>
  <c r="AA6" i="14" s="1"/>
  <c r="AA7" i="14" s="1"/>
  <c r="AA8" i="14" s="1"/>
  <c r="AA9" i="14" s="1"/>
  <c r="AA10" i="14" s="1"/>
  <c r="AA11" i="14" s="1"/>
  <c r="Q12" i="14"/>
  <c r="Q15" i="14"/>
  <c r="Q17" i="14"/>
  <c r="W17" i="14" s="1"/>
  <c r="N33" i="14"/>
  <c r="M36" i="14"/>
  <c r="S36" i="14"/>
  <c r="T36" i="14" s="1"/>
  <c r="AF38" i="14"/>
  <c r="U38" i="14"/>
  <c r="B38" i="14" s="1"/>
  <c r="N42" i="14"/>
  <c r="W42" i="14"/>
  <c r="N58" i="14"/>
  <c r="X58" i="14"/>
  <c r="N59" i="14"/>
  <c r="AH59" i="14"/>
  <c r="N61" i="14"/>
  <c r="S62" i="14"/>
  <c r="T62" i="14" s="1"/>
  <c r="R62" i="14"/>
  <c r="M62" i="14"/>
  <c r="AF65" i="14"/>
  <c r="U65" i="14"/>
  <c r="B65" i="14" s="1"/>
  <c r="S83" i="14"/>
  <c r="T83" i="14" s="1"/>
  <c r="R83" i="14"/>
  <c r="M83" i="14"/>
  <c r="Q85" i="14"/>
  <c r="AH85" i="14" s="1"/>
  <c r="R88" i="14"/>
  <c r="M88" i="14"/>
  <c r="Q88" i="14"/>
  <c r="AH88" i="14" s="1"/>
  <c r="AF106" i="14"/>
  <c r="U106" i="14"/>
  <c r="B106" i="14" s="1"/>
  <c r="N7" i="14"/>
  <c r="N11" i="14"/>
  <c r="M12" i="14"/>
  <c r="M15" i="14"/>
  <c r="M17" i="14"/>
  <c r="W36" i="14"/>
  <c r="N38" i="14"/>
  <c r="S39" i="14"/>
  <c r="T39" i="14" s="1"/>
  <c r="R39" i="14"/>
  <c r="M39" i="14"/>
  <c r="AF41" i="14"/>
  <c r="U41" i="14"/>
  <c r="B41" i="14" s="1"/>
  <c r="N56" i="14"/>
  <c r="X56" i="14"/>
  <c r="X57" i="14"/>
  <c r="N57" i="14"/>
  <c r="AF60" i="14"/>
  <c r="U60" i="14"/>
  <c r="N65" i="14"/>
  <c r="S66" i="14"/>
  <c r="T66" i="14" s="1"/>
  <c r="R66" i="14"/>
  <c r="M66" i="14"/>
  <c r="N69" i="14"/>
  <c r="N71" i="14"/>
  <c r="N73" i="14"/>
  <c r="N75" i="14"/>
  <c r="N77" i="14"/>
  <c r="N79" i="14"/>
  <c r="N81" i="14"/>
  <c r="AF84" i="14"/>
  <c r="U84" i="14"/>
  <c r="B84" i="14" s="1"/>
  <c r="N87" i="14"/>
  <c r="AF107" i="14"/>
  <c r="U107" i="14"/>
  <c r="AF111" i="14"/>
  <c r="U111" i="14"/>
  <c r="AF113" i="14"/>
  <c r="U113" i="14"/>
  <c r="B113" i="14" s="1"/>
  <c r="AF134" i="14"/>
  <c r="U134" i="14"/>
  <c r="AF138" i="14"/>
  <c r="AG139" i="14" s="1"/>
  <c r="U138" i="14"/>
  <c r="B138" i="14" s="1"/>
  <c r="AF155" i="14"/>
  <c r="U155" i="14"/>
  <c r="AF131" i="14"/>
  <c r="U131" i="14"/>
  <c r="AF132" i="14"/>
  <c r="U132" i="14"/>
  <c r="B132" i="14" s="1"/>
  <c r="AF164" i="14"/>
  <c r="AG165" i="14" s="1"/>
  <c r="U164" i="14"/>
  <c r="B164" i="14" s="1"/>
  <c r="AF165" i="14"/>
  <c r="U165" i="14"/>
  <c r="B165" i="14" s="1"/>
  <c r="N167" i="14"/>
  <c r="N169" i="14"/>
  <c r="N171" i="14"/>
  <c r="N173" i="14"/>
  <c r="N175" i="14"/>
  <c r="U179" i="14"/>
  <c r="B179" i="14" s="1"/>
  <c r="AF179" i="14"/>
  <c r="AF184" i="14"/>
  <c r="U184" i="14"/>
  <c r="AF185" i="14"/>
  <c r="AG186" i="14" s="1"/>
  <c r="U185" i="14"/>
  <c r="B185" i="14" s="1"/>
  <c r="AF186" i="14"/>
  <c r="AG187" i="14" s="1"/>
  <c r="AH187" i="14" s="1"/>
  <c r="U186" i="14"/>
  <c r="B186" i="14" s="1"/>
  <c r="AF204" i="14"/>
  <c r="U204" i="14"/>
  <c r="B204" i="14" s="1"/>
  <c r="AF205" i="14"/>
  <c r="U205" i="14"/>
  <c r="U210" i="14"/>
  <c r="B210" i="14" s="1"/>
  <c r="AF210" i="14"/>
  <c r="AG211" i="14" s="1"/>
  <c r="Q37" i="14"/>
  <c r="Q40" i="14"/>
  <c r="AH40" i="14" s="1"/>
  <c r="Q63" i="14"/>
  <c r="AH63" i="14" s="1"/>
  <c r="Q67" i="14"/>
  <c r="W67" i="14" s="1"/>
  <c r="AF108" i="14"/>
  <c r="U108" i="14"/>
  <c r="AF109" i="14"/>
  <c r="U109" i="14"/>
  <c r="B109" i="14" s="1"/>
  <c r="S139" i="14"/>
  <c r="T139" i="14" s="1"/>
  <c r="R139" i="14"/>
  <c r="M139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M37" i="14"/>
  <c r="R37" i="14"/>
  <c r="M40" i="14"/>
  <c r="R40" i="14"/>
  <c r="Q60" i="14"/>
  <c r="AH60" i="14" s="1"/>
  <c r="M63" i="14"/>
  <c r="R63" i="14"/>
  <c r="Q64" i="14"/>
  <c r="AH64" i="14" s="1"/>
  <c r="M67" i="14"/>
  <c r="R67" i="14"/>
  <c r="U86" i="14"/>
  <c r="B86" i="14" s="1"/>
  <c r="Q89" i="14"/>
  <c r="N91" i="14"/>
  <c r="AF91" i="14"/>
  <c r="U91" i="14"/>
  <c r="B91" i="14" s="1"/>
  <c r="S116" i="14"/>
  <c r="T116" i="14" s="1"/>
  <c r="R116" i="14"/>
  <c r="M116" i="14"/>
  <c r="AF130" i="14"/>
  <c r="N136" i="14"/>
  <c r="S137" i="14"/>
  <c r="T137" i="14" s="1"/>
  <c r="R137" i="14"/>
  <c r="M137" i="14"/>
  <c r="N140" i="14"/>
  <c r="AF154" i="14"/>
  <c r="U154" i="14"/>
  <c r="B154" i="14" s="1"/>
  <c r="M60" i="14"/>
  <c r="M64" i="14"/>
  <c r="R87" i="14"/>
  <c r="R92" i="14"/>
  <c r="M92" i="14"/>
  <c r="S92" i="14"/>
  <c r="T92" i="14" s="1"/>
  <c r="AH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13" i="14"/>
  <c r="S114" i="14"/>
  <c r="T114" i="14" s="1"/>
  <c r="R114" i="14"/>
  <c r="M114" i="14"/>
  <c r="N130" i="14"/>
  <c r="W130" i="14"/>
  <c r="N132" i="14"/>
  <c r="S133" i="14"/>
  <c r="T133" i="14" s="1"/>
  <c r="R133" i="14"/>
  <c r="M133" i="14"/>
  <c r="AF135" i="14"/>
  <c r="U135" i="14"/>
  <c r="B135" i="14" s="1"/>
  <c r="AF136" i="14"/>
  <c r="U136" i="14"/>
  <c r="B136" i="14" s="1"/>
  <c r="Q139" i="14"/>
  <c r="W139" i="14" s="1"/>
  <c r="AF157" i="14"/>
  <c r="U157" i="14"/>
  <c r="B157" i="14" s="1"/>
  <c r="Q90" i="14"/>
  <c r="Q107" i="14"/>
  <c r="AH107" i="14" s="1"/>
  <c r="Q111" i="14"/>
  <c r="AH111" i="14" s="1"/>
  <c r="Q115" i="14"/>
  <c r="W115" i="14" s="1"/>
  <c r="Q134" i="14"/>
  <c r="AH134" i="14" s="1"/>
  <c r="Q138" i="14"/>
  <c r="W138" i="14" s="1"/>
  <c r="Q155" i="14"/>
  <c r="AH155" i="14" s="1"/>
  <c r="AF159" i="14"/>
  <c r="U159" i="14"/>
  <c r="AF161" i="14"/>
  <c r="AG162" i="14" s="1"/>
  <c r="U161" i="14"/>
  <c r="B161" i="14" s="1"/>
  <c r="AF162" i="14"/>
  <c r="AG163" i="14" s="1"/>
  <c r="AH163" i="14" s="1"/>
  <c r="U162" i="14"/>
  <c r="B162" i="14" s="1"/>
  <c r="AF183" i="14"/>
  <c r="U183" i="14"/>
  <c r="U187" i="14"/>
  <c r="B187" i="14" s="1"/>
  <c r="AF187" i="14"/>
  <c r="AG188" i="14" s="1"/>
  <c r="N190" i="14"/>
  <c r="N192" i="14"/>
  <c r="N194" i="14"/>
  <c r="N196" i="14"/>
  <c r="N198" i="14"/>
  <c r="N200" i="14"/>
  <c r="N202" i="14"/>
  <c r="AF206" i="14"/>
  <c r="U206" i="14"/>
  <c r="N213" i="14"/>
  <c r="Q106" i="14"/>
  <c r="W106" i="14" s="1"/>
  <c r="Q108" i="14"/>
  <c r="AH108" i="14" s="1"/>
  <c r="Q112" i="14"/>
  <c r="AH112" i="14" s="1"/>
  <c r="Q131" i="14"/>
  <c r="AH131" i="14" s="1"/>
  <c r="Q135" i="14"/>
  <c r="AH135" i="14" s="1"/>
  <c r="Q154" i="14"/>
  <c r="W154" i="14" s="1"/>
  <c r="Q156" i="14"/>
  <c r="AH156" i="14" s="1"/>
  <c r="N159" i="14"/>
  <c r="U163" i="14"/>
  <c r="B163" i="14" s="1"/>
  <c r="AF163" i="14"/>
  <c r="AG164" i="14" s="1"/>
  <c r="N166" i="14"/>
  <c r="N168" i="14"/>
  <c r="N170" i="14"/>
  <c r="N172" i="14"/>
  <c r="N174" i="14"/>
  <c r="AF181" i="14"/>
  <c r="U181" i="14"/>
  <c r="B181" i="14" s="1"/>
  <c r="AF182" i="14"/>
  <c r="U182" i="14"/>
  <c r="AF203" i="14"/>
  <c r="U203" i="14"/>
  <c r="B203" i="14" s="1"/>
  <c r="AF211" i="14"/>
  <c r="U211" i="14"/>
  <c r="B211" i="14" s="1"/>
  <c r="M106" i="14"/>
  <c r="N107" i="14"/>
  <c r="M108" i="14"/>
  <c r="N111" i="14"/>
  <c r="M112" i="14"/>
  <c r="M131" i="14"/>
  <c r="N134" i="14"/>
  <c r="M135" i="14"/>
  <c r="M154" i="14"/>
  <c r="N155" i="14"/>
  <c r="M156" i="14"/>
  <c r="R156" i="14"/>
  <c r="AF158" i="14"/>
  <c r="U158" i="14"/>
  <c r="B158" i="14" s="1"/>
  <c r="AF178" i="14"/>
  <c r="AG179" i="14" s="1"/>
  <c r="AH179" i="14" s="1"/>
  <c r="U178" i="14"/>
  <c r="B178" i="14" s="1"/>
  <c r="AF180" i="14"/>
  <c r="U180" i="14"/>
  <c r="B180" i="14" s="1"/>
  <c r="AF188" i="14"/>
  <c r="AG189" i="14" s="1"/>
  <c r="U188" i="14"/>
  <c r="B188" i="14" s="1"/>
  <c r="AF189" i="14"/>
  <c r="U189" i="14"/>
  <c r="B189" i="14" s="1"/>
  <c r="N191" i="14"/>
  <c r="N193" i="14"/>
  <c r="N195" i="14"/>
  <c r="N197" i="14"/>
  <c r="N199" i="14"/>
  <c r="N201" i="14"/>
  <c r="AF207" i="14"/>
  <c r="U207" i="14"/>
  <c r="B207" i="14" s="1"/>
  <c r="AF208" i="14"/>
  <c r="AG209" i="14" s="1"/>
  <c r="U208" i="14"/>
  <c r="B208" i="14" s="1"/>
  <c r="AF209" i="14"/>
  <c r="AG210" i="14" s="1"/>
  <c r="AH210" i="14" s="1"/>
  <c r="U209" i="14"/>
  <c r="B209" i="14" s="1"/>
  <c r="N212" i="14"/>
  <c r="M157" i="14"/>
  <c r="R157" i="14"/>
  <c r="S160" i="14"/>
  <c r="T160" i="14" s="1"/>
  <c r="Q162" i="14"/>
  <c r="W162" i="14" s="1"/>
  <c r="Q178" i="14"/>
  <c r="Q182" i="14"/>
  <c r="AH182" i="14" s="1"/>
  <c r="Q186" i="14"/>
  <c r="W186" i="14" s="1"/>
  <c r="Q203" i="14"/>
  <c r="Q205" i="14"/>
  <c r="AH205" i="14" s="1"/>
  <c r="Q209" i="14"/>
  <c r="W209" i="14" s="1"/>
  <c r="AF231" i="14"/>
  <c r="U231" i="14"/>
  <c r="AF233" i="14"/>
  <c r="AG234" i="14" s="1"/>
  <c r="U233" i="14"/>
  <c r="B233" i="14" s="1"/>
  <c r="AF234" i="14"/>
  <c r="U234" i="14"/>
  <c r="B234" i="14" s="1"/>
  <c r="N236" i="14"/>
  <c r="Q159" i="14"/>
  <c r="AH159" i="14" s="1"/>
  <c r="N161" i="14"/>
  <c r="M162" i="14"/>
  <c r="R162" i="14"/>
  <c r="N163" i="14"/>
  <c r="Q165" i="14"/>
  <c r="W165" i="14" s="1"/>
  <c r="Q183" i="14"/>
  <c r="AH183" i="14" s="1"/>
  <c r="N185" i="14"/>
  <c r="M186" i="14"/>
  <c r="R186" i="14"/>
  <c r="N187" i="14"/>
  <c r="Q189" i="14"/>
  <c r="W189" i="14" s="1"/>
  <c r="M203" i="14"/>
  <c r="R203" i="14"/>
  <c r="N204" i="14"/>
  <c r="M205" i="14"/>
  <c r="R205" i="14"/>
  <c r="Q206" i="14"/>
  <c r="AH206" i="14" s="1"/>
  <c r="N208" i="14"/>
  <c r="M209" i="14"/>
  <c r="R209" i="14"/>
  <c r="N210" i="14"/>
  <c r="N219" i="14"/>
  <c r="N221" i="14"/>
  <c r="N223" i="14"/>
  <c r="N225" i="14"/>
  <c r="AF229" i="14"/>
  <c r="U229" i="14"/>
  <c r="B229" i="14" s="1"/>
  <c r="AF253" i="14"/>
  <c r="U253" i="14"/>
  <c r="Q160" i="14"/>
  <c r="AH160" i="14" s="1"/>
  <c r="Q164" i="14"/>
  <c r="W164" i="14" s="1"/>
  <c r="M165" i="14"/>
  <c r="R165" i="14"/>
  <c r="N178" i="14"/>
  <c r="N182" i="14"/>
  <c r="M183" i="14"/>
  <c r="R183" i="14"/>
  <c r="Q184" i="14"/>
  <c r="AH184" i="14" s="1"/>
  <c r="Q188" i="14"/>
  <c r="W188" i="14" s="1"/>
  <c r="M189" i="14"/>
  <c r="R189" i="14"/>
  <c r="M206" i="14"/>
  <c r="R206" i="14"/>
  <c r="Q211" i="14"/>
  <c r="W211" i="14" s="1"/>
  <c r="N214" i="14"/>
  <c r="N215" i="14"/>
  <c r="N216" i="14"/>
  <c r="N217" i="14"/>
  <c r="N218" i="14"/>
  <c r="AF232" i="14"/>
  <c r="AG233" i="14" s="1"/>
  <c r="AH233" i="14" s="1"/>
  <c r="U232" i="14"/>
  <c r="N235" i="14"/>
  <c r="AF279" i="14"/>
  <c r="U279" i="14"/>
  <c r="M160" i="14"/>
  <c r="M164" i="14"/>
  <c r="M184" i="14"/>
  <c r="M188" i="14"/>
  <c r="M211" i="14"/>
  <c r="N220" i="14"/>
  <c r="N222" i="14"/>
  <c r="N224" i="14"/>
  <c r="N226" i="14"/>
  <c r="S227" i="14"/>
  <c r="T227" i="14" s="1"/>
  <c r="Q231" i="14"/>
  <c r="AH231" i="14" s="1"/>
  <c r="R234" i="14"/>
  <c r="N257" i="14"/>
  <c r="AF280" i="14"/>
  <c r="AG281" i="14" s="1"/>
  <c r="AH281" i="14" s="1"/>
  <c r="U280" i="14"/>
  <c r="N284" i="14"/>
  <c r="N288" i="14"/>
  <c r="Y300" i="14"/>
  <c r="Q228" i="14"/>
  <c r="AH228" i="14" s="1"/>
  <c r="N230" i="14"/>
  <c r="S230" i="14"/>
  <c r="T230" i="14" s="1"/>
  <c r="M231" i="14"/>
  <c r="R231" i="14"/>
  <c r="Q232" i="14"/>
  <c r="AH232" i="14" s="1"/>
  <c r="M234" i="14"/>
  <c r="N237" i="14"/>
  <c r="N239" i="14"/>
  <c r="N241" i="14"/>
  <c r="N243" i="14"/>
  <c r="N245" i="14"/>
  <c r="N247" i="14"/>
  <c r="N249" i="14"/>
  <c r="N251" i="14"/>
  <c r="AF255" i="14"/>
  <c r="U255" i="14"/>
  <c r="B255" i="14" s="1"/>
  <c r="N283" i="14"/>
  <c r="N287" i="14"/>
  <c r="N289" i="14"/>
  <c r="Q227" i="14"/>
  <c r="W227" i="14" s="1"/>
  <c r="M228" i="14"/>
  <c r="M232" i="14"/>
  <c r="AF252" i="14"/>
  <c r="AF256" i="14"/>
  <c r="AG257" i="14" s="1"/>
  <c r="AH257" i="14" s="1"/>
  <c r="U256" i="14"/>
  <c r="B256" i="14" s="1"/>
  <c r="N282" i="14"/>
  <c r="N286" i="14"/>
  <c r="M227" i="14"/>
  <c r="Q234" i="14"/>
  <c r="W234" i="14" s="1"/>
  <c r="N252" i="14"/>
  <c r="AH252" i="14"/>
  <c r="N256" i="14"/>
  <c r="AF276" i="14"/>
  <c r="AG277" i="14" s="1"/>
  <c r="U276" i="14"/>
  <c r="B276" i="14" s="1"/>
  <c r="AF277" i="14"/>
  <c r="U277" i="14"/>
  <c r="B277" i="14" s="1"/>
  <c r="N285" i="14"/>
  <c r="Q253" i="14"/>
  <c r="AH253" i="14" s="1"/>
  <c r="R254" i="14"/>
  <c r="M254" i="14"/>
  <c r="S254" i="14"/>
  <c r="T254" i="14" s="1"/>
  <c r="S278" i="14"/>
  <c r="T278" i="14" s="1"/>
  <c r="R278" i="14"/>
  <c r="M278" i="14"/>
  <c r="AF281" i="14"/>
  <c r="M253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81" i="14"/>
  <c r="S257" i="14"/>
  <c r="T257" i="14" s="1"/>
  <c r="Q277" i="14"/>
  <c r="W277" i="14" s="1"/>
  <c r="Q279" i="14"/>
  <c r="AH279" i="14" s="1"/>
  <c r="Y298" i="14"/>
  <c r="Q276" i="14"/>
  <c r="W276" i="14" s="1"/>
  <c r="M277" i="14"/>
  <c r="R277" i="14"/>
  <c r="M279" i="14"/>
  <c r="R279" i="14"/>
  <c r="Q280" i="14"/>
  <c r="AH280" i="14" s="1"/>
  <c r="Y297" i="14"/>
  <c r="Y301" i="14"/>
  <c r="M276" i="14"/>
  <c r="M280" i="14"/>
  <c r="N27" i="13"/>
  <c r="X27" i="13"/>
  <c r="N28" i="13"/>
  <c r="X28" i="13"/>
  <c r="N29" i="13"/>
  <c r="X29" i="13"/>
  <c r="N21" i="13"/>
  <c r="D4" i="13"/>
  <c r="V3" i="13"/>
  <c r="C4" i="13" s="1"/>
  <c r="N2" i="13"/>
  <c r="AA2" i="13"/>
  <c r="AA3" i="13"/>
  <c r="AA4" i="13" s="1"/>
  <c r="AA5" i="13" s="1"/>
  <c r="AA6" i="13" s="1"/>
  <c r="AA7" i="13" s="1"/>
  <c r="AA8" i="13" s="1"/>
  <c r="AA9" i="13" s="1"/>
  <c r="AA10" i="13" s="1"/>
  <c r="AA11" i="13" s="1"/>
  <c r="N3" i="13"/>
  <c r="N4" i="13"/>
  <c r="X5" i="13"/>
  <c r="N5" i="13"/>
  <c r="X6" i="13"/>
  <c r="N6" i="13"/>
  <c r="X7" i="13"/>
  <c r="N7" i="13"/>
  <c r="X8" i="13"/>
  <c r="N8" i="13"/>
  <c r="X9" i="13"/>
  <c r="N9" i="13"/>
  <c r="X10" i="13"/>
  <c r="N10" i="13"/>
  <c r="X11" i="13"/>
  <c r="N11" i="13"/>
  <c r="B62" i="13"/>
  <c r="B15" i="13"/>
  <c r="N31" i="13"/>
  <c r="X31" i="13"/>
  <c r="N32" i="13"/>
  <c r="X32" i="13"/>
  <c r="N33" i="13"/>
  <c r="X33" i="13"/>
  <c r="X50" i="13"/>
  <c r="N50" i="13"/>
  <c r="X54" i="13"/>
  <c r="N54" i="13"/>
  <c r="X58" i="13"/>
  <c r="N58" i="13"/>
  <c r="S67" i="13"/>
  <c r="T67" i="13" s="1"/>
  <c r="U67" i="13" s="1"/>
  <c r="B67" i="13" s="1"/>
  <c r="R67" i="13"/>
  <c r="M67" i="13"/>
  <c r="N201" i="13"/>
  <c r="Q15" i="13"/>
  <c r="R16" i="13"/>
  <c r="N17" i="13"/>
  <c r="N18" i="13"/>
  <c r="N19" i="13"/>
  <c r="N22" i="13"/>
  <c r="N24" i="13"/>
  <c r="X51" i="13"/>
  <c r="N51" i="13"/>
  <c r="X55" i="13"/>
  <c r="N55" i="13"/>
  <c r="N59" i="13"/>
  <c r="N102" i="13"/>
  <c r="B110" i="13"/>
  <c r="N121" i="13"/>
  <c r="N30" i="13"/>
  <c r="N64" i="13"/>
  <c r="N72" i="13"/>
  <c r="N143" i="13"/>
  <c r="M16" i="13"/>
  <c r="Q12" i="13"/>
  <c r="W12" i="13" s="1"/>
  <c r="Q14" i="13"/>
  <c r="B14" i="13" s="1"/>
  <c r="R15" i="13"/>
  <c r="S16" i="13"/>
  <c r="T16" i="13" s="1"/>
  <c r="U16" i="13" s="1"/>
  <c r="B16" i="13" s="1"/>
  <c r="X30" i="13"/>
  <c r="N35" i="13"/>
  <c r="X35" i="13"/>
  <c r="S39" i="13"/>
  <c r="T39" i="13" s="1"/>
  <c r="U39" i="13" s="1"/>
  <c r="B39" i="13" s="1"/>
  <c r="R39" i="13"/>
  <c r="M39" i="13"/>
  <c r="X52" i="13"/>
  <c r="N52" i="13"/>
  <c r="X56" i="13"/>
  <c r="N56" i="13"/>
  <c r="Q67" i="13"/>
  <c r="W67" i="13" s="1"/>
  <c r="N69" i="13"/>
  <c r="N70" i="13"/>
  <c r="N73" i="13"/>
  <c r="N74" i="13"/>
  <c r="N77" i="13"/>
  <c r="N78" i="13"/>
  <c r="N81" i="13"/>
  <c r="N82" i="13"/>
  <c r="S86" i="13"/>
  <c r="T86" i="13" s="1"/>
  <c r="U86" i="13" s="1"/>
  <c r="B86" i="13" s="1"/>
  <c r="R86" i="13"/>
  <c r="M86" i="13"/>
  <c r="S112" i="13"/>
  <c r="T112" i="13" s="1"/>
  <c r="U112" i="13" s="1"/>
  <c r="Q112" i="13"/>
  <c r="M112" i="13"/>
  <c r="N129" i="13"/>
  <c r="N151" i="13"/>
  <c r="N181" i="13"/>
  <c r="N68" i="13"/>
  <c r="N76" i="13"/>
  <c r="N80" i="13"/>
  <c r="N98" i="13"/>
  <c r="B109" i="13"/>
  <c r="N139" i="13"/>
  <c r="AD291" i="13"/>
  <c r="Q13" i="13"/>
  <c r="W13" i="13" s="1"/>
  <c r="M15" i="13"/>
  <c r="M12" i="13"/>
  <c r="M13" i="13"/>
  <c r="M14" i="13"/>
  <c r="N23" i="13"/>
  <c r="N25" i="13"/>
  <c r="N34" i="13"/>
  <c r="X34" i="13"/>
  <c r="N40" i="13"/>
  <c r="X53" i="13"/>
  <c r="N53" i="13"/>
  <c r="X57" i="13"/>
  <c r="N57" i="13"/>
  <c r="N60" i="13"/>
  <c r="S63" i="13"/>
  <c r="T63" i="13" s="1"/>
  <c r="U63" i="13" s="1"/>
  <c r="B63" i="13" s="1"/>
  <c r="R63" i="13"/>
  <c r="M63" i="13"/>
  <c r="N87" i="13"/>
  <c r="S92" i="13"/>
  <c r="T92" i="13" s="1"/>
  <c r="U92" i="13" s="1"/>
  <c r="B92" i="13" s="1"/>
  <c r="R92" i="13"/>
  <c r="M92" i="13"/>
  <c r="N147" i="13"/>
  <c r="R163" i="13"/>
  <c r="M163" i="13"/>
  <c r="Q163" i="13"/>
  <c r="W163" i="13" s="1"/>
  <c r="S163" i="13"/>
  <c r="T163" i="13" s="1"/>
  <c r="U163" i="13" s="1"/>
  <c r="B163" i="13" s="1"/>
  <c r="Q36" i="13"/>
  <c r="W36" i="13" s="1"/>
  <c r="Q37" i="13"/>
  <c r="W37" i="13" s="1"/>
  <c r="Q38" i="13"/>
  <c r="B38" i="13" s="1"/>
  <c r="Q42" i="13"/>
  <c r="W42" i="13" s="1"/>
  <c r="Q62" i="13"/>
  <c r="Q66" i="13"/>
  <c r="B66" i="13" s="1"/>
  <c r="Q85" i="13"/>
  <c r="B85" i="13" s="1"/>
  <c r="Q89" i="13"/>
  <c r="W89" i="13" s="1"/>
  <c r="Q90" i="13"/>
  <c r="W90" i="13" s="1"/>
  <c r="Q91" i="13"/>
  <c r="B91" i="13" s="1"/>
  <c r="R107" i="13"/>
  <c r="M107" i="13"/>
  <c r="S107" i="13"/>
  <c r="T107" i="13" s="1"/>
  <c r="U107" i="13" s="1"/>
  <c r="Q114" i="13"/>
  <c r="B114" i="13" s="1"/>
  <c r="N119" i="13"/>
  <c r="N127" i="13"/>
  <c r="N140" i="13"/>
  <c r="R156" i="13"/>
  <c r="M156" i="13"/>
  <c r="S156" i="13"/>
  <c r="T156" i="13" s="1"/>
  <c r="U156" i="13" s="1"/>
  <c r="B158" i="13"/>
  <c r="N176" i="13"/>
  <c r="R179" i="13"/>
  <c r="M179" i="13"/>
  <c r="S179" i="13"/>
  <c r="T179" i="13" s="1"/>
  <c r="U179" i="13" s="1"/>
  <c r="B179" i="13" s="1"/>
  <c r="Q179" i="13"/>
  <c r="W179" i="13" s="1"/>
  <c r="N190" i="13"/>
  <c r="Q41" i="13"/>
  <c r="B41" i="13" s="1"/>
  <c r="Q61" i="13"/>
  <c r="B61" i="13" s="1"/>
  <c r="Q65" i="13"/>
  <c r="B65" i="13" s="1"/>
  <c r="Q83" i="13"/>
  <c r="W83" i="13" s="1"/>
  <c r="Q84" i="13"/>
  <c r="B84" i="13" s="1"/>
  <c r="Q88" i="13"/>
  <c r="B88" i="13" s="1"/>
  <c r="N100" i="13"/>
  <c r="N104" i="13"/>
  <c r="R108" i="13"/>
  <c r="N109" i="13"/>
  <c r="R116" i="13"/>
  <c r="M116" i="13"/>
  <c r="S116" i="13"/>
  <c r="T116" i="13" s="1"/>
  <c r="U116" i="13" s="1"/>
  <c r="B116" i="13" s="1"/>
  <c r="N117" i="13"/>
  <c r="N125" i="13"/>
  <c r="B132" i="13"/>
  <c r="R133" i="13"/>
  <c r="M133" i="13"/>
  <c r="S133" i="13"/>
  <c r="T133" i="13" s="1"/>
  <c r="U133" i="13" s="1"/>
  <c r="B133" i="13" s="1"/>
  <c r="B136" i="13"/>
  <c r="R137" i="13"/>
  <c r="M137" i="13"/>
  <c r="S137" i="13"/>
  <c r="T137" i="13" s="1"/>
  <c r="U137" i="13" s="1"/>
  <c r="B137" i="13" s="1"/>
  <c r="N157" i="13"/>
  <c r="N166" i="13"/>
  <c r="N172" i="13"/>
  <c r="N38" i="13"/>
  <c r="M41" i="13"/>
  <c r="M61" i="13"/>
  <c r="N62" i="13"/>
  <c r="M65" i="13"/>
  <c r="N66" i="13"/>
  <c r="M83" i="13"/>
  <c r="M84" i="13"/>
  <c r="N85" i="13"/>
  <c r="M88" i="13"/>
  <c r="N91" i="13"/>
  <c r="R106" i="13"/>
  <c r="M106" i="13"/>
  <c r="S106" i="13"/>
  <c r="T106" i="13" s="1"/>
  <c r="U106" i="13" s="1"/>
  <c r="B106" i="13" s="1"/>
  <c r="Q107" i="13"/>
  <c r="M108" i="13"/>
  <c r="Q110" i="13"/>
  <c r="R111" i="13"/>
  <c r="M111" i="13"/>
  <c r="S111" i="13"/>
  <c r="T111" i="13" s="1"/>
  <c r="U111" i="13" s="1"/>
  <c r="B111" i="13" s="1"/>
  <c r="R115" i="13"/>
  <c r="M115" i="13"/>
  <c r="S115" i="13"/>
  <c r="T115" i="13" s="1"/>
  <c r="U115" i="13" s="1"/>
  <c r="B115" i="13" s="1"/>
  <c r="N123" i="13"/>
  <c r="N134" i="13"/>
  <c r="N138" i="13"/>
  <c r="Q154" i="13"/>
  <c r="W154" i="13" s="1"/>
  <c r="Q155" i="13"/>
  <c r="B155" i="13" s="1"/>
  <c r="Q156" i="13"/>
  <c r="N168" i="13"/>
  <c r="R184" i="13"/>
  <c r="M184" i="13"/>
  <c r="S184" i="13"/>
  <c r="T184" i="13" s="1"/>
  <c r="U184" i="13" s="1"/>
  <c r="Q184" i="13"/>
  <c r="N192" i="13"/>
  <c r="R161" i="13"/>
  <c r="R165" i="13"/>
  <c r="M165" i="13"/>
  <c r="S165" i="13"/>
  <c r="T165" i="13" s="1"/>
  <c r="U165" i="13" s="1"/>
  <c r="B165" i="13" s="1"/>
  <c r="N170" i="13"/>
  <c r="N174" i="13"/>
  <c r="N200" i="13"/>
  <c r="T203" i="13"/>
  <c r="U203" i="13" s="1"/>
  <c r="B203" i="13" s="1"/>
  <c r="N215" i="13"/>
  <c r="N246" i="13"/>
  <c r="Q134" i="13"/>
  <c r="B134" i="13" s="1"/>
  <c r="Q138" i="13"/>
  <c r="W138" i="13" s="1"/>
  <c r="Q139" i="13"/>
  <c r="W139" i="13" s="1"/>
  <c r="Q140" i="13"/>
  <c r="W140" i="13" s="1"/>
  <c r="Q157" i="13"/>
  <c r="B157" i="13" s="1"/>
  <c r="N161" i="13"/>
  <c r="R180" i="13"/>
  <c r="M180" i="13"/>
  <c r="S180" i="13"/>
  <c r="T180" i="13" s="1"/>
  <c r="U180" i="13" s="1"/>
  <c r="N196" i="13"/>
  <c r="S206" i="13"/>
  <c r="T206" i="13" s="1"/>
  <c r="U206" i="13" s="1"/>
  <c r="B206" i="13" s="1"/>
  <c r="M206" i="13"/>
  <c r="Q206" i="13"/>
  <c r="B208" i="13"/>
  <c r="N213" i="13"/>
  <c r="R230" i="13"/>
  <c r="M230" i="13"/>
  <c r="Q230" i="13"/>
  <c r="S230" i="13"/>
  <c r="T230" i="13" s="1"/>
  <c r="U230" i="13" s="1"/>
  <c r="B230" i="13" s="1"/>
  <c r="N219" i="13"/>
  <c r="N224" i="13"/>
  <c r="N225" i="13"/>
  <c r="Q159" i="13"/>
  <c r="B159" i="13" s="1"/>
  <c r="R160" i="13"/>
  <c r="M160" i="13"/>
  <c r="S160" i="13"/>
  <c r="T160" i="13" s="1"/>
  <c r="U160" i="13" s="1"/>
  <c r="B160" i="13" s="1"/>
  <c r="Q161" i="13"/>
  <c r="B161" i="13" s="1"/>
  <c r="R164" i="13"/>
  <c r="M164" i="13"/>
  <c r="S164" i="13"/>
  <c r="T164" i="13" s="1"/>
  <c r="U164" i="13" s="1"/>
  <c r="B164" i="13" s="1"/>
  <c r="Q165" i="13"/>
  <c r="W165" i="13" s="1"/>
  <c r="R178" i="13"/>
  <c r="M178" i="13"/>
  <c r="S178" i="13"/>
  <c r="T178" i="13" s="1"/>
  <c r="U178" i="13" s="1"/>
  <c r="B178" i="13" s="1"/>
  <c r="Q180" i="13"/>
  <c r="N185" i="13"/>
  <c r="T189" i="13"/>
  <c r="U189" i="13" s="1"/>
  <c r="B189" i="13" s="1"/>
  <c r="N204" i="13"/>
  <c r="R206" i="13"/>
  <c r="B207" i="13"/>
  <c r="N217" i="13"/>
  <c r="Q182" i="13"/>
  <c r="B182" i="13" s="1"/>
  <c r="Q186" i="13"/>
  <c r="W186" i="13" s="1"/>
  <c r="Q187" i="13"/>
  <c r="W187" i="13" s="1"/>
  <c r="Q188" i="13"/>
  <c r="W188" i="13" s="1"/>
  <c r="R189" i="13"/>
  <c r="N226" i="13"/>
  <c r="R228" i="13"/>
  <c r="M228" i="13"/>
  <c r="Q228" i="13"/>
  <c r="B228" i="13" s="1"/>
  <c r="Q231" i="13"/>
  <c r="B231" i="13" s="1"/>
  <c r="M182" i="13"/>
  <c r="N183" i="13"/>
  <c r="S183" i="13"/>
  <c r="T183" i="13" s="1"/>
  <c r="U183" i="13" s="1"/>
  <c r="B183" i="13" s="1"/>
  <c r="M186" i="13"/>
  <c r="M187" i="13"/>
  <c r="M188" i="13"/>
  <c r="M189" i="13"/>
  <c r="Q204" i="13"/>
  <c r="B204" i="13" s="1"/>
  <c r="R205" i="13"/>
  <c r="M205" i="13"/>
  <c r="S205" i="13"/>
  <c r="T205" i="13" s="1"/>
  <c r="U205" i="13" s="1"/>
  <c r="B205" i="13" s="1"/>
  <c r="N208" i="13"/>
  <c r="N212" i="13"/>
  <c r="N214" i="13"/>
  <c r="N216" i="13"/>
  <c r="N218" i="13"/>
  <c r="N254" i="13"/>
  <c r="R257" i="13"/>
  <c r="M257" i="13"/>
  <c r="Q257" i="13"/>
  <c r="W257" i="13" s="1"/>
  <c r="Q189" i="13"/>
  <c r="W189" i="13" s="1"/>
  <c r="Q203" i="13"/>
  <c r="W203" i="13" s="1"/>
  <c r="Q208" i="13"/>
  <c r="R209" i="13"/>
  <c r="M209" i="13"/>
  <c r="S209" i="13"/>
  <c r="T209" i="13" s="1"/>
  <c r="U209" i="13" s="1"/>
  <c r="B209" i="13" s="1"/>
  <c r="R210" i="13"/>
  <c r="M210" i="13"/>
  <c r="S210" i="13"/>
  <c r="T210" i="13" s="1"/>
  <c r="U210" i="13" s="1"/>
  <c r="B210" i="13" s="1"/>
  <c r="R211" i="13"/>
  <c r="M211" i="13"/>
  <c r="S211" i="13"/>
  <c r="T211" i="13" s="1"/>
  <c r="U211" i="13" s="1"/>
  <c r="B211" i="13" s="1"/>
  <c r="N234" i="13"/>
  <c r="N229" i="13"/>
  <c r="N231" i="13"/>
  <c r="R232" i="13"/>
  <c r="M232" i="13"/>
  <c r="S232" i="13"/>
  <c r="T232" i="13" s="1"/>
  <c r="U232" i="13" s="1"/>
  <c r="B232" i="13" s="1"/>
  <c r="N267" i="13"/>
  <c r="N275" i="13"/>
  <c r="T278" i="13"/>
  <c r="U278" i="13" s="1"/>
  <c r="S279" i="13"/>
  <c r="T279" i="13" s="1"/>
  <c r="U279" i="13" s="1"/>
  <c r="B279" i="13" s="1"/>
  <c r="R279" i="13"/>
  <c r="M279" i="13"/>
  <c r="Q279" i="13"/>
  <c r="R227" i="13"/>
  <c r="M227" i="13"/>
  <c r="S227" i="13"/>
  <c r="T227" i="13" s="1"/>
  <c r="U227" i="13" s="1"/>
  <c r="B227" i="13" s="1"/>
  <c r="N263" i="13"/>
  <c r="N271" i="13"/>
  <c r="T276" i="13"/>
  <c r="U276" i="13" s="1"/>
  <c r="B276" i="13" s="1"/>
  <c r="N281" i="13"/>
  <c r="R252" i="13"/>
  <c r="M252" i="13"/>
  <c r="S252" i="13"/>
  <c r="T252" i="13" s="1"/>
  <c r="U252" i="13" s="1"/>
  <c r="B252" i="13" s="1"/>
  <c r="R253" i="13"/>
  <c r="M253" i="13"/>
  <c r="S253" i="13"/>
  <c r="T253" i="13" s="1"/>
  <c r="U253" i="13" s="1"/>
  <c r="B253" i="13" s="1"/>
  <c r="Q255" i="13"/>
  <c r="B255" i="13" s="1"/>
  <c r="M280" i="13"/>
  <c r="N287" i="13"/>
  <c r="S229" i="13"/>
  <c r="T229" i="13" s="1"/>
  <c r="U229" i="13" s="1"/>
  <c r="B229" i="13" s="1"/>
  <c r="S233" i="13"/>
  <c r="T233" i="13" s="1"/>
  <c r="U233" i="13" s="1"/>
  <c r="B233" i="13" s="1"/>
  <c r="S234" i="13"/>
  <c r="T234" i="13" s="1"/>
  <c r="U234" i="13" s="1"/>
  <c r="B234" i="13" s="1"/>
  <c r="R254" i="13"/>
  <c r="M255" i="13"/>
  <c r="Y300" i="13"/>
  <c r="Q252" i="13"/>
  <c r="W252" i="13" s="1"/>
  <c r="Q253" i="13"/>
  <c r="R280" i="13"/>
  <c r="N282" i="13"/>
  <c r="N284" i="13"/>
  <c r="N286" i="13"/>
  <c r="Y299" i="13"/>
  <c r="Q276" i="13"/>
  <c r="W276" i="13" s="1"/>
  <c r="Q277" i="13"/>
  <c r="W277" i="13" s="1"/>
  <c r="Q278" i="13"/>
  <c r="Y298" i="13"/>
  <c r="M276" i="13"/>
  <c r="M277" i="13"/>
  <c r="M278" i="13"/>
  <c r="Y297" i="13"/>
  <c r="Y301" i="13"/>
  <c r="U228" i="14" l="1"/>
  <c r="X290" i="14"/>
  <c r="U140" i="14"/>
  <c r="B140" i="14" s="1"/>
  <c r="AF140" i="14"/>
  <c r="U257" i="14"/>
  <c r="B257" i="14" s="1"/>
  <c r="AF257" i="14"/>
  <c r="N278" i="14"/>
  <c r="N227" i="14"/>
  <c r="N211" i="14"/>
  <c r="N160" i="14"/>
  <c r="B253" i="14"/>
  <c r="B231" i="14"/>
  <c r="AH178" i="14"/>
  <c r="W178" i="14"/>
  <c r="N157" i="14"/>
  <c r="AH189" i="14"/>
  <c r="N154" i="14"/>
  <c r="N112" i="14"/>
  <c r="N106" i="14"/>
  <c r="AH164" i="14"/>
  <c r="AH188" i="14"/>
  <c r="AH162" i="14"/>
  <c r="B156" i="14"/>
  <c r="U133" i="14"/>
  <c r="B133" i="14" s="1"/>
  <c r="AF133" i="14"/>
  <c r="U114" i="14"/>
  <c r="B114" i="14" s="1"/>
  <c r="AF114" i="14"/>
  <c r="AG115" i="14" s="1"/>
  <c r="AH115" i="14" s="1"/>
  <c r="AH106" i="14"/>
  <c r="N92" i="14"/>
  <c r="N64" i="14"/>
  <c r="U137" i="14"/>
  <c r="B137" i="14" s="1"/>
  <c r="AF137" i="14"/>
  <c r="AG138" i="14" s="1"/>
  <c r="AH138" i="14" s="1"/>
  <c r="N116" i="14"/>
  <c r="N67" i="14"/>
  <c r="N37" i="14"/>
  <c r="N139" i="14"/>
  <c r="AH211" i="14"/>
  <c r="B155" i="14"/>
  <c r="B134" i="14"/>
  <c r="B111" i="14"/>
  <c r="U66" i="14"/>
  <c r="B66" i="14" s="1"/>
  <c r="AF66" i="14"/>
  <c r="AG67" i="14" s="1"/>
  <c r="AH67" i="14" s="1"/>
  <c r="N17" i="14"/>
  <c r="N88" i="14"/>
  <c r="N83" i="14"/>
  <c r="N16" i="14"/>
  <c r="B88" i="14"/>
  <c r="AF85" i="14"/>
  <c r="U85" i="14"/>
  <c r="B85" i="14" s="1"/>
  <c r="B64" i="14"/>
  <c r="B40" i="14"/>
  <c r="B14" i="14"/>
  <c r="N232" i="14"/>
  <c r="AF227" i="14"/>
  <c r="U227" i="14"/>
  <c r="B227" i="14" s="1"/>
  <c r="N188" i="14"/>
  <c r="B279" i="14"/>
  <c r="B232" i="14"/>
  <c r="N189" i="14"/>
  <c r="N183" i="14"/>
  <c r="N165" i="14"/>
  <c r="AH203" i="14"/>
  <c r="W203" i="14"/>
  <c r="N135" i="14"/>
  <c r="B159" i="14"/>
  <c r="AH90" i="14"/>
  <c r="W90" i="14"/>
  <c r="N60" i="14"/>
  <c r="AH89" i="14"/>
  <c r="W89" i="14"/>
  <c r="N39" i="14"/>
  <c r="N15" i="14"/>
  <c r="N62" i="14"/>
  <c r="U36" i="14"/>
  <c r="B36" i="14" s="1"/>
  <c r="AF36" i="14"/>
  <c r="N110" i="14"/>
  <c r="B63" i="14"/>
  <c r="B16" i="14"/>
  <c r="AH15" i="14"/>
  <c r="N276" i="14"/>
  <c r="N279" i="14"/>
  <c r="U254" i="14"/>
  <c r="B254" i="14" s="1"/>
  <c r="AF254" i="14"/>
  <c r="N253" i="14"/>
  <c r="U278" i="14"/>
  <c r="B278" i="14" s="1"/>
  <c r="AF278" i="14"/>
  <c r="N254" i="14"/>
  <c r="AH277" i="14"/>
  <c r="N228" i="14"/>
  <c r="N231" i="14"/>
  <c r="B228" i="14"/>
  <c r="N184" i="14"/>
  <c r="N203" i="14"/>
  <c r="N186" i="14"/>
  <c r="N162" i="14"/>
  <c r="AH234" i="14"/>
  <c r="AH227" i="14"/>
  <c r="AF160" i="14"/>
  <c r="U160" i="14"/>
  <c r="B160" i="14" s="1"/>
  <c r="AH209" i="14"/>
  <c r="N156" i="14"/>
  <c r="N108" i="14"/>
  <c r="B182" i="14"/>
  <c r="N133" i="14"/>
  <c r="N114" i="14"/>
  <c r="N137" i="14"/>
  <c r="AF116" i="14"/>
  <c r="U116" i="14"/>
  <c r="B116" i="14" s="1"/>
  <c r="N40" i="14"/>
  <c r="AH154" i="14"/>
  <c r="AF139" i="14"/>
  <c r="AG140" i="14" s="1"/>
  <c r="AH140" i="14" s="1"/>
  <c r="U139" i="14"/>
  <c r="B139" i="14" s="1"/>
  <c r="B108" i="14"/>
  <c r="AH186" i="14"/>
  <c r="AH165" i="14"/>
  <c r="B131" i="14"/>
  <c r="B107" i="14"/>
  <c r="N66" i="14"/>
  <c r="AA12" i="14"/>
  <c r="AA13" i="14" s="1"/>
  <c r="N12" i="14"/>
  <c r="AF83" i="14"/>
  <c r="U83" i="14"/>
  <c r="B83" i="14" s="1"/>
  <c r="N36" i="14"/>
  <c r="Q291" i="14"/>
  <c r="W12" i="14"/>
  <c r="AA14" i="14"/>
  <c r="AA15" i="14" s="1"/>
  <c r="AA16" i="14" s="1"/>
  <c r="AA17" i="14" s="1"/>
  <c r="AA18" i="14" s="1"/>
  <c r="AA19" i="14" s="1"/>
  <c r="AA20" i="14" s="1"/>
  <c r="AA21" i="14" s="1"/>
  <c r="AA22" i="14" s="1"/>
  <c r="AA23" i="14" s="1"/>
  <c r="AA24" i="14" s="1"/>
  <c r="AA25" i="14" s="1"/>
  <c r="AA26" i="14" s="1"/>
  <c r="AA27" i="14" s="1"/>
  <c r="AA28" i="14" s="1"/>
  <c r="AA29" i="14" s="1"/>
  <c r="AA30" i="14" s="1"/>
  <c r="AA31" i="14" s="1"/>
  <c r="AA32" i="14" s="1"/>
  <c r="AA33" i="14" s="1"/>
  <c r="AA34" i="14" s="1"/>
  <c r="AA35" i="14" s="1"/>
  <c r="AA36" i="14" s="1"/>
  <c r="AA37" i="14" s="1"/>
  <c r="AA38" i="14" s="1"/>
  <c r="AA39" i="14" s="1"/>
  <c r="AA40" i="14" s="1"/>
  <c r="AA41" i="14" s="1"/>
  <c r="AA42" i="14" s="1"/>
  <c r="AA43" i="14" s="1"/>
  <c r="AA44" i="14" s="1"/>
  <c r="AA45" i="14" s="1"/>
  <c r="AA46" i="14" s="1"/>
  <c r="AA47" i="14" s="1"/>
  <c r="AA48" i="14" s="1"/>
  <c r="AA49" i="14" s="1"/>
  <c r="AA50" i="14" s="1"/>
  <c r="AA51" i="14" s="1"/>
  <c r="AA52" i="14" s="1"/>
  <c r="AA53" i="14" s="1"/>
  <c r="AA54" i="14" s="1"/>
  <c r="AA55" i="14" s="1"/>
  <c r="AA56" i="14" s="1"/>
  <c r="AA57" i="14" s="1"/>
  <c r="AA58" i="14" s="1"/>
  <c r="AA59" i="14" s="1"/>
  <c r="AA60" i="14" s="1"/>
  <c r="AA61" i="14" s="1"/>
  <c r="AA62" i="14" s="1"/>
  <c r="AA63" i="14" s="1"/>
  <c r="AA64" i="14" s="1"/>
  <c r="AA65" i="14" s="1"/>
  <c r="AA66" i="14" s="1"/>
  <c r="AA67" i="14" s="1"/>
  <c r="AA68" i="14" s="1"/>
  <c r="AA69" i="14" s="1"/>
  <c r="AA70" i="14" s="1"/>
  <c r="AA71" i="14" s="1"/>
  <c r="AA72" i="14" s="1"/>
  <c r="AA73" i="14" s="1"/>
  <c r="AA74" i="14" s="1"/>
  <c r="AA75" i="14" s="1"/>
  <c r="AA76" i="14" s="1"/>
  <c r="AA77" i="14" s="1"/>
  <c r="AA78" i="14" s="1"/>
  <c r="AA79" i="14" s="1"/>
  <c r="AA80" i="14" s="1"/>
  <c r="AA81" i="14" s="1"/>
  <c r="AA82" i="14" s="1"/>
  <c r="AA83" i="14" s="1"/>
  <c r="AA84" i="14" s="1"/>
  <c r="AA85" i="14" s="1"/>
  <c r="AA86" i="14" s="1"/>
  <c r="AA87" i="14" s="1"/>
  <c r="AA88" i="14" s="1"/>
  <c r="AA89" i="14" s="1"/>
  <c r="AA90" i="14" s="1"/>
  <c r="AA91" i="14" s="1"/>
  <c r="AA92" i="14" s="1"/>
  <c r="AA93" i="14" s="1"/>
  <c r="AA94" i="14" s="1"/>
  <c r="AA95" i="14" s="1"/>
  <c r="AA96" i="14" s="1"/>
  <c r="AA97" i="14" s="1"/>
  <c r="AA98" i="14" s="1"/>
  <c r="AA99" i="14" s="1"/>
  <c r="AA100" i="14" s="1"/>
  <c r="AA101" i="14" s="1"/>
  <c r="AA102" i="14" s="1"/>
  <c r="AA103" i="14" s="1"/>
  <c r="AA104" i="14" s="1"/>
  <c r="AA105" i="14" s="1"/>
  <c r="AA106" i="14" s="1"/>
  <c r="AA107" i="14" s="1"/>
  <c r="AA108" i="14" s="1"/>
  <c r="AA109" i="14" s="1"/>
  <c r="AA110" i="14" s="1"/>
  <c r="AA111" i="14" s="1"/>
  <c r="AA112" i="14" s="1"/>
  <c r="AA113" i="14" s="1"/>
  <c r="AA114" i="14" s="1"/>
  <c r="AA115" i="14" s="1"/>
  <c r="AA116" i="14" s="1"/>
  <c r="AA117" i="14" s="1"/>
  <c r="AA118" i="14" s="1"/>
  <c r="AA119" i="14" s="1"/>
  <c r="AA120" i="14" s="1"/>
  <c r="AA121" i="14" s="1"/>
  <c r="AA122" i="14" s="1"/>
  <c r="AA123" i="14" s="1"/>
  <c r="AA124" i="14" s="1"/>
  <c r="AA125" i="14" s="1"/>
  <c r="AA126" i="14" s="1"/>
  <c r="AA127" i="14" s="1"/>
  <c r="AA128" i="14" s="1"/>
  <c r="AA129" i="14" s="1"/>
  <c r="AA130" i="14" s="1"/>
  <c r="AA131" i="14" s="1"/>
  <c r="AA132" i="14" s="1"/>
  <c r="AA133" i="14" s="1"/>
  <c r="AA134" i="14" s="1"/>
  <c r="AA135" i="14" s="1"/>
  <c r="AA136" i="14" s="1"/>
  <c r="AA137" i="14" s="1"/>
  <c r="AA138" i="14" s="1"/>
  <c r="AA139" i="14" s="1"/>
  <c r="AA140" i="14" s="1"/>
  <c r="AA141" i="14" s="1"/>
  <c r="AA142" i="14" s="1"/>
  <c r="AA143" i="14" s="1"/>
  <c r="AA144" i="14" s="1"/>
  <c r="AA145" i="14" s="1"/>
  <c r="AA146" i="14" s="1"/>
  <c r="AA147" i="14" s="1"/>
  <c r="AA148" i="14" s="1"/>
  <c r="AA149" i="14" s="1"/>
  <c r="AA150" i="14" s="1"/>
  <c r="AA151" i="14" s="1"/>
  <c r="AA152" i="14" s="1"/>
  <c r="AA153" i="14" s="1"/>
  <c r="AA154" i="14" s="1"/>
  <c r="AA155" i="14" s="1"/>
  <c r="AA156" i="14" s="1"/>
  <c r="AA157" i="14" s="1"/>
  <c r="AA158" i="14" s="1"/>
  <c r="AA159" i="14" s="1"/>
  <c r="AA160" i="14" s="1"/>
  <c r="AA161" i="14" s="1"/>
  <c r="AA162" i="14" s="1"/>
  <c r="AA163" i="14" s="1"/>
  <c r="AA164" i="14" s="1"/>
  <c r="AA165" i="14" s="1"/>
  <c r="AA166" i="14" s="1"/>
  <c r="AA167" i="14" s="1"/>
  <c r="AA168" i="14" s="1"/>
  <c r="AA169" i="14" s="1"/>
  <c r="AA170" i="14" s="1"/>
  <c r="AA171" i="14" s="1"/>
  <c r="AA172" i="14" s="1"/>
  <c r="AA173" i="14" s="1"/>
  <c r="AA174" i="14" s="1"/>
  <c r="AA175" i="14" s="1"/>
  <c r="AA176" i="14" s="1"/>
  <c r="AA177" i="14" s="1"/>
  <c r="AA178" i="14" s="1"/>
  <c r="AA179" i="14" s="1"/>
  <c r="AA180" i="14" s="1"/>
  <c r="AA181" i="14" s="1"/>
  <c r="AA182" i="14" s="1"/>
  <c r="AA183" i="14" s="1"/>
  <c r="AA184" i="14" s="1"/>
  <c r="AA185" i="14" s="1"/>
  <c r="AA186" i="14" s="1"/>
  <c r="AA187" i="14" s="1"/>
  <c r="AA188" i="14" s="1"/>
  <c r="AA189" i="14" s="1"/>
  <c r="AA190" i="14" s="1"/>
  <c r="AA191" i="14" s="1"/>
  <c r="AA192" i="14" s="1"/>
  <c r="AA193" i="14" s="1"/>
  <c r="AA194" i="14" s="1"/>
  <c r="AA195" i="14" s="1"/>
  <c r="AA196" i="14" s="1"/>
  <c r="AA197" i="14" s="1"/>
  <c r="AA198" i="14" s="1"/>
  <c r="AA199" i="14" s="1"/>
  <c r="AA200" i="14" s="1"/>
  <c r="AA201" i="14" s="1"/>
  <c r="AA202" i="14" s="1"/>
  <c r="AA203" i="14" s="1"/>
  <c r="AA204" i="14" s="1"/>
  <c r="AA205" i="14" s="1"/>
  <c r="AA206" i="14" s="1"/>
  <c r="AA207" i="14" s="1"/>
  <c r="AA208" i="14" s="1"/>
  <c r="AA209" i="14" s="1"/>
  <c r="AA210" i="14" s="1"/>
  <c r="AA211" i="14" s="1"/>
  <c r="AA212" i="14" s="1"/>
  <c r="AA213" i="14" s="1"/>
  <c r="AA214" i="14" s="1"/>
  <c r="AA215" i="14" s="1"/>
  <c r="AA216" i="14" s="1"/>
  <c r="AA217" i="14" s="1"/>
  <c r="AA218" i="14" s="1"/>
  <c r="AA219" i="14" s="1"/>
  <c r="AA220" i="14" s="1"/>
  <c r="AA221" i="14" s="1"/>
  <c r="AA222" i="14" s="1"/>
  <c r="AA223" i="14" s="1"/>
  <c r="AA224" i="14" s="1"/>
  <c r="AA225" i="14" s="1"/>
  <c r="AA226" i="14" s="1"/>
  <c r="AA227" i="14" s="1"/>
  <c r="AA228" i="14" s="1"/>
  <c r="AA229" i="14" s="1"/>
  <c r="AA230" i="14" s="1"/>
  <c r="AA231" i="14" s="1"/>
  <c r="AA232" i="14" s="1"/>
  <c r="AA233" i="14" s="1"/>
  <c r="AA234" i="14" s="1"/>
  <c r="AA235" i="14" s="1"/>
  <c r="AA236" i="14" s="1"/>
  <c r="AA237" i="14" s="1"/>
  <c r="AA238" i="14" s="1"/>
  <c r="AA239" i="14" s="1"/>
  <c r="AA240" i="14" s="1"/>
  <c r="AA241" i="14" s="1"/>
  <c r="AA242" i="14" s="1"/>
  <c r="AA243" i="14" s="1"/>
  <c r="AA244" i="14" s="1"/>
  <c r="AA245" i="14" s="1"/>
  <c r="AA246" i="14" s="1"/>
  <c r="AA247" i="14" s="1"/>
  <c r="AA248" i="14" s="1"/>
  <c r="AA249" i="14" s="1"/>
  <c r="AA250" i="14" s="1"/>
  <c r="AA251" i="14" s="1"/>
  <c r="AA252" i="14" s="1"/>
  <c r="AA253" i="14" s="1"/>
  <c r="AA254" i="14" s="1"/>
  <c r="AA255" i="14" s="1"/>
  <c r="AA256" i="14" s="1"/>
  <c r="AA257" i="14" s="1"/>
  <c r="AA258" i="14" s="1"/>
  <c r="AA259" i="14" s="1"/>
  <c r="AA260" i="14" s="1"/>
  <c r="AA261" i="14" s="1"/>
  <c r="AA262" i="14" s="1"/>
  <c r="AA263" i="14" s="1"/>
  <c r="AA264" i="14" s="1"/>
  <c r="AA265" i="14" s="1"/>
  <c r="AA266" i="14" s="1"/>
  <c r="AA267" i="14" s="1"/>
  <c r="AA268" i="14" s="1"/>
  <c r="AA269" i="14" s="1"/>
  <c r="AA270" i="14" s="1"/>
  <c r="AA271" i="14" s="1"/>
  <c r="AA272" i="14" s="1"/>
  <c r="AA273" i="14" s="1"/>
  <c r="AA274" i="14" s="1"/>
  <c r="AA275" i="14" s="1"/>
  <c r="AA276" i="14" s="1"/>
  <c r="AA277" i="14" s="1"/>
  <c r="AA278" i="14" s="1"/>
  <c r="AA279" i="14" s="1"/>
  <c r="AA280" i="14" s="1"/>
  <c r="AA281" i="14" s="1"/>
  <c r="AA282" i="14" s="1"/>
  <c r="AA283" i="14" s="1"/>
  <c r="AA284" i="14" s="1"/>
  <c r="AA285" i="14" s="1"/>
  <c r="AA286" i="14" s="1"/>
  <c r="AA287" i="14" s="1"/>
  <c r="AA288" i="14" s="1"/>
  <c r="AA289" i="14" s="1"/>
  <c r="N14" i="14"/>
  <c r="B112" i="14"/>
  <c r="N85" i="14"/>
  <c r="AH14" i="14"/>
  <c r="AH17" i="14"/>
  <c r="D4" i="14"/>
  <c r="V3" i="14"/>
  <c r="C4" i="14" s="1"/>
  <c r="B15" i="14"/>
  <c r="N280" i="14"/>
  <c r="N277" i="14"/>
  <c r="AH276" i="14"/>
  <c r="N234" i="14"/>
  <c r="AF230" i="14"/>
  <c r="U230" i="14"/>
  <c r="B230" i="14" s="1"/>
  <c r="B280" i="14"/>
  <c r="N164" i="14"/>
  <c r="N206" i="14"/>
  <c r="N209" i="14"/>
  <c r="N205" i="14"/>
  <c r="N131" i="14"/>
  <c r="B206" i="14"/>
  <c r="B183" i="14"/>
  <c r="AF92" i="14"/>
  <c r="U92" i="14"/>
  <c r="B92" i="14" s="1"/>
  <c r="N63" i="14"/>
  <c r="AH37" i="14"/>
  <c r="W37" i="14"/>
  <c r="B205" i="14"/>
  <c r="B184" i="14"/>
  <c r="AH139" i="14"/>
  <c r="B60" i="14"/>
  <c r="U39" i="14"/>
  <c r="B39" i="14" s="1"/>
  <c r="AF39" i="14"/>
  <c r="U62" i="14"/>
  <c r="B62" i="14" s="1"/>
  <c r="AF62" i="14"/>
  <c r="U110" i="14"/>
  <c r="B110" i="14" s="1"/>
  <c r="AF110" i="14"/>
  <c r="AF17" i="14"/>
  <c r="AG18" i="14" s="1"/>
  <c r="AH18" i="14" s="1"/>
  <c r="U17" i="14"/>
  <c r="B17" i="14" s="1"/>
  <c r="AH13" i="14"/>
  <c r="AH291" i="14" s="1"/>
  <c r="AH292" i="14" s="1"/>
  <c r="AH16" i="14"/>
  <c r="N252" i="13"/>
  <c r="N186" i="13"/>
  <c r="N111" i="13"/>
  <c r="X290" i="13"/>
  <c r="N278" i="13"/>
  <c r="N255" i="13"/>
  <c r="N253" i="13"/>
  <c r="N227" i="13"/>
  <c r="N232" i="13"/>
  <c r="N210" i="13"/>
  <c r="N189" i="13"/>
  <c r="N165" i="13"/>
  <c r="B184" i="13"/>
  <c r="N115" i="13"/>
  <c r="N88" i="13"/>
  <c r="N41" i="13"/>
  <c r="N13" i="13"/>
  <c r="B112" i="13"/>
  <c r="N39" i="13"/>
  <c r="N67" i="13"/>
  <c r="N178" i="13"/>
  <c r="N83" i="13"/>
  <c r="N156" i="13"/>
  <c r="N107" i="13"/>
  <c r="N277" i="13"/>
  <c r="N280" i="13"/>
  <c r="B278" i="13"/>
  <c r="N211" i="13"/>
  <c r="N205" i="13"/>
  <c r="N188" i="13"/>
  <c r="N228" i="13"/>
  <c r="N206" i="13"/>
  <c r="B180" i="13"/>
  <c r="N184" i="13"/>
  <c r="N106" i="13"/>
  <c r="N65" i="13"/>
  <c r="N179" i="13"/>
  <c r="N92" i="13"/>
  <c r="AA12" i="13"/>
  <c r="AA13" i="13" s="1"/>
  <c r="AA14" i="13" s="1"/>
  <c r="AA15" i="13" s="1"/>
  <c r="AA16" i="13" s="1"/>
  <c r="AA17" i="13" s="1"/>
  <c r="AA18" i="13" s="1"/>
  <c r="AA19" i="13" s="1"/>
  <c r="AA20" i="13" s="1"/>
  <c r="AA21" i="13" s="1"/>
  <c r="AA22" i="13" s="1"/>
  <c r="AA23" i="13" s="1"/>
  <c r="AA24" i="13" s="1"/>
  <c r="AA25" i="13" s="1"/>
  <c r="AA26" i="13" s="1"/>
  <c r="AA27" i="13" s="1"/>
  <c r="AA28" i="13" s="1"/>
  <c r="AA29" i="13" s="1"/>
  <c r="AA30" i="13" s="1"/>
  <c r="AA31" i="13" s="1"/>
  <c r="AA32" i="13" s="1"/>
  <c r="AA33" i="13" s="1"/>
  <c r="AA34" i="13" s="1"/>
  <c r="AA35" i="13" s="1"/>
  <c r="AA36" i="13" s="1"/>
  <c r="AA37" i="13" s="1"/>
  <c r="AA38" i="13" s="1"/>
  <c r="AA39" i="13" s="1"/>
  <c r="AA40" i="13" s="1"/>
  <c r="AA41" i="13" s="1"/>
  <c r="AA42" i="13" s="1"/>
  <c r="AA43" i="13" s="1"/>
  <c r="AA44" i="13" s="1"/>
  <c r="AA45" i="13" s="1"/>
  <c r="AA46" i="13" s="1"/>
  <c r="AA47" i="13" s="1"/>
  <c r="AA48" i="13" s="1"/>
  <c r="AA49" i="13" s="1"/>
  <c r="AA50" i="13" s="1"/>
  <c r="AA51" i="13" s="1"/>
  <c r="AA52" i="13" s="1"/>
  <c r="AA53" i="13" s="1"/>
  <c r="AA54" i="13" s="1"/>
  <c r="AA55" i="13" s="1"/>
  <c r="AA56" i="13" s="1"/>
  <c r="AA57" i="13" s="1"/>
  <c r="AA58" i="13" s="1"/>
  <c r="AA59" i="13" s="1"/>
  <c r="AA60" i="13" s="1"/>
  <c r="AA61" i="13" s="1"/>
  <c r="AA62" i="13" s="1"/>
  <c r="AA63" i="13" s="1"/>
  <c r="AA64" i="13" s="1"/>
  <c r="AA65" i="13" s="1"/>
  <c r="AA66" i="13" s="1"/>
  <c r="AA67" i="13" s="1"/>
  <c r="AA68" i="13" s="1"/>
  <c r="AA69" i="13" s="1"/>
  <c r="AA70" i="13" s="1"/>
  <c r="AA71" i="13" s="1"/>
  <c r="AA72" i="13" s="1"/>
  <c r="AA73" i="13" s="1"/>
  <c r="AA74" i="13" s="1"/>
  <c r="AA75" i="13" s="1"/>
  <c r="AA76" i="13" s="1"/>
  <c r="AA77" i="13" s="1"/>
  <c r="AA78" i="13" s="1"/>
  <c r="AA79" i="13" s="1"/>
  <c r="AA80" i="13" s="1"/>
  <c r="AA81" i="13" s="1"/>
  <c r="AA82" i="13" s="1"/>
  <c r="AA83" i="13" s="1"/>
  <c r="AA84" i="13" s="1"/>
  <c r="AA85" i="13" s="1"/>
  <c r="AA86" i="13" s="1"/>
  <c r="AA87" i="13" s="1"/>
  <c r="AA88" i="13" s="1"/>
  <c r="AA89" i="13" s="1"/>
  <c r="AA90" i="13" s="1"/>
  <c r="AA91" i="13" s="1"/>
  <c r="AA92" i="13" s="1"/>
  <c r="AA93" i="13" s="1"/>
  <c r="AA94" i="13" s="1"/>
  <c r="AA95" i="13" s="1"/>
  <c r="AA96" i="13" s="1"/>
  <c r="AA97" i="13" s="1"/>
  <c r="AA98" i="13" s="1"/>
  <c r="AA99" i="13" s="1"/>
  <c r="AA100" i="13" s="1"/>
  <c r="AA101" i="13" s="1"/>
  <c r="AA102" i="13" s="1"/>
  <c r="AA103" i="13" s="1"/>
  <c r="AA104" i="13" s="1"/>
  <c r="AA105" i="13" s="1"/>
  <c r="AA106" i="13" s="1"/>
  <c r="AA107" i="13" s="1"/>
  <c r="AA108" i="13" s="1"/>
  <c r="AA109" i="13" s="1"/>
  <c r="AA110" i="13" s="1"/>
  <c r="AA111" i="13" s="1"/>
  <c r="AA112" i="13" s="1"/>
  <c r="AA113" i="13" s="1"/>
  <c r="AA114" i="13" s="1"/>
  <c r="AA115" i="13" s="1"/>
  <c r="AA116" i="13" s="1"/>
  <c r="AA117" i="13" s="1"/>
  <c r="AA118" i="13" s="1"/>
  <c r="AA119" i="13" s="1"/>
  <c r="AA120" i="13" s="1"/>
  <c r="AA121" i="13" s="1"/>
  <c r="AA122" i="13" s="1"/>
  <c r="AA123" i="13" s="1"/>
  <c r="AA124" i="13" s="1"/>
  <c r="AA125" i="13" s="1"/>
  <c r="AA126" i="13" s="1"/>
  <c r="AA127" i="13" s="1"/>
  <c r="AA128" i="13" s="1"/>
  <c r="AA129" i="13" s="1"/>
  <c r="AA130" i="13" s="1"/>
  <c r="AA131" i="13" s="1"/>
  <c r="AA132" i="13" s="1"/>
  <c r="AA133" i="13" s="1"/>
  <c r="AA134" i="13" s="1"/>
  <c r="AA135" i="13" s="1"/>
  <c r="AA136" i="13" s="1"/>
  <c r="AA137" i="13" s="1"/>
  <c r="AA138" i="13" s="1"/>
  <c r="AA139" i="13" s="1"/>
  <c r="AA140" i="13" s="1"/>
  <c r="AA141" i="13" s="1"/>
  <c r="AA142" i="13" s="1"/>
  <c r="AA143" i="13" s="1"/>
  <c r="AA144" i="13" s="1"/>
  <c r="AA145" i="13" s="1"/>
  <c r="AA146" i="13" s="1"/>
  <c r="AA147" i="13" s="1"/>
  <c r="AA148" i="13" s="1"/>
  <c r="AA149" i="13" s="1"/>
  <c r="AA150" i="13" s="1"/>
  <c r="AA151" i="13" s="1"/>
  <c r="AA152" i="13" s="1"/>
  <c r="AA153" i="13" s="1"/>
  <c r="AA154" i="13" s="1"/>
  <c r="AA155" i="13" s="1"/>
  <c r="AA156" i="13" s="1"/>
  <c r="AA157" i="13" s="1"/>
  <c r="AA158" i="13" s="1"/>
  <c r="AA159" i="13" s="1"/>
  <c r="AA160" i="13" s="1"/>
  <c r="AA161" i="13" s="1"/>
  <c r="AA162" i="13" s="1"/>
  <c r="AA163" i="13" s="1"/>
  <c r="AA164" i="13" s="1"/>
  <c r="AA165" i="13" s="1"/>
  <c r="AA166" i="13" s="1"/>
  <c r="AA167" i="13" s="1"/>
  <c r="AA168" i="13" s="1"/>
  <c r="AA169" i="13" s="1"/>
  <c r="AA170" i="13" s="1"/>
  <c r="AA171" i="13" s="1"/>
  <c r="AA172" i="13" s="1"/>
  <c r="AA173" i="13" s="1"/>
  <c r="AA174" i="13" s="1"/>
  <c r="AA175" i="13" s="1"/>
  <c r="AA176" i="13" s="1"/>
  <c r="AA177" i="13" s="1"/>
  <c r="AA178" i="13" s="1"/>
  <c r="AA179" i="13" s="1"/>
  <c r="AA180" i="13" s="1"/>
  <c r="AA181" i="13" s="1"/>
  <c r="AA182" i="13" s="1"/>
  <c r="AA183" i="13" s="1"/>
  <c r="AA184" i="13" s="1"/>
  <c r="AA185" i="13" s="1"/>
  <c r="AA186" i="13" s="1"/>
  <c r="AA187" i="13" s="1"/>
  <c r="AA188" i="13" s="1"/>
  <c r="AA189" i="13" s="1"/>
  <c r="AA190" i="13" s="1"/>
  <c r="AA191" i="13" s="1"/>
  <c r="AA192" i="13" s="1"/>
  <c r="AA193" i="13" s="1"/>
  <c r="AA194" i="13" s="1"/>
  <c r="AA195" i="13" s="1"/>
  <c r="AA196" i="13" s="1"/>
  <c r="AA197" i="13" s="1"/>
  <c r="AA198" i="13" s="1"/>
  <c r="AA199" i="13" s="1"/>
  <c r="AA200" i="13" s="1"/>
  <c r="AA201" i="13" s="1"/>
  <c r="AA202" i="13" s="1"/>
  <c r="AA203" i="13" s="1"/>
  <c r="AA204" i="13" s="1"/>
  <c r="AA205" i="13" s="1"/>
  <c r="AA206" i="13" s="1"/>
  <c r="AA207" i="13" s="1"/>
  <c r="AA208" i="13" s="1"/>
  <c r="AA209" i="13" s="1"/>
  <c r="AA210" i="13" s="1"/>
  <c r="AA211" i="13" s="1"/>
  <c r="AA212" i="13" s="1"/>
  <c r="AA213" i="13" s="1"/>
  <c r="AA214" i="13" s="1"/>
  <c r="AA215" i="13" s="1"/>
  <c r="AA216" i="13" s="1"/>
  <c r="AA217" i="13" s="1"/>
  <c r="AA218" i="13" s="1"/>
  <c r="AA219" i="13" s="1"/>
  <c r="AA220" i="13" s="1"/>
  <c r="AA221" i="13" s="1"/>
  <c r="AA222" i="13" s="1"/>
  <c r="AA223" i="13" s="1"/>
  <c r="AA224" i="13" s="1"/>
  <c r="AA225" i="13" s="1"/>
  <c r="AA226" i="13" s="1"/>
  <c r="AA227" i="13" s="1"/>
  <c r="AA228" i="13" s="1"/>
  <c r="AA229" i="13" s="1"/>
  <c r="AA230" i="13" s="1"/>
  <c r="AA231" i="13" s="1"/>
  <c r="AA232" i="13" s="1"/>
  <c r="AA233" i="13" s="1"/>
  <c r="AA234" i="13" s="1"/>
  <c r="AA235" i="13" s="1"/>
  <c r="AA236" i="13" s="1"/>
  <c r="AA237" i="13" s="1"/>
  <c r="AA238" i="13" s="1"/>
  <c r="AA239" i="13" s="1"/>
  <c r="AA240" i="13" s="1"/>
  <c r="AA241" i="13" s="1"/>
  <c r="AA242" i="13" s="1"/>
  <c r="AA243" i="13" s="1"/>
  <c r="AA244" i="13" s="1"/>
  <c r="AA245" i="13" s="1"/>
  <c r="AA246" i="13" s="1"/>
  <c r="AA247" i="13" s="1"/>
  <c r="AA248" i="13" s="1"/>
  <c r="AA249" i="13" s="1"/>
  <c r="AA250" i="13" s="1"/>
  <c r="AA251" i="13" s="1"/>
  <c r="AA252" i="13" s="1"/>
  <c r="AA253" i="13" s="1"/>
  <c r="AA254" i="13" s="1"/>
  <c r="AA255" i="13" s="1"/>
  <c r="AA256" i="13" s="1"/>
  <c r="AA257" i="13" s="1"/>
  <c r="AA258" i="13" s="1"/>
  <c r="AA259" i="13" s="1"/>
  <c r="AA260" i="13" s="1"/>
  <c r="AA261" i="13" s="1"/>
  <c r="AA262" i="13" s="1"/>
  <c r="AA263" i="13" s="1"/>
  <c r="AA264" i="13" s="1"/>
  <c r="AA265" i="13" s="1"/>
  <c r="AA266" i="13" s="1"/>
  <c r="AA267" i="13" s="1"/>
  <c r="AA268" i="13" s="1"/>
  <c r="AA269" i="13" s="1"/>
  <c r="AA270" i="13" s="1"/>
  <c r="AA271" i="13" s="1"/>
  <c r="AA272" i="13" s="1"/>
  <c r="AA273" i="13" s="1"/>
  <c r="AA274" i="13" s="1"/>
  <c r="AA275" i="13" s="1"/>
  <c r="AA276" i="13" s="1"/>
  <c r="AA277" i="13" s="1"/>
  <c r="AA278" i="13" s="1"/>
  <c r="AA279" i="13" s="1"/>
  <c r="AA280" i="13" s="1"/>
  <c r="AA281" i="13" s="1"/>
  <c r="AA282" i="13" s="1"/>
  <c r="AA283" i="13" s="1"/>
  <c r="AA284" i="13" s="1"/>
  <c r="AA285" i="13" s="1"/>
  <c r="AA286" i="13" s="1"/>
  <c r="AA287" i="13" s="1"/>
  <c r="AA288" i="13" s="1"/>
  <c r="AA289" i="13" s="1"/>
  <c r="N12" i="13"/>
  <c r="N86" i="13"/>
  <c r="N209" i="13"/>
  <c r="N61" i="13"/>
  <c r="N116" i="13"/>
  <c r="N163" i="13"/>
  <c r="N14" i="13"/>
  <c r="N16" i="13"/>
  <c r="V4" i="13"/>
  <c r="C5" i="13" s="1"/>
  <c r="D5" i="13" s="1"/>
  <c r="N276" i="13"/>
  <c r="N279" i="13"/>
  <c r="N257" i="13"/>
  <c r="N187" i="13"/>
  <c r="N182" i="13"/>
  <c r="N164" i="13"/>
  <c r="N160" i="13"/>
  <c r="N230" i="13"/>
  <c r="N180" i="13"/>
  <c r="N108" i="13"/>
  <c r="N84" i="13"/>
  <c r="N137" i="13"/>
  <c r="N133" i="13"/>
  <c r="B156" i="13"/>
  <c r="B107" i="13"/>
  <c r="N63" i="13"/>
  <c r="N15" i="13"/>
  <c r="N112" i="13"/>
  <c r="W290" i="13"/>
  <c r="E291" i="6"/>
  <c r="D293" i="12"/>
  <c r="L291" i="12"/>
  <c r="AC289" i="12"/>
  <c r="AD289" i="12" s="1"/>
  <c r="Y289" i="12"/>
  <c r="K289" i="12"/>
  <c r="M289" i="12" s="1"/>
  <c r="B289" i="12"/>
  <c r="AC288" i="12"/>
  <c r="AD288" i="12" s="1"/>
  <c r="Y288" i="12"/>
  <c r="K288" i="12"/>
  <c r="M288" i="12" s="1"/>
  <c r="N288" i="12" s="1"/>
  <c r="B288" i="12"/>
  <c r="AC287" i="12"/>
  <c r="AD287" i="12" s="1"/>
  <c r="Y287" i="12"/>
  <c r="M287" i="12"/>
  <c r="K287" i="12"/>
  <c r="B287" i="12"/>
  <c r="AC286" i="12"/>
  <c r="AD286" i="12" s="1"/>
  <c r="Y286" i="12"/>
  <c r="K286" i="12"/>
  <c r="M286" i="12" s="1"/>
  <c r="X286" i="12" s="1"/>
  <c r="B286" i="12"/>
  <c r="AC285" i="12"/>
  <c r="AD285" i="12" s="1"/>
  <c r="Y285" i="12"/>
  <c r="K285" i="12"/>
  <c r="M285" i="12" s="1"/>
  <c r="B285" i="12"/>
  <c r="AC284" i="12"/>
  <c r="AD284" i="12" s="1"/>
  <c r="Y284" i="12"/>
  <c r="K284" i="12"/>
  <c r="M284" i="12" s="1"/>
  <c r="B284" i="12"/>
  <c r="AD283" i="12"/>
  <c r="AC283" i="12"/>
  <c r="Y283" i="12"/>
  <c r="K283" i="12"/>
  <c r="M283" i="12" s="1"/>
  <c r="B283" i="12"/>
  <c r="AC282" i="12"/>
  <c r="AD282" i="12" s="1"/>
  <c r="Y282" i="12"/>
  <c r="K282" i="12"/>
  <c r="M282" i="12" s="1"/>
  <c r="X282" i="12" s="1"/>
  <c r="C282" i="12"/>
  <c r="B282" i="12"/>
  <c r="AC281" i="12"/>
  <c r="AD281" i="12" s="1"/>
  <c r="Y281" i="12"/>
  <c r="P281" i="12"/>
  <c r="K281" i="12"/>
  <c r="C281" i="12"/>
  <c r="AD280" i="12"/>
  <c r="AC280" i="12"/>
  <c r="Y280" i="12"/>
  <c r="P280" i="12"/>
  <c r="K280" i="12"/>
  <c r="C280" i="12"/>
  <c r="AC279" i="12"/>
  <c r="AD279" i="12" s="1"/>
  <c r="Y279" i="12"/>
  <c r="R279" i="12"/>
  <c r="P279" i="12"/>
  <c r="K279" i="12"/>
  <c r="S279" i="12" s="1"/>
  <c r="T279" i="12" s="1"/>
  <c r="U279" i="12" s="1"/>
  <c r="B279" i="12" s="1"/>
  <c r="C279" i="12"/>
  <c r="AD278" i="12"/>
  <c r="AC278" i="12"/>
  <c r="Y278" i="12"/>
  <c r="P278" i="12"/>
  <c r="K278" i="12"/>
  <c r="C278" i="12"/>
  <c r="AC277" i="12"/>
  <c r="AD277" i="12" s="1"/>
  <c r="Y277" i="12"/>
  <c r="P277" i="12"/>
  <c r="K277" i="12"/>
  <c r="C277" i="12"/>
  <c r="AC276" i="12"/>
  <c r="AD276" i="12" s="1"/>
  <c r="Y276" i="12"/>
  <c r="P276" i="12"/>
  <c r="K276" i="12"/>
  <c r="AC275" i="12"/>
  <c r="AD275" i="12" s="1"/>
  <c r="Y275" i="12"/>
  <c r="M275" i="12"/>
  <c r="K275" i="12"/>
  <c r="B275" i="12"/>
  <c r="AC274" i="12"/>
  <c r="AD274" i="12" s="1"/>
  <c r="Y274" i="12"/>
  <c r="X274" i="12"/>
  <c r="K274" i="12"/>
  <c r="M274" i="12" s="1"/>
  <c r="B274" i="12"/>
  <c r="AC273" i="12"/>
  <c r="AD273" i="12" s="1"/>
  <c r="Y273" i="12"/>
  <c r="K273" i="12"/>
  <c r="M273" i="12" s="1"/>
  <c r="X273" i="12" s="1"/>
  <c r="B273" i="12"/>
  <c r="AC272" i="12"/>
  <c r="AD272" i="12" s="1"/>
  <c r="Y272" i="12"/>
  <c r="N272" i="12"/>
  <c r="K272" i="12"/>
  <c r="M272" i="12" s="1"/>
  <c r="X272" i="12" s="1"/>
  <c r="B272" i="12"/>
  <c r="AC271" i="12"/>
  <c r="AD271" i="12" s="1"/>
  <c r="Y271" i="12"/>
  <c r="K271" i="12"/>
  <c r="M271" i="12" s="1"/>
  <c r="B271" i="12"/>
  <c r="AD270" i="12"/>
  <c r="AC270" i="12"/>
  <c r="Y270" i="12"/>
  <c r="K270" i="12"/>
  <c r="M270" i="12" s="1"/>
  <c r="B270" i="12"/>
  <c r="AD269" i="12"/>
  <c r="AC269" i="12"/>
  <c r="Y269" i="12"/>
  <c r="M269" i="12"/>
  <c r="X269" i="12" s="1"/>
  <c r="K269" i="12"/>
  <c r="B269" i="12"/>
  <c r="AC268" i="12"/>
  <c r="AD268" i="12" s="1"/>
  <c r="Y268" i="12"/>
  <c r="K268" i="12"/>
  <c r="M268" i="12" s="1"/>
  <c r="B268" i="12"/>
  <c r="AC267" i="12"/>
  <c r="AD267" i="12" s="1"/>
  <c r="Y267" i="12"/>
  <c r="M267" i="12"/>
  <c r="K267" i="12"/>
  <c r="B267" i="12"/>
  <c r="AC266" i="12"/>
  <c r="AD266" i="12" s="1"/>
  <c r="Y266" i="12"/>
  <c r="K266" i="12"/>
  <c r="M266" i="12" s="1"/>
  <c r="B266" i="12"/>
  <c r="AD265" i="12"/>
  <c r="AC265" i="12"/>
  <c r="Y265" i="12"/>
  <c r="M265" i="12"/>
  <c r="X265" i="12" s="1"/>
  <c r="K265" i="12"/>
  <c r="B265" i="12"/>
  <c r="AC264" i="12"/>
  <c r="AD264" i="12" s="1"/>
  <c r="Y264" i="12"/>
  <c r="K264" i="12"/>
  <c r="M264" i="12" s="1"/>
  <c r="B264" i="12"/>
  <c r="AC263" i="12"/>
  <c r="AD263" i="12" s="1"/>
  <c r="Y263" i="12"/>
  <c r="M263" i="12"/>
  <c r="K263" i="12"/>
  <c r="B263" i="12"/>
  <c r="AC262" i="12"/>
  <c r="AD262" i="12" s="1"/>
  <c r="Y262" i="12"/>
  <c r="M262" i="12"/>
  <c r="K262" i="12"/>
  <c r="B262" i="12"/>
  <c r="AC261" i="12"/>
  <c r="AD261" i="12" s="1"/>
  <c r="Y261" i="12"/>
  <c r="K261" i="12"/>
  <c r="M261" i="12" s="1"/>
  <c r="X261" i="12" s="1"/>
  <c r="B261" i="12"/>
  <c r="AC260" i="12"/>
  <c r="AD260" i="12" s="1"/>
  <c r="Y260" i="12"/>
  <c r="N260" i="12"/>
  <c r="K260" i="12"/>
  <c r="M260" i="12" s="1"/>
  <c r="X260" i="12" s="1"/>
  <c r="B260" i="12"/>
  <c r="AC259" i="12"/>
  <c r="AD259" i="12" s="1"/>
  <c r="Y259" i="12"/>
  <c r="K259" i="12"/>
  <c r="M259" i="12" s="1"/>
  <c r="B259" i="12"/>
  <c r="AD258" i="12"/>
  <c r="AC258" i="12"/>
  <c r="Y258" i="12"/>
  <c r="K258" i="12"/>
  <c r="M258" i="12" s="1"/>
  <c r="C258" i="12"/>
  <c r="B258" i="12"/>
  <c r="AD257" i="12"/>
  <c r="Y257" i="12"/>
  <c r="Q257" i="12"/>
  <c r="W257" i="12" s="1"/>
  <c r="P257" i="12"/>
  <c r="K257" i="12"/>
  <c r="C257" i="12"/>
  <c r="AD256" i="12"/>
  <c r="Y256" i="12"/>
  <c r="P256" i="12"/>
  <c r="K256" i="12"/>
  <c r="S256" i="12" s="1"/>
  <c r="T256" i="12" s="1"/>
  <c r="U256" i="12" s="1"/>
  <c r="B256" i="12" s="1"/>
  <c r="C256" i="12"/>
  <c r="AD255" i="12"/>
  <c r="Y255" i="12"/>
  <c r="S255" i="12"/>
  <c r="T255" i="12" s="1"/>
  <c r="U255" i="12" s="1"/>
  <c r="B255" i="12" s="1"/>
  <c r="P255" i="12"/>
  <c r="K255" i="12"/>
  <c r="R255" i="12" s="1"/>
  <c r="C255" i="12"/>
  <c r="AD254" i="12"/>
  <c r="Y254" i="12"/>
  <c r="P254" i="12"/>
  <c r="K254" i="12"/>
  <c r="S254" i="12" s="1"/>
  <c r="T254" i="12" s="1"/>
  <c r="U254" i="12" s="1"/>
  <c r="B254" i="12" s="1"/>
  <c r="C254" i="12"/>
  <c r="AD253" i="12"/>
  <c r="Y253" i="12"/>
  <c r="P253" i="12"/>
  <c r="K253" i="12"/>
  <c r="M253" i="12" s="1"/>
  <c r="C253" i="12"/>
  <c r="AD252" i="12"/>
  <c r="Y252" i="12"/>
  <c r="P252" i="12"/>
  <c r="K252" i="12"/>
  <c r="AC251" i="12"/>
  <c r="AD251" i="12" s="1"/>
  <c r="Y251" i="12"/>
  <c r="K251" i="12"/>
  <c r="M251" i="12" s="1"/>
  <c r="B251" i="12"/>
  <c r="AC250" i="12"/>
  <c r="AD250" i="12" s="1"/>
  <c r="Y250" i="12"/>
  <c r="K250" i="12"/>
  <c r="M250" i="12" s="1"/>
  <c r="B250" i="12"/>
  <c r="AC249" i="12"/>
  <c r="AD249" i="12" s="1"/>
  <c r="Y249" i="12"/>
  <c r="X249" i="12"/>
  <c r="K249" i="12"/>
  <c r="M249" i="12" s="1"/>
  <c r="B249" i="12"/>
  <c r="AC248" i="12"/>
  <c r="AD248" i="12" s="1"/>
  <c r="Y248" i="12"/>
  <c r="M248" i="12"/>
  <c r="K248" i="12"/>
  <c r="B248" i="12"/>
  <c r="AC247" i="12"/>
  <c r="AD247" i="12" s="1"/>
  <c r="Y247" i="12"/>
  <c r="K247" i="12"/>
  <c r="M247" i="12" s="1"/>
  <c r="B247" i="12"/>
  <c r="AC246" i="12"/>
  <c r="AD246" i="12" s="1"/>
  <c r="Y246" i="12"/>
  <c r="K246" i="12"/>
  <c r="M246" i="12" s="1"/>
  <c r="B246" i="12"/>
  <c r="AC245" i="12"/>
  <c r="AD245" i="12" s="1"/>
  <c r="Y245" i="12"/>
  <c r="X245" i="12"/>
  <c r="K245" i="12"/>
  <c r="M245" i="12" s="1"/>
  <c r="B245" i="12"/>
  <c r="AC244" i="12"/>
  <c r="AD244" i="12" s="1"/>
  <c r="Y244" i="12"/>
  <c r="M244" i="12"/>
  <c r="K244" i="12"/>
  <c r="B244" i="12"/>
  <c r="AC243" i="12"/>
  <c r="AD243" i="12" s="1"/>
  <c r="Y243" i="12"/>
  <c r="K243" i="12"/>
  <c r="M243" i="12" s="1"/>
  <c r="B243" i="12"/>
  <c r="AC242" i="12"/>
  <c r="AD242" i="12" s="1"/>
  <c r="Y242" i="12"/>
  <c r="K242" i="12"/>
  <c r="M242" i="12" s="1"/>
  <c r="B242" i="12"/>
  <c r="AC241" i="12"/>
  <c r="AD241" i="12" s="1"/>
  <c r="Y241" i="12"/>
  <c r="X241" i="12"/>
  <c r="K241" i="12"/>
  <c r="M241" i="12" s="1"/>
  <c r="B241" i="12"/>
  <c r="AC240" i="12"/>
  <c r="AD240" i="12" s="1"/>
  <c r="Y240" i="12"/>
  <c r="M240" i="12"/>
  <c r="K240" i="12"/>
  <c r="B240" i="12"/>
  <c r="AC239" i="12"/>
  <c r="AD239" i="12" s="1"/>
  <c r="Y239" i="12"/>
  <c r="K239" i="12"/>
  <c r="M239" i="12" s="1"/>
  <c r="B239" i="12"/>
  <c r="AC238" i="12"/>
  <c r="AD238" i="12" s="1"/>
  <c r="Y238" i="12"/>
  <c r="M238" i="12"/>
  <c r="K238" i="12"/>
  <c r="B238" i="12"/>
  <c r="AC237" i="12"/>
  <c r="AD237" i="12" s="1"/>
  <c r="Y237" i="12"/>
  <c r="K237" i="12"/>
  <c r="M237" i="12" s="1"/>
  <c r="B237" i="12"/>
  <c r="AD236" i="12"/>
  <c r="AC236" i="12"/>
  <c r="Y236" i="12"/>
  <c r="K236" i="12"/>
  <c r="M236" i="12" s="1"/>
  <c r="B236" i="12"/>
  <c r="AC235" i="12"/>
  <c r="AD235" i="12" s="1"/>
  <c r="Y235" i="12"/>
  <c r="N235" i="12"/>
  <c r="K235" i="12"/>
  <c r="M235" i="12" s="1"/>
  <c r="C235" i="12"/>
  <c r="B235" i="12"/>
  <c r="AD234" i="12"/>
  <c r="Y234" i="12"/>
  <c r="S234" i="12"/>
  <c r="T234" i="12" s="1"/>
  <c r="U234" i="12" s="1"/>
  <c r="B234" i="12" s="1"/>
  <c r="Q234" i="12"/>
  <c r="W234" i="12" s="1"/>
  <c r="P234" i="12"/>
  <c r="M234" i="12"/>
  <c r="K234" i="12"/>
  <c r="R234" i="12" s="1"/>
  <c r="C234" i="12"/>
  <c r="AD233" i="12"/>
  <c r="Y233" i="12"/>
  <c r="P233" i="12"/>
  <c r="K233" i="12"/>
  <c r="C233" i="12"/>
  <c r="AD232" i="12"/>
  <c r="Y232" i="12"/>
  <c r="Q232" i="12"/>
  <c r="W232" i="12" s="1"/>
  <c r="P232" i="12"/>
  <c r="M232" i="12"/>
  <c r="K232" i="12"/>
  <c r="R232" i="12" s="1"/>
  <c r="C232" i="12"/>
  <c r="AD231" i="12"/>
  <c r="Y231" i="12"/>
  <c r="P231" i="12"/>
  <c r="K231" i="12"/>
  <c r="C231" i="12"/>
  <c r="AD230" i="12"/>
  <c r="Y230" i="12"/>
  <c r="S230" i="12"/>
  <c r="T230" i="12" s="1"/>
  <c r="U230" i="12" s="1"/>
  <c r="B230" i="12" s="1"/>
  <c r="Q230" i="12"/>
  <c r="W230" i="12" s="1"/>
  <c r="P230" i="12"/>
  <c r="M230" i="12"/>
  <c r="K230" i="12"/>
  <c r="R230" i="12" s="1"/>
  <c r="C230" i="12"/>
  <c r="AD229" i="12"/>
  <c r="Y229" i="12"/>
  <c r="P229" i="12"/>
  <c r="K229" i="12"/>
  <c r="C229" i="12"/>
  <c r="AD228" i="12"/>
  <c r="Y228" i="12"/>
  <c r="Q228" i="12"/>
  <c r="W228" i="12" s="1"/>
  <c r="P228" i="12"/>
  <c r="M228" i="12"/>
  <c r="K228" i="12"/>
  <c r="R228" i="12" s="1"/>
  <c r="C228" i="12"/>
  <c r="AD227" i="12"/>
  <c r="Y227" i="12"/>
  <c r="R227" i="12"/>
  <c r="P227" i="12"/>
  <c r="K227" i="12"/>
  <c r="AD226" i="12"/>
  <c r="AC226" i="12"/>
  <c r="Y226" i="12"/>
  <c r="K226" i="12"/>
  <c r="M226" i="12" s="1"/>
  <c r="B226" i="12"/>
  <c r="AC225" i="12"/>
  <c r="AD225" i="12" s="1"/>
  <c r="Y225" i="12"/>
  <c r="N225" i="12"/>
  <c r="K225" i="12"/>
  <c r="M225" i="12" s="1"/>
  <c r="B225" i="12"/>
  <c r="AC224" i="12"/>
  <c r="AD224" i="12" s="1"/>
  <c r="Y224" i="12"/>
  <c r="K224" i="12"/>
  <c r="M224" i="12" s="1"/>
  <c r="N224" i="12" s="1"/>
  <c r="B224" i="12"/>
  <c r="AC223" i="12"/>
  <c r="AD223" i="12" s="1"/>
  <c r="Y223" i="12"/>
  <c r="K223" i="12"/>
  <c r="M223" i="12" s="1"/>
  <c r="B223" i="12"/>
  <c r="AD222" i="12"/>
  <c r="AC222" i="12"/>
  <c r="Y222" i="12"/>
  <c r="K222" i="12"/>
  <c r="M222" i="12" s="1"/>
  <c r="B222" i="12"/>
  <c r="AC221" i="12"/>
  <c r="AD221" i="12" s="1"/>
  <c r="Y221" i="12"/>
  <c r="N221" i="12"/>
  <c r="K221" i="12"/>
  <c r="M221" i="12" s="1"/>
  <c r="B221" i="12"/>
  <c r="AC220" i="12"/>
  <c r="AD220" i="12" s="1"/>
  <c r="Y220" i="12"/>
  <c r="K220" i="12"/>
  <c r="M220" i="12" s="1"/>
  <c r="N220" i="12" s="1"/>
  <c r="B220" i="12"/>
  <c r="AC219" i="12"/>
  <c r="AD219" i="12" s="1"/>
  <c r="Y219" i="12"/>
  <c r="K219" i="12"/>
  <c r="M219" i="12" s="1"/>
  <c r="B219" i="12"/>
  <c r="AD218" i="12"/>
  <c r="AC218" i="12"/>
  <c r="Y218" i="12"/>
  <c r="K218" i="12"/>
  <c r="M218" i="12" s="1"/>
  <c r="B218" i="12"/>
  <c r="AC217" i="12"/>
  <c r="AD217" i="12" s="1"/>
  <c r="Y217" i="12"/>
  <c r="N217" i="12"/>
  <c r="K217" i="12"/>
  <c r="M217" i="12" s="1"/>
  <c r="B217" i="12"/>
  <c r="AC216" i="12"/>
  <c r="AD216" i="12" s="1"/>
  <c r="Y216" i="12"/>
  <c r="K216" i="12"/>
  <c r="M216" i="12" s="1"/>
  <c r="B216" i="12"/>
  <c r="AD215" i="12"/>
  <c r="AC215" i="12"/>
  <c r="Y215" i="12"/>
  <c r="K215" i="12"/>
  <c r="M215" i="12" s="1"/>
  <c r="B215" i="12"/>
  <c r="AC214" i="12"/>
  <c r="AD214" i="12" s="1"/>
  <c r="Y214" i="12"/>
  <c r="M214" i="12"/>
  <c r="K214" i="12"/>
  <c r="B214" i="12"/>
  <c r="AC213" i="12"/>
  <c r="AD213" i="12" s="1"/>
  <c r="Y213" i="12"/>
  <c r="K213" i="12"/>
  <c r="M213" i="12" s="1"/>
  <c r="B213" i="12"/>
  <c r="AC212" i="12"/>
  <c r="AD212" i="12" s="1"/>
  <c r="Y212" i="12"/>
  <c r="M212" i="12"/>
  <c r="K212" i="12"/>
  <c r="C212" i="12"/>
  <c r="B212" i="12"/>
  <c r="AC211" i="12"/>
  <c r="AD211" i="12" s="1"/>
  <c r="Y211" i="12"/>
  <c r="S211" i="12"/>
  <c r="T211" i="12" s="1"/>
  <c r="U211" i="12" s="1"/>
  <c r="B211" i="12" s="1"/>
  <c r="Q211" i="12"/>
  <c r="W211" i="12" s="1"/>
  <c r="P211" i="12"/>
  <c r="M211" i="12"/>
  <c r="K211" i="12"/>
  <c r="R211" i="12" s="1"/>
  <c r="C211" i="12"/>
  <c r="AD210" i="12"/>
  <c r="Y210" i="12"/>
  <c r="P210" i="12"/>
  <c r="K210" i="12"/>
  <c r="C210" i="12"/>
  <c r="AD209" i="12"/>
  <c r="Y209" i="12"/>
  <c r="P209" i="12"/>
  <c r="K209" i="12"/>
  <c r="C209" i="12"/>
  <c r="AD208" i="12"/>
  <c r="Y208" i="12"/>
  <c r="S208" i="12"/>
  <c r="T208" i="12" s="1"/>
  <c r="U208" i="12" s="1"/>
  <c r="B208" i="12" s="1"/>
  <c r="P208" i="12"/>
  <c r="K208" i="12"/>
  <c r="C208" i="12"/>
  <c r="AD207" i="12"/>
  <c r="Y207" i="12"/>
  <c r="P207" i="12"/>
  <c r="K207" i="12"/>
  <c r="R207" i="12" s="1"/>
  <c r="C207" i="12"/>
  <c r="AD206" i="12"/>
  <c r="Y206" i="12"/>
  <c r="R206" i="12"/>
  <c r="P206" i="12"/>
  <c r="K206" i="12"/>
  <c r="S206" i="12" s="1"/>
  <c r="C206" i="12"/>
  <c r="AD205" i="12"/>
  <c r="Y205" i="12"/>
  <c r="S205" i="12"/>
  <c r="T205" i="12" s="1"/>
  <c r="U205" i="12" s="1"/>
  <c r="B205" i="12" s="1"/>
  <c r="Q205" i="12"/>
  <c r="W205" i="12" s="1"/>
  <c r="P205" i="12"/>
  <c r="M205" i="12"/>
  <c r="K205" i="12"/>
  <c r="R205" i="12" s="1"/>
  <c r="C205" i="12"/>
  <c r="AD204" i="12"/>
  <c r="Y204" i="12"/>
  <c r="P204" i="12"/>
  <c r="K204" i="12"/>
  <c r="C204" i="12"/>
  <c r="AD203" i="12"/>
  <c r="Y203" i="12"/>
  <c r="P203" i="12"/>
  <c r="K203" i="12"/>
  <c r="R203" i="12" s="1"/>
  <c r="AC202" i="12"/>
  <c r="AD202" i="12" s="1"/>
  <c r="Y202" i="12"/>
  <c r="N202" i="12"/>
  <c r="K202" i="12"/>
  <c r="M202" i="12" s="1"/>
  <c r="B202" i="12"/>
  <c r="AC201" i="12"/>
  <c r="AD201" i="12" s="1"/>
  <c r="Y201" i="12"/>
  <c r="K201" i="12"/>
  <c r="M201" i="12" s="1"/>
  <c r="B201" i="12"/>
  <c r="AC200" i="12"/>
  <c r="AD200" i="12" s="1"/>
  <c r="Y200" i="12"/>
  <c r="K200" i="12"/>
  <c r="M200" i="12" s="1"/>
  <c r="X200" i="12" s="1"/>
  <c r="B200" i="12"/>
  <c r="AC199" i="12"/>
  <c r="AD199" i="12" s="1"/>
  <c r="Y199" i="12"/>
  <c r="K199" i="12"/>
  <c r="M199" i="12" s="1"/>
  <c r="B199" i="12"/>
  <c r="AC198" i="12"/>
  <c r="AD198" i="12" s="1"/>
  <c r="Y198" i="12"/>
  <c r="K198" i="12"/>
  <c r="M198" i="12" s="1"/>
  <c r="B198" i="12"/>
  <c r="AC197" i="12"/>
  <c r="AD197" i="12" s="1"/>
  <c r="Y197" i="12"/>
  <c r="M197" i="12"/>
  <c r="K197" i="12"/>
  <c r="B197" i="12"/>
  <c r="AC196" i="12"/>
  <c r="AD196" i="12" s="1"/>
  <c r="Y196" i="12"/>
  <c r="K196" i="12"/>
  <c r="M196" i="12" s="1"/>
  <c r="X196" i="12" s="1"/>
  <c r="B196" i="12"/>
  <c r="AC195" i="12"/>
  <c r="AD195" i="12" s="1"/>
  <c r="Y195" i="12"/>
  <c r="K195" i="12"/>
  <c r="M195" i="12" s="1"/>
  <c r="B195" i="12"/>
  <c r="AC194" i="12"/>
  <c r="AD194" i="12" s="1"/>
  <c r="Y194" i="12"/>
  <c r="K194" i="12"/>
  <c r="M194" i="12" s="1"/>
  <c r="N194" i="12" s="1"/>
  <c r="B194" i="12"/>
  <c r="AD193" i="12"/>
  <c r="AC193" i="12"/>
  <c r="Y193" i="12"/>
  <c r="M193" i="12"/>
  <c r="K193" i="12"/>
  <c r="B193" i="12"/>
  <c r="AC192" i="12"/>
  <c r="AD192" i="12" s="1"/>
  <c r="Y192" i="12"/>
  <c r="K192" i="12"/>
  <c r="M192" i="12" s="1"/>
  <c r="X192" i="12" s="1"/>
  <c r="B192" i="12"/>
  <c r="AC191" i="12"/>
  <c r="AD191" i="12" s="1"/>
  <c r="Y191" i="12"/>
  <c r="K191" i="12"/>
  <c r="M191" i="12" s="1"/>
  <c r="B191" i="12"/>
  <c r="AC190" i="12"/>
  <c r="AD190" i="12" s="1"/>
  <c r="Y190" i="12"/>
  <c r="K190" i="12"/>
  <c r="M190" i="12" s="1"/>
  <c r="C190" i="12"/>
  <c r="B190" i="12"/>
  <c r="AD189" i="12"/>
  <c r="AC189" i="12"/>
  <c r="Y189" i="12"/>
  <c r="P189" i="12"/>
  <c r="K189" i="12"/>
  <c r="R189" i="12" s="1"/>
  <c r="C189" i="12"/>
  <c r="AD188" i="12"/>
  <c r="Y188" i="12"/>
  <c r="P188" i="12"/>
  <c r="K188" i="12"/>
  <c r="R188" i="12" s="1"/>
  <c r="C188" i="12"/>
  <c r="AD187" i="12"/>
  <c r="Y187" i="12"/>
  <c r="P187" i="12"/>
  <c r="K187" i="12"/>
  <c r="R187" i="12" s="1"/>
  <c r="C187" i="12"/>
  <c r="AD186" i="12"/>
  <c r="Y186" i="12"/>
  <c r="P186" i="12"/>
  <c r="K186" i="12"/>
  <c r="Q186" i="12" s="1"/>
  <c r="W186" i="12" s="1"/>
  <c r="C186" i="12"/>
  <c r="AD185" i="12"/>
  <c r="Y185" i="12"/>
  <c r="P185" i="12"/>
  <c r="K185" i="12"/>
  <c r="S185" i="12" s="1"/>
  <c r="T185" i="12" s="1"/>
  <c r="U185" i="12" s="1"/>
  <c r="B185" i="12" s="1"/>
  <c r="C185" i="12"/>
  <c r="AD184" i="12"/>
  <c r="Y184" i="12"/>
  <c r="P184" i="12"/>
  <c r="M184" i="12"/>
  <c r="N184" i="12" s="1"/>
  <c r="K184" i="12"/>
  <c r="C184" i="12"/>
  <c r="AD183" i="12"/>
  <c r="Y183" i="12"/>
  <c r="R183" i="12"/>
  <c r="P183" i="12"/>
  <c r="M183" i="12"/>
  <c r="N183" i="12" s="1"/>
  <c r="K183" i="12"/>
  <c r="S183" i="12" s="1"/>
  <c r="C183" i="12"/>
  <c r="AD182" i="12"/>
  <c r="Y182" i="12"/>
  <c r="P182" i="12"/>
  <c r="K182" i="12"/>
  <c r="Q182" i="12" s="1"/>
  <c r="W182" i="12" s="1"/>
  <c r="C182" i="12"/>
  <c r="AD181" i="12"/>
  <c r="Y181" i="12"/>
  <c r="P181" i="12"/>
  <c r="K181" i="12"/>
  <c r="S181" i="12" s="1"/>
  <c r="T181" i="12" s="1"/>
  <c r="U181" i="12" s="1"/>
  <c r="B181" i="12" s="1"/>
  <c r="C181" i="12"/>
  <c r="AD180" i="12"/>
  <c r="Y180" i="12"/>
  <c r="P180" i="12"/>
  <c r="K180" i="12"/>
  <c r="R180" i="12" s="1"/>
  <c r="C180" i="12"/>
  <c r="AD179" i="12"/>
  <c r="Y179" i="12"/>
  <c r="P179" i="12"/>
  <c r="K179" i="12"/>
  <c r="S179" i="12" s="1"/>
  <c r="C179" i="12"/>
  <c r="AD178" i="12"/>
  <c r="Y178" i="12"/>
  <c r="R178" i="12"/>
  <c r="P178" i="12"/>
  <c r="Q178" i="12" s="1"/>
  <c r="W178" i="12" s="1"/>
  <c r="K178" i="12"/>
  <c r="AC177" i="12"/>
  <c r="AD177" i="12" s="1"/>
  <c r="Y177" i="12"/>
  <c r="K177" i="12"/>
  <c r="M177" i="12" s="1"/>
  <c r="X177" i="12" s="1"/>
  <c r="B177" i="12"/>
  <c r="AC176" i="12"/>
  <c r="AD176" i="12" s="1"/>
  <c r="Y176" i="12"/>
  <c r="K176" i="12"/>
  <c r="M176" i="12" s="1"/>
  <c r="B176" i="12"/>
  <c r="AC175" i="12"/>
  <c r="AD175" i="12" s="1"/>
  <c r="Y175" i="12"/>
  <c r="M175" i="12"/>
  <c r="N175" i="12" s="1"/>
  <c r="K175" i="12"/>
  <c r="B175" i="12"/>
  <c r="AC174" i="12"/>
  <c r="AD174" i="12" s="1"/>
  <c r="Y174" i="12"/>
  <c r="K174" i="12"/>
  <c r="M174" i="12" s="1"/>
  <c r="B174" i="12"/>
  <c r="AC173" i="12"/>
  <c r="AD173" i="12" s="1"/>
  <c r="Y173" i="12"/>
  <c r="K173" i="12"/>
  <c r="M173" i="12" s="1"/>
  <c r="X173" i="12" s="1"/>
  <c r="B173" i="12"/>
  <c r="AC172" i="12"/>
  <c r="AD172" i="12" s="1"/>
  <c r="Y172" i="12"/>
  <c r="K172" i="12"/>
  <c r="M172" i="12" s="1"/>
  <c r="B172" i="12"/>
  <c r="AC171" i="12"/>
  <c r="AD171" i="12" s="1"/>
  <c r="Y171" i="12"/>
  <c r="K171" i="12"/>
  <c r="M171" i="12" s="1"/>
  <c r="N171" i="12" s="1"/>
  <c r="B171" i="12"/>
  <c r="AD170" i="12"/>
  <c r="AC170" i="12"/>
  <c r="Y170" i="12"/>
  <c r="K170" i="12"/>
  <c r="M170" i="12" s="1"/>
  <c r="B170" i="12"/>
  <c r="AC169" i="12"/>
  <c r="AD169" i="12" s="1"/>
  <c r="Y169" i="12"/>
  <c r="K169" i="12"/>
  <c r="M169" i="12" s="1"/>
  <c r="X169" i="12" s="1"/>
  <c r="B169" i="12"/>
  <c r="AC168" i="12"/>
  <c r="AD168" i="12" s="1"/>
  <c r="Y168" i="12"/>
  <c r="K168" i="12"/>
  <c r="M168" i="12" s="1"/>
  <c r="B168" i="12"/>
  <c r="AC167" i="12"/>
  <c r="AD167" i="12" s="1"/>
  <c r="Y167" i="12"/>
  <c r="M167" i="12"/>
  <c r="N167" i="12" s="1"/>
  <c r="K167" i="12"/>
  <c r="B167" i="12"/>
  <c r="AC166" i="12"/>
  <c r="AD166" i="12" s="1"/>
  <c r="Y166" i="12"/>
  <c r="K166" i="12"/>
  <c r="M166" i="12" s="1"/>
  <c r="C166" i="12"/>
  <c r="B166" i="12"/>
  <c r="AD165" i="12"/>
  <c r="Y165" i="12"/>
  <c r="P165" i="12"/>
  <c r="K165" i="12"/>
  <c r="C165" i="12"/>
  <c r="AD164" i="12"/>
  <c r="Y164" i="12"/>
  <c r="P164" i="12"/>
  <c r="K164" i="12"/>
  <c r="C164" i="12"/>
  <c r="AD163" i="12"/>
  <c r="Y163" i="12"/>
  <c r="P163" i="12"/>
  <c r="K163" i="12"/>
  <c r="C163" i="12"/>
  <c r="AD162" i="12"/>
  <c r="Y162" i="12"/>
  <c r="P162" i="12"/>
  <c r="K162" i="12"/>
  <c r="S162" i="12" s="1"/>
  <c r="T162" i="12" s="1"/>
  <c r="U162" i="12" s="1"/>
  <c r="B162" i="12" s="1"/>
  <c r="C162" i="12"/>
  <c r="AD161" i="12"/>
  <c r="Y161" i="12"/>
  <c r="P161" i="12"/>
  <c r="K161" i="12"/>
  <c r="R161" i="12" s="1"/>
  <c r="C161" i="12"/>
  <c r="AD160" i="12"/>
  <c r="Y160" i="12"/>
  <c r="P160" i="12"/>
  <c r="M160" i="12"/>
  <c r="N160" i="12" s="1"/>
  <c r="K160" i="12"/>
  <c r="C160" i="12"/>
  <c r="AD159" i="12"/>
  <c r="Y159" i="12"/>
  <c r="P159" i="12"/>
  <c r="K159" i="12"/>
  <c r="R159" i="12" s="1"/>
  <c r="C159" i="12"/>
  <c r="AD158" i="12"/>
  <c r="Y158" i="12"/>
  <c r="P158" i="12"/>
  <c r="K158" i="12"/>
  <c r="Q158" i="12" s="1"/>
  <c r="W158" i="12" s="1"/>
  <c r="C158" i="12"/>
  <c r="AD157" i="12"/>
  <c r="Y157" i="12"/>
  <c r="P157" i="12"/>
  <c r="K157" i="12"/>
  <c r="S157" i="12" s="1"/>
  <c r="T157" i="12" s="1"/>
  <c r="U157" i="12" s="1"/>
  <c r="B157" i="12" s="1"/>
  <c r="C157" i="12"/>
  <c r="AD156" i="12"/>
  <c r="Y156" i="12"/>
  <c r="P156" i="12"/>
  <c r="K156" i="12"/>
  <c r="C156" i="12"/>
  <c r="AD155" i="12"/>
  <c r="Y155" i="12"/>
  <c r="P155" i="12"/>
  <c r="K155" i="12"/>
  <c r="C155" i="12"/>
  <c r="AD154" i="12"/>
  <c r="Y154" i="12"/>
  <c r="Q154" i="12"/>
  <c r="W154" i="12" s="1"/>
  <c r="P154" i="12"/>
  <c r="M154" i="12"/>
  <c r="K154" i="12"/>
  <c r="S154" i="12" s="1"/>
  <c r="T154" i="12" s="1"/>
  <c r="U154" i="12" s="1"/>
  <c r="B154" i="12" s="1"/>
  <c r="AD153" i="12"/>
  <c r="AC153" i="12"/>
  <c r="Y153" i="12"/>
  <c r="M153" i="12"/>
  <c r="X153" i="12" s="1"/>
  <c r="K153" i="12"/>
  <c r="B153" i="12"/>
  <c r="AC152" i="12"/>
  <c r="AD152" i="12" s="1"/>
  <c r="Y152" i="12"/>
  <c r="K152" i="12"/>
  <c r="M152" i="12" s="1"/>
  <c r="B152" i="12"/>
  <c r="AC151" i="12"/>
  <c r="AD151" i="12" s="1"/>
  <c r="Y151" i="12"/>
  <c r="K151" i="12"/>
  <c r="M151" i="12" s="1"/>
  <c r="B151" i="12"/>
  <c r="AD150" i="12"/>
  <c r="AC150" i="12"/>
  <c r="Y150" i="12"/>
  <c r="N150" i="12"/>
  <c r="M150" i="12"/>
  <c r="X150" i="12" s="1"/>
  <c r="K150" i="12"/>
  <c r="B150" i="12"/>
  <c r="AD149" i="12"/>
  <c r="AC149" i="12"/>
  <c r="Y149" i="12"/>
  <c r="M149" i="12"/>
  <c r="X149" i="12" s="1"/>
  <c r="K149" i="12"/>
  <c r="B149" i="12"/>
  <c r="AC148" i="12"/>
  <c r="AD148" i="12" s="1"/>
  <c r="Y148" i="12"/>
  <c r="K148" i="12"/>
  <c r="M148" i="12" s="1"/>
  <c r="B148" i="12"/>
  <c r="AC147" i="12"/>
  <c r="AD147" i="12" s="1"/>
  <c r="Y147" i="12"/>
  <c r="K147" i="12"/>
  <c r="M147" i="12" s="1"/>
  <c r="B147" i="12"/>
  <c r="AD146" i="12"/>
  <c r="Y146" i="12"/>
  <c r="K146" i="12"/>
  <c r="M146" i="12" s="1"/>
  <c r="B146" i="12"/>
  <c r="AD145" i="12"/>
  <c r="Y145" i="12"/>
  <c r="M145" i="12"/>
  <c r="N145" i="12" s="1"/>
  <c r="K145" i="12"/>
  <c r="B145" i="12"/>
  <c r="AD144" i="12"/>
  <c r="Y144" i="12"/>
  <c r="K144" i="12"/>
  <c r="M144" i="12" s="1"/>
  <c r="N144" i="12" s="1"/>
  <c r="B144" i="12"/>
  <c r="AD143" i="12"/>
  <c r="Y143" i="12"/>
  <c r="K143" i="12"/>
  <c r="M143" i="12" s="1"/>
  <c r="B143" i="12"/>
  <c r="AD142" i="12"/>
  <c r="Y142" i="12"/>
  <c r="K142" i="12"/>
  <c r="M142" i="12" s="1"/>
  <c r="B142" i="12"/>
  <c r="AD141" i="12"/>
  <c r="Y141" i="12"/>
  <c r="N141" i="12"/>
  <c r="K141" i="12"/>
  <c r="M141" i="12" s="1"/>
  <c r="C141" i="12"/>
  <c r="B141" i="12"/>
  <c r="AD140" i="12"/>
  <c r="Y140" i="12"/>
  <c r="S140" i="12"/>
  <c r="T140" i="12" s="1"/>
  <c r="U140" i="12" s="1"/>
  <c r="B140" i="12" s="1"/>
  <c r="P140" i="12"/>
  <c r="K140" i="12"/>
  <c r="C140" i="12"/>
  <c r="AD139" i="12"/>
  <c r="Y139" i="12"/>
  <c r="P139" i="12"/>
  <c r="K139" i="12"/>
  <c r="M139" i="12" s="1"/>
  <c r="N139" i="12" s="1"/>
  <c r="C139" i="12"/>
  <c r="AD138" i="12"/>
  <c r="Y138" i="12"/>
  <c r="W138" i="12"/>
  <c r="Q138" i="12"/>
  <c r="P138" i="12"/>
  <c r="K138" i="12"/>
  <c r="C138" i="12"/>
  <c r="AD137" i="12"/>
  <c r="Y137" i="12"/>
  <c r="S137" i="12"/>
  <c r="R137" i="12"/>
  <c r="P137" i="12"/>
  <c r="M137" i="12"/>
  <c r="N137" i="12" s="1"/>
  <c r="K137" i="12"/>
  <c r="C137" i="12"/>
  <c r="AD136" i="12"/>
  <c r="Y136" i="12"/>
  <c r="P136" i="12"/>
  <c r="K136" i="12"/>
  <c r="S136" i="12" s="1"/>
  <c r="C136" i="12"/>
  <c r="AD135" i="12"/>
  <c r="Y135" i="12"/>
  <c r="P135" i="12"/>
  <c r="M135" i="12"/>
  <c r="N135" i="12" s="1"/>
  <c r="K135" i="12"/>
  <c r="C135" i="12"/>
  <c r="AD134" i="12"/>
  <c r="Y134" i="12"/>
  <c r="P134" i="12"/>
  <c r="K134" i="12"/>
  <c r="S134" i="12" s="1"/>
  <c r="T134" i="12" s="1"/>
  <c r="U134" i="12" s="1"/>
  <c r="C134" i="12"/>
  <c r="AD133" i="12"/>
  <c r="Y133" i="12"/>
  <c r="W133" i="12"/>
  <c r="Q133" i="12"/>
  <c r="P133" i="12"/>
  <c r="M133" i="12"/>
  <c r="N133" i="12" s="1"/>
  <c r="K133" i="12"/>
  <c r="S133" i="12" s="1"/>
  <c r="C133" i="12"/>
  <c r="AD132" i="12"/>
  <c r="Y132" i="12"/>
  <c r="S132" i="12"/>
  <c r="P132" i="12"/>
  <c r="K132" i="12"/>
  <c r="C132" i="12"/>
  <c r="AD131" i="12"/>
  <c r="Y131" i="12"/>
  <c r="P131" i="12"/>
  <c r="K131" i="12"/>
  <c r="C131" i="12"/>
  <c r="AD130" i="12"/>
  <c r="Y130" i="12"/>
  <c r="P130" i="12"/>
  <c r="K130" i="12"/>
  <c r="AD129" i="12"/>
  <c r="AC129" i="12"/>
  <c r="Y129" i="12"/>
  <c r="M129" i="12"/>
  <c r="X129" i="12" s="1"/>
  <c r="K129" i="12"/>
  <c r="B129" i="12"/>
  <c r="AC128" i="12"/>
  <c r="AD128" i="12" s="1"/>
  <c r="Y128" i="12"/>
  <c r="K128" i="12"/>
  <c r="M128" i="12" s="1"/>
  <c r="B128" i="12"/>
  <c r="AC127" i="12"/>
  <c r="AD127" i="12" s="1"/>
  <c r="Y127" i="12"/>
  <c r="K127" i="12"/>
  <c r="M127" i="12" s="1"/>
  <c r="B127" i="12"/>
  <c r="AC126" i="12"/>
  <c r="AD126" i="12" s="1"/>
  <c r="Y126" i="12"/>
  <c r="K126" i="12"/>
  <c r="M126" i="12" s="1"/>
  <c r="B126" i="12"/>
  <c r="AD125" i="12"/>
  <c r="AC125" i="12"/>
  <c r="Y125" i="12"/>
  <c r="M125" i="12"/>
  <c r="X125" i="12" s="1"/>
  <c r="K125" i="12"/>
  <c r="B125" i="12"/>
  <c r="AC124" i="12"/>
  <c r="AD124" i="12" s="1"/>
  <c r="Y124" i="12"/>
  <c r="K124" i="12"/>
  <c r="M124" i="12" s="1"/>
  <c r="B124" i="12"/>
  <c r="AC123" i="12"/>
  <c r="AD123" i="12" s="1"/>
  <c r="Y123" i="12"/>
  <c r="K123" i="12"/>
  <c r="M123" i="12" s="1"/>
  <c r="B123" i="12"/>
  <c r="AC122" i="12"/>
  <c r="AD122" i="12" s="1"/>
  <c r="Y122" i="12"/>
  <c r="K122" i="12"/>
  <c r="M122" i="12" s="1"/>
  <c r="X122" i="12" s="1"/>
  <c r="B122" i="12"/>
  <c r="AD121" i="12"/>
  <c r="AC121" i="12"/>
  <c r="Y121" i="12"/>
  <c r="K121" i="12"/>
  <c r="M121" i="12" s="1"/>
  <c r="B121" i="12"/>
  <c r="AC120" i="12"/>
  <c r="AD120" i="12" s="1"/>
  <c r="Y120" i="12"/>
  <c r="K120" i="12"/>
  <c r="M120" i="12" s="1"/>
  <c r="B120" i="12"/>
  <c r="AC119" i="12"/>
  <c r="AD119" i="12" s="1"/>
  <c r="Y119" i="12"/>
  <c r="K119" i="12"/>
  <c r="M119" i="12" s="1"/>
  <c r="B119" i="12"/>
  <c r="AC118" i="12"/>
  <c r="AD118" i="12" s="1"/>
  <c r="Y118" i="12"/>
  <c r="M118" i="12"/>
  <c r="K118" i="12"/>
  <c r="B118" i="12"/>
  <c r="AC117" i="12"/>
  <c r="AD117" i="12" s="1"/>
  <c r="Y117" i="12"/>
  <c r="K117" i="12"/>
  <c r="M117" i="12" s="1"/>
  <c r="C117" i="12"/>
  <c r="B117" i="12"/>
  <c r="AD116" i="12"/>
  <c r="Y116" i="12"/>
  <c r="P116" i="12"/>
  <c r="K116" i="12"/>
  <c r="C116" i="12"/>
  <c r="AD115" i="12"/>
  <c r="Y115" i="12"/>
  <c r="P115" i="12"/>
  <c r="K115" i="12"/>
  <c r="C115" i="12"/>
  <c r="AD114" i="12"/>
  <c r="Y114" i="12"/>
  <c r="P114" i="12"/>
  <c r="K114" i="12"/>
  <c r="C114" i="12"/>
  <c r="AD113" i="12"/>
  <c r="Y113" i="12"/>
  <c r="W113" i="12"/>
  <c r="Q113" i="12"/>
  <c r="P113" i="12"/>
  <c r="M113" i="12"/>
  <c r="N113" i="12" s="1"/>
  <c r="K113" i="12"/>
  <c r="S113" i="12" s="1"/>
  <c r="C113" i="12"/>
  <c r="AD112" i="12"/>
  <c r="Y112" i="12"/>
  <c r="S112" i="12"/>
  <c r="P112" i="12"/>
  <c r="K112" i="12"/>
  <c r="R112" i="12" s="1"/>
  <c r="C112" i="12"/>
  <c r="AD111" i="12"/>
  <c r="Y111" i="12"/>
  <c r="P111" i="12"/>
  <c r="K111" i="12"/>
  <c r="C111" i="12"/>
  <c r="AD110" i="12"/>
  <c r="Y110" i="12"/>
  <c r="R110" i="12"/>
  <c r="P110" i="12"/>
  <c r="K110" i="12"/>
  <c r="C110" i="12"/>
  <c r="AD109" i="12"/>
  <c r="Y109" i="12"/>
  <c r="S109" i="12"/>
  <c r="T109" i="12" s="1"/>
  <c r="U109" i="12" s="1"/>
  <c r="B109" i="12" s="1"/>
  <c r="R109" i="12"/>
  <c r="P109" i="12"/>
  <c r="M109" i="12"/>
  <c r="N109" i="12" s="1"/>
  <c r="K109" i="12"/>
  <c r="C109" i="12"/>
  <c r="AD108" i="12"/>
  <c r="Y108" i="12"/>
  <c r="P108" i="12"/>
  <c r="K108" i="12"/>
  <c r="C108" i="12"/>
  <c r="AD107" i="12"/>
  <c r="Y107" i="12"/>
  <c r="P107" i="12"/>
  <c r="K107" i="12"/>
  <c r="C107" i="12"/>
  <c r="AD106" i="12"/>
  <c r="Y106" i="12"/>
  <c r="P106" i="12"/>
  <c r="K106" i="12"/>
  <c r="R106" i="12" s="1"/>
  <c r="AC105" i="12"/>
  <c r="AD105" i="12" s="1"/>
  <c r="Y105" i="12"/>
  <c r="K105" i="12"/>
  <c r="M105" i="12" s="1"/>
  <c r="X105" i="12" s="1"/>
  <c r="B105" i="12"/>
  <c r="AC104" i="12"/>
  <c r="AD104" i="12" s="1"/>
  <c r="Y104" i="12"/>
  <c r="K104" i="12"/>
  <c r="M104" i="12" s="1"/>
  <c r="B104" i="12"/>
  <c r="AC103" i="12"/>
  <c r="AD103" i="12" s="1"/>
  <c r="Y103" i="12"/>
  <c r="K103" i="12"/>
  <c r="M103" i="12" s="1"/>
  <c r="B103" i="12"/>
  <c r="AD102" i="12"/>
  <c r="AC102" i="12"/>
  <c r="Y102" i="12"/>
  <c r="K102" i="12"/>
  <c r="M102" i="12" s="1"/>
  <c r="B102" i="12"/>
  <c r="AD101" i="12"/>
  <c r="AC101" i="12"/>
  <c r="Y101" i="12"/>
  <c r="K101" i="12"/>
  <c r="M101" i="12" s="1"/>
  <c r="B101" i="12"/>
  <c r="AC100" i="12"/>
  <c r="AD100" i="12" s="1"/>
  <c r="Y100" i="12"/>
  <c r="K100" i="12"/>
  <c r="M100" i="12" s="1"/>
  <c r="B100" i="12"/>
  <c r="AC99" i="12"/>
  <c r="AD99" i="12" s="1"/>
  <c r="Y99" i="12"/>
  <c r="K99" i="12"/>
  <c r="M99" i="12" s="1"/>
  <c r="B99" i="12"/>
  <c r="AC98" i="12"/>
  <c r="AD98" i="12" s="1"/>
  <c r="Y98" i="12"/>
  <c r="X98" i="12"/>
  <c r="K98" i="12"/>
  <c r="M98" i="12" s="1"/>
  <c r="B98" i="12"/>
  <c r="AD97" i="12"/>
  <c r="AC97" i="12"/>
  <c r="Y97" i="12"/>
  <c r="N97" i="12"/>
  <c r="M97" i="12"/>
  <c r="X97" i="12" s="1"/>
  <c r="K97" i="12"/>
  <c r="B97" i="12"/>
  <c r="AC96" i="12"/>
  <c r="AD96" i="12" s="1"/>
  <c r="Y96" i="12"/>
  <c r="K96" i="12"/>
  <c r="M96" i="12" s="1"/>
  <c r="B96" i="12"/>
  <c r="AC95" i="12"/>
  <c r="AD95" i="12" s="1"/>
  <c r="Y95" i="12"/>
  <c r="K95" i="12"/>
  <c r="M95" i="12" s="1"/>
  <c r="B95" i="12"/>
  <c r="AD94" i="12"/>
  <c r="AC94" i="12"/>
  <c r="Y94" i="12"/>
  <c r="K94" i="12"/>
  <c r="M94" i="12" s="1"/>
  <c r="B94" i="12"/>
  <c r="AC93" i="12"/>
  <c r="AD93" i="12" s="1"/>
  <c r="Y93" i="12"/>
  <c r="N93" i="12"/>
  <c r="K93" i="12"/>
  <c r="M93" i="12" s="1"/>
  <c r="X93" i="12" s="1"/>
  <c r="C93" i="12"/>
  <c r="B93" i="12"/>
  <c r="AD92" i="12"/>
  <c r="Y92" i="12"/>
  <c r="S92" i="12"/>
  <c r="T92" i="12" s="1"/>
  <c r="U92" i="12" s="1"/>
  <c r="B92" i="12" s="1"/>
  <c r="P92" i="12"/>
  <c r="K92" i="12"/>
  <c r="R92" i="12" s="1"/>
  <c r="C92" i="12"/>
  <c r="AD91" i="12"/>
  <c r="Y91" i="12"/>
  <c r="P91" i="12"/>
  <c r="K91" i="12"/>
  <c r="C91" i="12"/>
  <c r="AD90" i="12"/>
  <c r="Y90" i="12"/>
  <c r="P90" i="12"/>
  <c r="K90" i="12"/>
  <c r="C90" i="12"/>
  <c r="AD89" i="12"/>
  <c r="Y89" i="12"/>
  <c r="W89" i="12"/>
  <c r="S89" i="12"/>
  <c r="R89" i="12"/>
  <c r="P89" i="12"/>
  <c r="N89" i="12"/>
  <c r="M89" i="12"/>
  <c r="K89" i="12"/>
  <c r="Q89" i="12" s="1"/>
  <c r="C89" i="12"/>
  <c r="AD88" i="12"/>
  <c r="Y88" i="12"/>
  <c r="P88" i="12"/>
  <c r="K88" i="12"/>
  <c r="C88" i="12"/>
  <c r="AD87" i="12"/>
  <c r="Y87" i="12"/>
  <c r="P87" i="12"/>
  <c r="K87" i="12"/>
  <c r="C87" i="12"/>
  <c r="AD86" i="12"/>
  <c r="Y86" i="12"/>
  <c r="R86" i="12"/>
  <c r="P86" i="12"/>
  <c r="M86" i="12"/>
  <c r="K86" i="12"/>
  <c r="C86" i="12"/>
  <c r="AD85" i="12"/>
  <c r="Y85" i="12"/>
  <c r="P85" i="12"/>
  <c r="K85" i="12"/>
  <c r="S85" i="12" s="1"/>
  <c r="T85" i="12" s="1"/>
  <c r="U85" i="12" s="1"/>
  <c r="B85" i="12" s="1"/>
  <c r="C85" i="12"/>
  <c r="AD84" i="12"/>
  <c r="Y84" i="12"/>
  <c r="S84" i="12"/>
  <c r="T84" i="12" s="1"/>
  <c r="U84" i="12" s="1"/>
  <c r="B84" i="12" s="1"/>
  <c r="P84" i="12"/>
  <c r="K84" i="12"/>
  <c r="R84" i="12" s="1"/>
  <c r="C84" i="12"/>
  <c r="AD83" i="12"/>
  <c r="Y83" i="12"/>
  <c r="P83" i="12"/>
  <c r="K83" i="12"/>
  <c r="AD82" i="12"/>
  <c r="AC82" i="12"/>
  <c r="Y82" i="12"/>
  <c r="M82" i="12"/>
  <c r="X82" i="12" s="1"/>
  <c r="K82" i="12"/>
  <c r="B82" i="12"/>
  <c r="AC81" i="12"/>
  <c r="AD81" i="12" s="1"/>
  <c r="Y81" i="12"/>
  <c r="M81" i="12"/>
  <c r="K81" i="12"/>
  <c r="B81" i="12"/>
  <c r="AC80" i="12"/>
  <c r="AD80" i="12" s="1"/>
  <c r="Y80" i="12"/>
  <c r="K80" i="12"/>
  <c r="M80" i="12" s="1"/>
  <c r="B80" i="12"/>
  <c r="AC79" i="12"/>
  <c r="AD79" i="12" s="1"/>
  <c r="Y79" i="12"/>
  <c r="K79" i="12"/>
  <c r="M79" i="12" s="1"/>
  <c r="B79" i="12"/>
  <c r="AC78" i="12"/>
  <c r="AD78" i="12" s="1"/>
  <c r="Y78" i="12"/>
  <c r="M78" i="12"/>
  <c r="K78" i="12"/>
  <c r="B78" i="12"/>
  <c r="AC77" i="12"/>
  <c r="AD77" i="12" s="1"/>
  <c r="Y77" i="12"/>
  <c r="K77" i="12"/>
  <c r="M77" i="12" s="1"/>
  <c r="B77" i="12"/>
  <c r="AC76" i="12"/>
  <c r="AD76" i="12" s="1"/>
  <c r="Y76" i="12"/>
  <c r="K76" i="12"/>
  <c r="M76" i="12" s="1"/>
  <c r="B76" i="12"/>
  <c r="AC75" i="12"/>
  <c r="AD75" i="12" s="1"/>
  <c r="Y75" i="12"/>
  <c r="K75" i="12"/>
  <c r="M75" i="12" s="1"/>
  <c r="B75" i="12"/>
  <c r="AD74" i="12"/>
  <c r="AC74" i="12"/>
  <c r="Y74" i="12"/>
  <c r="K74" i="12"/>
  <c r="M74" i="12" s="1"/>
  <c r="B74" i="12"/>
  <c r="AD73" i="12"/>
  <c r="AC73" i="12"/>
  <c r="Y73" i="12"/>
  <c r="M73" i="12"/>
  <c r="X73" i="12" s="1"/>
  <c r="K73" i="12"/>
  <c r="B73" i="12"/>
  <c r="AC72" i="12"/>
  <c r="AD72" i="12" s="1"/>
  <c r="Y72" i="12"/>
  <c r="K72" i="12"/>
  <c r="M72" i="12" s="1"/>
  <c r="B72" i="12"/>
  <c r="AC71" i="12"/>
  <c r="AD71" i="12" s="1"/>
  <c r="Y71" i="12"/>
  <c r="K71" i="12"/>
  <c r="M71" i="12" s="1"/>
  <c r="B71" i="12"/>
  <c r="AC70" i="12"/>
  <c r="AD70" i="12" s="1"/>
  <c r="Y70" i="12"/>
  <c r="K70" i="12"/>
  <c r="M70" i="12" s="1"/>
  <c r="B70" i="12"/>
  <c r="AD69" i="12"/>
  <c r="AC69" i="12"/>
  <c r="Y69" i="12"/>
  <c r="K69" i="12"/>
  <c r="M69" i="12" s="1"/>
  <c r="B69" i="12"/>
  <c r="AC68" i="12"/>
  <c r="AD68" i="12" s="1"/>
  <c r="Y68" i="12"/>
  <c r="K68" i="12"/>
  <c r="M68" i="12" s="1"/>
  <c r="C68" i="12"/>
  <c r="B68" i="12"/>
  <c r="AD67" i="12"/>
  <c r="Y67" i="12"/>
  <c r="P67" i="12"/>
  <c r="K67" i="12"/>
  <c r="S67" i="12" s="1"/>
  <c r="T67" i="12" s="1"/>
  <c r="U67" i="12" s="1"/>
  <c r="B67" i="12" s="1"/>
  <c r="C67" i="12"/>
  <c r="AD66" i="12"/>
  <c r="Y66" i="12"/>
  <c r="S66" i="12"/>
  <c r="T66" i="12" s="1"/>
  <c r="U66" i="12" s="1"/>
  <c r="B66" i="12" s="1"/>
  <c r="Q66" i="12"/>
  <c r="W66" i="12" s="1"/>
  <c r="P66" i="12"/>
  <c r="M66" i="12"/>
  <c r="K66" i="12"/>
  <c r="R66" i="12" s="1"/>
  <c r="C66" i="12"/>
  <c r="AD65" i="12"/>
  <c r="Y65" i="12"/>
  <c r="P65" i="12"/>
  <c r="K65" i="12"/>
  <c r="S65" i="12" s="1"/>
  <c r="T65" i="12" s="1"/>
  <c r="U65" i="12" s="1"/>
  <c r="B65" i="12" s="1"/>
  <c r="C65" i="12"/>
  <c r="AD64" i="12"/>
  <c r="Y64" i="12"/>
  <c r="P64" i="12"/>
  <c r="K64" i="12"/>
  <c r="R64" i="12" s="1"/>
  <c r="C64" i="12"/>
  <c r="AD63" i="12"/>
  <c r="Y63" i="12"/>
  <c r="P63" i="12"/>
  <c r="K63" i="12"/>
  <c r="S63" i="12" s="1"/>
  <c r="C63" i="12"/>
  <c r="AD62" i="12"/>
  <c r="Y62" i="12"/>
  <c r="R62" i="12"/>
  <c r="P62" i="12"/>
  <c r="M62" i="12"/>
  <c r="N62" i="12" s="1"/>
  <c r="K62" i="12"/>
  <c r="S62" i="12" s="1"/>
  <c r="T62" i="12" s="1"/>
  <c r="U62" i="12" s="1"/>
  <c r="B62" i="12" s="1"/>
  <c r="C62" i="12"/>
  <c r="AD61" i="12"/>
  <c r="Y61" i="12"/>
  <c r="P61" i="12"/>
  <c r="K61" i="12"/>
  <c r="C61" i="12"/>
  <c r="AD60" i="12"/>
  <c r="Y60" i="12"/>
  <c r="S60" i="12"/>
  <c r="T60" i="12" s="1"/>
  <c r="U60" i="12" s="1"/>
  <c r="B60" i="12" s="1"/>
  <c r="P60" i="12"/>
  <c r="M60" i="12"/>
  <c r="N60" i="12" s="1"/>
  <c r="K60" i="12"/>
  <c r="R60" i="12" s="1"/>
  <c r="C60" i="12"/>
  <c r="AD59" i="12"/>
  <c r="Y59" i="12"/>
  <c r="P59" i="12"/>
  <c r="K59" i="12"/>
  <c r="S59" i="12" s="1"/>
  <c r="T59" i="12" s="1"/>
  <c r="U59" i="12" s="1"/>
  <c r="B59" i="12" s="1"/>
  <c r="AC58" i="12"/>
  <c r="AD58" i="12" s="1"/>
  <c r="Y58" i="12"/>
  <c r="X58" i="12"/>
  <c r="M58" i="12"/>
  <c r="N58" i="12" s="1"/>
  <c r="K58" i="12"/>
  <c r="B58" i="12"/>
  <c r="AC57" i="12"/>
  <c r="AD57" i="12" s="1"/>
  <c r="Y57" i="12"/>
  <c r="K57" i="12"/>
  <c r="M57" i="12" s="1"/>
  <c r="X57" i="12" s="1"/>
  <c r="B57" i="12"/>
  <c r="AC56" i="12"/>
  <c r="AD56" i="12" s="1"/>
  <c r="Y56" i="12"/>
  <c r="K56" i="12"/>
  <c r="M56" i="12" s="1"/>
  <c r="B56" i="12"/>
  <c r="AC55" i="12"/>
  <c r="AD55" i="12" s="1"/>
  <c r="Y55" i="12"/>
  <c r="M55" i="12"/>
  <c r="K55" i="12"/>
  <c r="B55" i="12"/>
  <c r="AC54" i="12"/>
  <c r="AD54" i="12" s="1"/>
  <c r="Y54" i="12"/>
  <c r="M54" i="12"/>
  <c r="K54" i="12"/>
  <c r="B54" i="12"/>
  <c r="AC53" i="12"/>
  <c r="AD53" i="12" s="1"/>
  <c r="Y53" i="12"/>
  <c r="K53" i="12"/>
  <c r="M53" i="12" s="1"/>
  <c r="B53" i="12"/>
  <c r="AC52" i="12"/>
  <c r="AD52" i="12" s="1"/>
  <c r="Y52" i="12"/>
  <c r="M52" i="12"/>
  <c r="N52" i="12" s="1"/>
  <c r="K52" i="12"/>
  <c r="B52" i="12"/>
  <c r="AC51" i="12"/>
  <c r="AD51" i="12" s="1"/>
  <c r="Y51" i="12"/>
  <c r="K51" i="12"/>
  <c r="M51" i="12" s="1"/>
  <c r="B51" i="12"/>
  <c r="AC50" i="12"/>
  <c r="AD50" i="12" s="1"/>
  <c r="Y50" i="12"/>
  <c r="M50" i="12"/>
  <c r="K50" i="12"/>
  <c r="B50" i="12"/>
  <c r="AC49" i="12"/>
  <c r="AD49" i="12" s="1"/>
  <c r="Y49" i="12"/>
  <c r="K49" i="12"/>
  <c r="M49" i="12" s="1"/>
  <c r="B49" i="12"/>
  <c r="AC48" i="12"/>
  <c r="AD48" i="12" s="1"/>
  <c r="Y48" i="12"/>
  <c r="M48" i="12"/>
  <c r="N48" i="12" s="1"/>
  <c r="K48" i="12"/>
  <c r="B48" i="12"/>
  <c r="AC47" i="12"/>
  <c r="AD47" i="12" s="1"/>
  <c r="Y47" i="12"/>
  <c r="K47" i="12"/>
  <c r="M47" i="12" s="1"/>
  <c r="B47" i="12"/>
  <c r="AC46" i="12"/>
  <c r="AD46" i="12" s="1"/>
  <c r="Y46" i="12"/>
  <c r="M46" i="12"/>
  <c r="K46" i="12"/>
  <c r="B46" i="12"/>
  <c r="AC45" i="12"/>
  <c r="AD45" i="12" s="1"/>
  <c r="Y45" i="12"/>
  <c r="K45" i="12"/>
  <c r="M45" i="12" s="1"/>
  <c r="B45" i="12"/>
  <c r="AC44" i="12"/>
  <c r="AD44" i="12" s="1"/>
  <c r="Y44" i="12"/>
  <c r="M44" i="12"/>
  <c r="N44" i="12" s="1"/>
  <c r="K44" i="12"/>
  <c r="B44" i="12"/>
  <c r="AC43" i="12"/>
  <c r="AD43" i="12" s="1"/>
  <c r="Y43" i="12"/>
  <c r="K43" i="12"/>
  <c r="M43" i="12" s="1"/>
  <c r="C43" i="12"/>
  <c r="B43" i="12"/>
  <c r="AD42" i="12"/>
  <c r="Y42" i="12"/>
  <c r="S42" i="12"/>
  <c r="T42" i="12" s="1"/>
  <c r="U42" i="12" s="1"/>
  <c r="B42" i="12" s="1"/>
  <c r="Q42" i="12"/>
  <c r="W42" i="12" s="1"/>
  <c r="P42" i="12"/>
  <c r="M42" i="12"/>
  <c r="K42" i="12"/>
  <c r="R42" i="12" s="1"/>
  <c r="C42" i="12"/>
  <c r="AD41" i="12"/>
  <c r="Y41" i="12"/>
  <c r="R41" i="12"/>
  <c r="P41" i="12"/>
  <c r="K41" i="12"/>
  <c r="C41" i="12"/>
  <c r="AD40" i="12"/>
  <c r="Y40" i="12"/>
  <c r="Q40" i="12"/>
  <c r="W40" i="12" s="1"/>
  <c r="P40" i="12"/>
  <c r="M40" i="12"/>
  <c r="N40" i="12" s="1"/>
  <c r="K40" i="12"/>
  <c r="R40" i="12" s="1"/>
  <c r="C40" i="12"/>
  <c r="AD39" i="12"/>
  <c r="Y39" i="12"/>
  <c r="P39" i="12"/>
  <c r="K39" i="12"/>
  <c r="S39" i="12" s="1"/>
  <c r="T39" i="12" s="1"/>
  <c r="U39" i="12" s="1"/>
  <c r="B39" i="12" s="1"/>
  <c r="C39" i="12"/>
  <c r="AD38" i="12"/>
  <c r="Y38" i="12"/>
  <c r="S38" i="12"/>
  <c r="T38" i="12" s="1"/>
  <c r="U38" i="12" s="1"/>
  <c r="B38" i="12" s="1"/>
  <c r="Q38" i="12"/>
  <c r="W38" i="12" s="1"/>
  <c r="P38" i="12"/>
  <c r="M38" i="12"/>
  <c r="K38" i="12"/>
  <c r="R38" i="12" s="1"/>
  <c r="C38" i="12"/>
  <c r="AD37" i="12"/>
  <c r="Y37" i="12"/>
  <c r="R37" i="12"/>
  <c r="P37" i="12"/>
  <c r="K37" i="12"/>
  <c r="C37" i="12"/>
  <c r="AD36" i="12"/>
  <c r="Y36" i="12"/>
  <c r="Q36" i="12"/>
  <c r="W36" i="12" s="1"/>
  <c r="P36" i="12"/>
  <c r="M36" i="12"/>
  <c r="N36" i="12" s="1"/>
  <c r="K36" i="12"/>
  <c r="R36" i="12" s="1"/>
  <c r="AC35" i="12"/>
  <c r="AD35" i="12" s="1"/>
  <c r="Y35" i="12"/>
  <c r="K35" i="12"/>
  <c r="M35" i="12" s="1"/>
  <c r="B35" i="12"/>
  <c r="AD34" i="12"/>
  <c r="AC34" i="12"/>
  <c r="Y34" i="12"/>
  <c r="K34" i="12"/>
  <c r="M34" i="12" s="1"/>
  <c r="B34" i="12"/>
  <c r="AC33" i="12"/>
  <c r="AD33" i="12" s="1"/>
  <c r="Y33" i="12"/>
  <c r="K33" i="12"/>
  <c r="M33" i="12" s="1"/>
  <c r="B33" i="12"/>
  <c r="AD32" i="12"/>
  <c r="AC32" i="12"/>
  <c r="Y32" i="12"/>
  <c r="K32" i="12"/>
  <c r="M32" i="12" s="1"/>
  <c r="N32" i="12" s="1"/>
  <c r="B32" i="12"/>
  <c r="AC31" i="12"/>
  <c r="AD31" i="12" s="1"/>
  <c r="Y31" i="12"/>
  <c r="K31" i="12"/>
  <c r="M31" i="12" s="1"/>
  <c r="B31" i="12"/>
  <c r="AD30" i="12"/>
  <c r="AC30" i="12"/>
  <c r="Y30" i="12"/>
  <c r="K30" i="12"/>
  <c r="M30" i="12" s="1"/>
  <c r="B30" i="12"/>
  <c r="AC29" i="12"/>
  <c r="AD29" i="12" s="1"/>
  <c r="Y29" i="12"/>
  <c r="K29" i="12"/>
  <c r="M29" i="12" s="1"/>
  <c r="B29" i="12"/>
  <c r="AD28" i="12"/>
  <c r="AC28" i="12"/>
  <c r="Y28" i="12"/>
  <c r="K28" i="12"/>
  <c r="M28" i="12" s="1"/>
  <c r="N28" i="12" s="1"/>
  <c r="B28" i="12"/>
  <c r="AC27" i="12"/>
  <c r="AD27" i="12" s="1"/>
  <c r="Y27" i="12"/>
  <c r="K27" i="12"/>
  <c r="M27" i="12" s="1"/>
  <c r="B27" i="12"/>
  <c r="AD26" i="12"/>
  <c r="AC26" i="12"/>
  <c r="Y26" i="12"/>
  <c r="M26" i="12"/>
  <c r="X26" i="12" s="1"/>
  <c r="K26" i="12"/>
  <c r="B26" i="12"/>
  <c r="AC25" i="12"/>
  <c r="AD25" i="12" s="1"/>
  <c r="Y25" i="12"/>
  <c r="K25" i="12"/>
  <c r="M25" i="12" s="1"/>
  <c r="N25" i="12" s="1"/>
  <c r="B25" i="12"/>
  <c r="AC24" i="12"/>
  <c r="AD24" i="12" s="1"/>
  <c r="Y24" i="12"/>
  <c r="K24" i="12"/>
  <c r="M24" i="12" s="1"/>
  <c r="B24" i="12"/>
  <c r="AC23" i="12"/>
  <c r="AD23" i="12" s="1"/>
  <c r="Y23" i="12"/>
  <c r="K23" i="12"/>
  <c r="M23" i="12" s="1"/>
  <c r="B23" i="12"/>
  <c r="AD22" i="12"/>
  <c r="AC22" i="12"/>
  <c r="Y22" i="12"/>
  <c r="K22" i="12"/>
  <c r="M22" i="12" s="1"/>
  <c r="X22" i="12" s="1"/>
  <c r="B22" i="12"/>
  <c r="AC21" i="12"/>
  <c r="AD21" i="12" s="1"/>
  <c r="Y21" i="12"/>
  <c r="K21" i="12"/>
  <c r="M21" i="12" s="1"/>
  <c r="X21" i="12" s="1"/>
  <c r="B21" i="12"/>
  <c r="AC20" i="12"/>
  <c r="AD20" i="12" s="1"/>
  <c r="Y20" i="12"/>
  <c r="K20" i="12"/>
  <c r="M20" i="12" s="1"/>
  <c r="B20" i="12"/>
  <c r="AC19" i="12"/>
  <c r="AD19" i="12" s="1"/>
  <c r="Y19" i="12"/>
  <c r="K19" i="12"/>
  <c r="M19" i="12" s="1"/>
  <c r="C19" i="12"/>
  <c r="B19" i="12"/>
  <c r="AD18" i="12"/>
  <c r="Y18" i="12"/>
  <c r="P18" i="12"/>
  <c r="K18" i="12"/>
  <c r="S18" i="12" s="1"/>
  <c r="T18" i="12" s="1"/>
  <c r="U18" i="12" s="1"/>
  <c r="B18" i="12" s="1"/>
  <c r="C18" i="12"/>
  <c r="AD17" i="12"/>
  <c r="Y17" i="12"/>
  <c r="P17" i="12"/>
  <c r="K17" i="12"/>
  <c r="C17" i="12"/>
  <c r="AD16" i="12"/>
  <c r="Y16" i="12"/>
  <c r="S16" i="12"/>
  <c r="P16" i="12"/>
  <c r="K16" i="12"/>
  <c r="R16" i="12" s="1"/>
  <c r="C16" i="12"/>
  <c r="AD15" i="12"/>
  <c r="Y15" i="12"/>
  <c r="P15" i="12"/>
  <c r="K15" i="12"/>
  <c r="S15" i="12" s="1"/>
  <c r="T15" i="12" s="1"/>
  <c r="U15" i="12" s="1"/>
  <c r="B15" i="12" s="1"/>
  <c r="C15" i="12"/>
  <c r="AD14" i="12"/>
  <c r="Y14" i="12"/>
  <c r="S14" i="12"/>
  <c r="T14" i="12" s="1"/>
  <c r="U14" i="12" s="1"/>
  <c r="B14" i="12" s="1"/>
  <c r="Q14" i="12"/>
  <c r="W14" i="12" s="1"/>
  <c r="P14" i="12"/>
  <c r="M14" i="12"/>
  <c r="K14" i="12"/>
  <c r="R14" i="12" s="1"/>
  <c r="C14" i="12"/>
  <c r="AD13" i="12"/>
  <c r="Y13" i="12"/>
  <c r="R13" i="12"/>
  <c r="P13" i="12"/>
  <c r="K13" i="12"/>
  <c r="Q13" i="12" s="1"/>
  <c r="W13" i="12" s="1"/>
  <c r="C13" i="12"/>
  <c r="AD12" i="12"/>
  <c r="Y12" i="12"/>
  <c r="P12" i="12"/>
  <c r="K12" i="12"/>
  <c r="R12" i="12" s="1"/>
  <c r="AC11" i="12"/>
  <c r="AD11" i="12" s="1"/>
  <c r="Y11" i="12"/>
  <c r="K11" i="12"/>
  <c r="M11" i="12" s="1"/>
  <c r="B11" i="12"/>
  <c r="AC10" i="12"/>
  <c r="AD10" i="12" s="1"/>
  <c r="Y10" i="12"/>
  <c r="M10" i="12"/>
  <c r="X10" i="12" s="1"/>
  <c r="K10" i="12"/>
  <c r="B10" i="12"/>
  <c r="AC9" i="12"/>
  <c r="AD9" i="12" s="1"/>
  <c r="Y9" i="12"/>
  <c r="K9" i="12"/>
  <c r="M9" i="12" s="1"/>
  <c r="B9" i="12"/>
  <c r="AC8" i="12"/>
  <c r="AD8" i="12" s="1"/>
  <c r="Y8" i="12"/>
  <c r="K8" i="12"/>
  <c r="M8" i="12" s="1"/>
  <c r="B8" i="12"/>
  <c r="AC7" i="12"/>
  <c r="AD7" i="12" s="1"/>
  <c r="Y7" i="12"/>
  <c r="K7" i="12"/>
  <c r="M7" i="12" s="1"/>
  <c r="B7" i="12"/>
  <c r="AC6" i="12"/>
  <c r="AD6" i="12" s="1"/>
  <c r="Y6" i="12"/>
  <c r="M6" i="12"/>
  <c r="X6" i="12" s="1"/>
  <c r="K6" i="12"/>
  <c r="B6" i="12"/>
  <c r="AC5" i="12"/>
  <c r="AD5" i="12" s="1"/>
  <c r="Y5" i="12"/>
  <c r="K5" i="12"/>
  <c r="M5" i="12" s="1"/>
  <c r="B5" i="12"/>
  <c r="AD4" i="12"/>
  <c r="Y4" i="12"/>
  <c r="K4" i="12"/>
  <c r="M4" i="12" s="1"/>
  <c r="B4" i="12"/>
  <c r="AD3" i="12"/>
  <c r="Y3" i="12"/>
  <c r="K3" i="12"/>
  <c r="M3" i="12" s="1"/>
  <c r="B3" i="12"/>
  <c r="AD2" i="12"/>
  <c r="Y2" i="12"/>
  <c r="K2" i="12"/>
  <c r="M2" i="12" s="1"/>
  <c r="D2" i="12"/>
  <c r="D293" i="11"/>
  <c r="L291" i="11"/>
  <c r="AD289" i="11"/>
  <c r="Y289" i="11"/>
  <c r="K289" i="11"/>
  <c r="M289" i="11" s="1"/>
  <c r="N289" i="11" s="1"/>
  <c r="B289" i="11"/>
  <c r="AD288" i="11"/>
  <c r="Y288" i="11"/>
  <c r="K288" i="11"/>
  <c r="M288" i="11" s="1"/>
  <c r="B288" i="11"/>
  <c r="AD287" i="11"/>
  <c r="Y287" i="11"/>
  <c r="K287" i="11"/>
  <c r="M287" i="11" s="1"/>
  <c r="B287" i="11"/>
  <c r="AD286" i="11"/>
  <c r="Y286" i="11"/>
  <c r="K286" i="11"/>
  <c r="M286" i="11" s="1"/>
  <c r="N286" i="11" s="1"/>
  <c r="B286" i="11"/>
  <c r="AD285" i="11"/>
  <c r="Y285" i="11"/>
  <c r="K285" i="11"/>
  <c r="M285" i="11" s="1"/>
  <c r="N285" i="11" s="1"/>
  <c r="B285" i="11"/>
  <c r="AD284" i="11"/>
  <c r="Y284" i="11"/>
  <c r="M284" i="11"/>
  <c r="K284" i="11"/>
  <c r="B284" i="11"/>
  <c r="AD283" i="11"/>
  <c r="Y283" i="11"/>
  <c r="K283" i="11"/>
  <c r="M283" i="11" s="1"/>
  <c r="B283" i="11"/>
  <c r="AD282" i="11"/>
  <c r="Y282" i="11"/>
  <c r="K282" i="11"/>
  <c r="M282" i="11" s="1"/>
  <c r="N282" i="11" s="1"/>
  <c r="C282" i="11"/>
  <c r="B282" i="11"/>
  <c r="AD281" i="11"/>
  <c r="Y281" i="11"/>
  <c r="P281" i="11"/>
  <c r="K281" i="11"/>
  <c r="S281" i="11" s="1"/>
  <c r="T281" i="11" s="1"/>
  <c r="U281" i="11" s="1"/>
  <c r="B281" i="11" s="1"/>
  <c r="C281" i="11"/>
  <c r="AD280" i="11"/>
  <c r="Y280" i="11"/>
  <c r="P280" i="11"/>
  <c r="K280" i="11"/>
  <c r="M280" i="11" s="1"/>
  <c r="N280" i="11" s="1"/>
  <c r="C280" i="11"/>
  <c r="AD279" i="11"/>
  <c r="Y279" i="11"/>
  <c r="R279" i="11"/>
  <c r="P279" i="11"/>
  <c r="K279" i="11"/>
  <c r="C279" i="11"/>
  <c r="AD278" i="11"/>
  <c r="Y278" i="11"/>
  <c r="S278" i="11"/>
  <c r="T278" i="11" s="1"/>
  <c r="U278" i="11" s="1"/>
  <c r="B278" i="11" s="1"/>
  <c r="P278" i="11"/>
  <c r="K278" i="11"/>
  <c r="Q278" i="11" s="1"/>
  <c r="W278" i="11" s="1"/>
  <c r="C278" i="11"/>
  <c r="AD277" i="11"/>
  <c r="Y277" i="11"/>
  <c r="P277" i="11"/>
  <c r="K277" i="11"/>
  <c r="S277" i="11" s="1"/>
  <c r="T277" i="11" s="1"/>
  <c r="U277" i="11" s="1"/>
  <c r="B277" i="11" s="1"/>
  <c r="C277" i="11"/>
  <c r="AD276" i="11"/>
  <c r="Y276" i="11"/>
  <c r="P276" i="11"/>
  <c r="K276" i="11"/>
  <c r="M276" i="11" s="1"/>
  <c r="N276" i="11" s="1"/>
  <c r="AD275" i="11"/>
  <c r="Y275" i="11"/>
  <c r="K275" i="11"/>
  <c r="M275" i="11" s="1"/>
  <c r="B275" i="11"/>
  <c r="AD274" i="11"/>
  <c r="Y274" i="11"/>
  <c r="K274" i="11"/>
  <c r="M274" i="11" s="1"/>
  <c r="N274" i="11" s="1"/>
  <c r="B274" i="11"/>
  <c r="AD273" i="11"/>
  <c r="Y273" i="11"/>
  <c r="M273" i="11"/>
  <c r="N273" i="11" s="1"/>
  <c r="K273" i="11"/>
  <c r="B273" i="11"/>
  <c r="AD272" i="11"/>
  <c r="Y272" i="11"/>
  <c r="K272" i="11"/>
  <c r="M272" i="11" s="1"/>
  <c r="B272" i="11"/>
  <c r="AD271" i="11"/>
  <c r="Y271" i="11"/>
  <c r="K271" i="11"/>
  <c r="M271" i="11" s="1"/>
  <c r="B271" i="11"/>
  <c r="AD270" i="11"/>
  <c r="Y270" i="11"/>
  <c r="K270" i="11"/>
  <c r="M270" i="11" s="1"/>
  <c r="N270" i="11" s="1"/>
  <c r="B270" i="11"/>
  <c r="AD269" i="11"/>
  <c r="Y269" i="11"/>
  <c r="K269" i="11"/>
  <c r="M269" i="11" s="1"/>
  <c r="N269" i="11" s="1"/>
  <c r="B269" i="11"/>
  <c r="AD268" i="11"/>
  <c r="Y268" i="11"/>
  <c r="M268" i="11"/>
  <c r="K268" i="11"/>
  <c r="B268" i="11"/>
  <c r="AD267" i="11"/>
  <c r="Y267" i="11"/>
  <c r="K267" i="11"/>
  <c r="M267" i="11" s="1"/>
  <c r="B267" i="11"/>
  <c r="AD266" i="11"/>
  <c r="Y266" i="11"/>
  <c r="K266" i="11"/>
  <c r="M266" i="11" s="1"/>
  <c r="N266" i="11" s="1"/>
  <c r="B266" i="11"/>
  <c r="AD265" i="11"/>
  <c r="Y265" i="11"/>
  <c r="M265" i="11"/>
  <c r="N265" i="11" s="1"/>
  <c r="K265" i="11"/>
  <c r="B265" i="11"/>
  <c r="AD264" i="11"/>
  <c r="Y264" i="11"/>
  <c r="K264" i="11"/>
  <c r="M264" i="11" s="1"/>
  <c r="B264" i="11"/>
  <c r="AD263" i="11"/>
  <c r="Y263" i="11"/>
  <c r="K263" i="11"/>
  <c r="M263" i="11" s="1"/>
  <c r="B263" i="11"/>
  <c r="AD262" i="11"/>
  <c r="Y262" i="11"/>
  <c r="K262" i="11"/>
  <c r="M262" i="11" s="1"/>
  <c r="N262" i="11" s="1"/>
  <c r="B262" i="11"/>
  <c r="AD261" i="11"/>
  <c r="Y261" i="11"/>
  <c r="K261" i="11"/>
  <c r="M261" i="11" s="1"/>
  <c r="N261" i="11" s="1"/>
  <c r="B261" i="11"/>
  <c r="AD260" i="11"/>
  <c r="Y260" i="11"/>
  <c r="M260" i="11"/>
  <c r="K260" i="11"/>
  <c r="B260" i="11"/>
  <c r="AD259" i="11"/>
  <c r="Y259" i="11"/>
  <c r="K259" i="11"/>
  <c r="M259" i="11" s="1"/>
  <c r="B259" i="11"/>
  <c r="AD258" i="11"/>
  <c r="Y258" i="11"/>
  <c r="K258" i="11"/>
  <c r="M258" i="11" s="1"/>
  <c r="N258" i="11" s="1"/>
  <c r="C258" i="11"/>
  <c r="B258" i="11"/>
  <c r="AD257" i="11"/>
  <c r="Y257" i="11"/>
  <c r="S257" i="11"/>
  <c r="T257" i="11" s="1"/>
  <c r="U257" i="11" s="1"/>
  <c r="B257" i="11" s="1"/>
  <c r="P257" i="11"/>
  <c r="K257" i="11"/>
  <c r="C257" i="11"/>
  <c r="AD256" i="11"/>
  <c r="Y256" i="11"/>
  <c r="P256" i="11"/>
  <c r="K256" i="11"/>
  <c r="C256" i="11"/>
  <c r="AD255" i="11"/>
  <c r="Y255" i="11"/>
  <c r="P255" i="11"/>
  <c r="K255" i="11"/>
  <c r="C255" i="11"/>
  <c r="AD254" i="11"/>
  <c r="Y254" i="11"/>
  <c r="S254" i="11"/>
  <c r="P254" i="11"/>
  <c r="K254" i="11"/>
  <c r="R254" i="11" s="1"/>
  <c r="C254" i="11"/>
  <c r="AD253" i="11"/>
  <c r="Y253" i="11"/>
  <c r="P253" i="11"/>
  <c r="K253" i="11"/>
  <c r="S253" i="11" s="1"/>
  <c r="T253" i="11" s="1"/>
  <c r="U253" i="11" s="1"/>
  <c r="B253" i="11" s="1"/>
  <c r="C253" i="11"/>
  <c r="AD252" i="11"/>
  <c r="Y252" i="11"/>
  <c r="P252" i="11"/>
  <c r="K252" i="11"/>
  <c r="AD251" i="11"/>
  <c r="Y251" i="11"/>
  <c r="K251" i="11"/>
  <c r="M251" i="11" s="1"/>
  <c r="B251" i="11"/>
  <c r="AD250" i="11"/>
  <c r="Y250" i="11"/>
  <c r="K250" i="11"/>
  <c r="M250" i="11" s="1"/>
  <c r="N250" i="11" s="1"/>
  <c r="B250" i="11"/>
  <c r="AD249" i="11"/>
  <c r="Y249" i="11"/>
  <c r="K249" i="11"/>
  <c r="M249" i="11" s="1"/>
  <c r="N249" i="11" s="1"/>
  <c r="B249" i="11"/>
  <c r="AD248" i="11"/>
  <c r="Y248" i="11"/>
  <c r="K248" i="11"/>
  <c r="M248" i="11" s="1"/>
  <c r="B248" i="11"/>
  <c r="AD247" i="11"/>
  <c r="Y247" i="11"/>
  <c r="M247" i="11"/>
  <c r="N247" i="11" s="1"/>
  <c r="K247" i="11"/>
  <c r="B247" i="11"/>
  <c r="AD246" i="11"/>
  <c r="Y246" i="11"/>
  <c r="K246" i="11"/>
  <c r="M246" i="11" s="1"/>
  <c r="N246" i="11" s="1"/>
  <c r="B246" i="11"/>
  <c r="AD245" i="11"/>
  <c r="Y245" i="11"/>
  <c r="K245" i="11"/>
  <c r="M245" i="11" s="1"/>
  <c r="B245" i="11"/>
  <c r="AD244" i="11"/>
  <c r="Y244" i="11"/>
  <c r="K244" i="11"/>
  <c r="M244" i="11" s="1"/>
  <c r="B244" i="11"/>
  <c r="AD243" i="11"/>
  <c r="Y243" i="11"/>
  <c r="M243" i="11"/>
  <c r="N243" i="11" s="1"/>
  <c r="K243" i="11"/>
  <c r="B243" i="11"/>
  <c r="AD242" i="11"/>
  <c r="Y242" i="11"/>
  <c r="M242" i="11"/>
  <c r="N242" i="11" s="1"/>
  <c r="K242" i="11"/>
  <c r="B242" i="11"/>
  <c r="AD241" i="11"/>
  <c r="Y241" i="11"/>
  <c r="K241" i="11"/>
  <c r="M241" i="11" s="1"/>
  <c r="B241" i="11"/>
  <c r="AD240" i="11"/>
  <c r="Y240" i="11"/>
  <c r="K240" i="11"/>
  <c r="M240" i="11" s="1"/>
  <c r="B240" i="11"/>
  <c r="AD239" i="11"/>
  <c r="Y239" i="11"/>
  <c r="M239" i="11"/>
  <c r="N239" i="11" s="1"/>
  <c r="K239" i="11"/>
  <c r="B239" i="11"/>
  <c r="AD238" i="11"/>
  <c r="Y238" i="11"/>
  <c r="K238" i="11"/>
  <c r="M238" i="11" s="1"/>
  <c r="N238" i="11" s="1"/>
  <c r="B238" i="11"/>
  <c r="AD237" i="11"/>
  <c r="Y237" i="11"/>
  <c r="K237" i="11"/>
  <c r="M237" i="11" s="1"/>
  <c r="B237" i="11"/>
  <c r="AD236" i="11"/>
  <c r="Y236" i="11"/>
  <c r="K236" i="11"/>
  <c r="M236" i="11" s="1"/>
  <c r="B236" i="11"/>
  <c r="AD235" i="11"/>
  <c r="Y235" i="11"/>
  <c r="M235" i="11"/>
  <c r="N235" i="11" s="1"/>
  <c r="K235" i="11"/>
  <c r="C235" i="11"/>
  <c r="B235" i="11"/>
  <c r="AD234" i="11"/>
  <c r="Y234" i="11"/>
  <c r="P234" i="11"/>
  <c r="K234" i="11"/>
  <c r="C234" i="11"/>
  <c r="AD233" i="11"/>
  <c r="Y233" i="11"/>
  <c r="P233" i="11"/>
  <c r="K233" i="11"/>
  <c r="C233" i="11"/>
  <c r="AD232" i="11"/>
  <c r="Y232" i="11"/>
  <c r="R232" i="11"/>
  <c r="P232" i="11"/>
  <c r="K232" i="11"/>
  <c r="C232" i="11"/>
  <c r="AD231" i="11"/>
  <c r="Y231" i="11"/>
  <c r="P231" i="11"/>
  <c r="K231" i="11"/>
  <c r="C231" i="11"/>
  <c r="AD230" i="11"/>
  <c r="Y230" i="11"/>
  <c r="R230" i="11"/>
  <c r="P230" i="11"/>
  <c r="K230" i="11"/>
  <c r="C230" i="11"/>
  <c r="AD229" i="11"/>
  <c r="Y229" i="11"/>
  <c r="S229" i="11"/>
  <c r="P229" i="11"/>
  <c r="K229" i="11"/>
  <c r="R229" i="11" s="1"/>
  <c r="C229" i="11"/>
  <c r="AD228" i="11"/>
  <c r="Y228" i="11"/>
  <c r="P228" i="11"/>
  <c r="K228" i="11"/>
  <c r="C228" i="11"/>
  <c r="AD227" i="11"/>
  <c r="Y227" i="11"/>
  <c r="Q227" i="11"/>
  <c r="W227" i="11" s="1"/>
  <c r="P227" i="11"/>
  <c r="K227" i="11"/>
  <c r="AD226" i="11"/>
  <c r="Y226" i="11"/>
  <c r="K226" i="11"/>
  <c r="M226" i="11" s="1"/>
  <c r="B226" i="11"/>
  <c r="AD225" i="11"/>
  <c r="Y225" i="11"/>
  <c r="K225" i="11"/>
  <c r="M225" i="11" s="1"/>
  <c r="N225" i="11" s="1"/>
  <c r="B225" i="11"/>
  <c r="AD224" i="11"/>
  <c r="Y224" i="11"/>
  <c r="K224" i="11"/>
  <c r="M224" i="11" s="1"/>
  <c r="N224" i="11" s="1"/>
  <c r="B224" i="11"/>
  <c r="AD223" i="11"/>
  <c r="Y223" i="11"/>
  <c r="M223" i="11"/>
  <c r="K223" i="11"/>
  <c r="B223" i="11"/>
  <c r="AD222" i="11"/>
  <c r="Y222" i="11"/>
  <c r="K222" i="11"/>
  <c r="M222" i="11" s="1"/>
  <c r="B222" i="11"/>
  <c r="AD221" i="11"/>
  <c r="Y221" i="11"/>
  <c r="K221" i="11"/>
  <c r="M221" i="11" s="1"/>
  <c r="N221" i="11" s="1"/>
  <c r="B221" i="11"/>
  <c r="AD220" i="11"/>
  <c r="Y220" i="11"/>
  <c r="M220" i="11"/>
  <c r="N220" i="11" s="1"/>
  <c r="K220" i="11"/>
  <c r="B220" i="11"/>
  <c r="AD219" i="11"/>
  <c r="Y219" i="11"/>
  <c r="M219" i="11"/>
  <c r="K219" i="11"/>
  <c r="B219" i="11"/>
  <c r="AD218" i="11"/>
  <c r="Y218" i="11"/>
  <c r="K218" i="11"/>
  <c r="M218" i="11" s="1"/>
  <c r="B218" i="11"/>
  <c r="AD217" i="11"/>
  <c r="Y217" i="11"/>
  <c r="K217" i="11"/>
  <c r="M217" i="11" s="1"/>
  <c r="N217" i="11" s="1"/>
  <c r="B217" i="11"/>
  <c r="AD216" i="11"/>
  <c r="Y216" i="11"/>
  <c r="N216" i="11"/>
  <c r="M216" i="11"/>
  <c r="K216" i="11"/>
  <c r="B216" i="11"/>
  <c r="AD215" i="11"/>
  <c r="Y215" i="11"/>
  <c r="K215" i="11"/>
  <c r="M215" i="11" s="1"/>
  <c r="B215" i="11"/>
  <c r="AD214" i="11"/>
  <c r="Y214" i="11"/>
  <c r="K214" i="11"/>
  <c r="M214" i="11" s="1"/>
  <c r="B214" i="11"/>
  <c r="AD213" i="11"/>
  <c r="Y213" i="11"/>
  <c r="M213" i="11"/>
  <c r="N213" i="11" s="1"/>
  <c r="K213" i="11"/>
  <c r="B213" i="11"/>
  <c r="AD212" i="11"/>
  <c r="Y212" i="11"/>
  <c r="K212" i="11"/>
  <c r="M212" i="11" s="1"/>
  <c r="N212" i="11" s="1"/>
  <c r="C212" i="11"/>
  <c r="B212" i="11"/>
  <c r="AD211" i="11"/>
  <c r="Y211" i="11"/>
  <c r="S211" i="11"/>
  <c r="P211" i="11"/>
  <c r="K211" i="11"/>
  <c r="R211" i="11" s="1"/>
  <c r="C211" i="11"/>
  <c r="AD210" i="11"/>
  <c r="Y210" i="11"/>
  <c r="P210" i="11"/>
  <c r="K210" i="11"/>
  <c r="S210" i="11" s="1"/>
  <c r="C210" i="11"/>
  <c r="AD209" i="11"/>
  <c r="Y209" i="11"/>
  <c r="P209" i="11"/>
  <c r="K209" i="11"/>
  <c r="R209" i="11" s="1"/>
  <c r="C209" i="11"/>
  <c r="AD208" i="11"/>
  <c r="Y208" i="11"/>
  <c r="P208" i="11"/>
  <c r="K208" i="11"/>
  <c r="Q208" i="11" s="1"/>
  <c r="C208" i="11"/>
  <c r="AD207" i="11"/>
  <c r="Y207" i="11"/>
  <c r="P207" i="11"/>
  <c r="K207" i="11"/>
  <c r="R207" i="11" s="1"/>
  <c r="C207" i="11"/>
  <c r="AD206" i="11"/>
  <c r="Y206" i="11"/>
  <c r="P206" i="11"/>
  <c r="K206" i="11"/>
  <c r="C206" i="11"/>
  <c r="AD205" i="11"/>
  <c r="Y205" i="11"/>
  <c r="P205" i="11"/>
  <c r="K205" i="11"/>
  <c r="R205" i="11" s="1"/>
  <c r="C205" i="11"/>
  <c r="AD204" i="11"/>
  <c r="Y204" i="11"/>
  <c r="P204" i="11"/>
  <c r="K204" i="11"/>
  <c r="S204" i="11" s="1"/>
  <c r="C204" i="11"/>
  <c r="AD203" i="11"/>
  <c r="Y203" i="11"/>
  <c r="Q203" i="11"/>
  <c r="W203" i="11" s="1"/>
  <c r="P203" i="11"/>
  <c r="K203" i="11"/>
  <c r="AD202" i="11"/>
  <c r="Y202" i="11"/>
  <c r="M202" i="11"/>
  <c r="N202" i="11" s="1"/>
  <c r="K202" i="11"/>
  <c r="B202" i="11"/>
  <c r="AD201" i="11"/>
  <c r="Y201" i="11"/>
  <c r="M201" i="11"/>
  <c r="K201" i="11"/>
  <c r="B201" i="11"/>
  <c r="AD200" i="11"/>
  <c r="Y200" i="11"/>
  <c r="K200" i="11"/>
  <c r="M200" i="11" s="1"/>
  <c r="B200" i="11"/>
  <c r="AD199" i="11"/>
  <c r="Y199" i="11"/>
  <c r="K199" i="11"/>
  <c r="M199" i="11" s="1"/>
  <c r="N199" i="11" s="1"/>
  <c r="B199" i="11"/>
  <c r="AD198" i="11"/>
  <c r="Y198" i="11"/>
  <c r="K198" i="11"/>
  <c r="M198" i="11" s="1"/>
  <c r="B198" i="11"/>
  <c r="AD197" i="11"/>
  <c r="Y197" i="11"/>
  <c r="K197" i="11"/>
  <c r="M197" i="11" s="1"/>
  <c r="B197" i="11"/>
  <c r="AD196" i="11"/>
  <c r="Y196" i="11"/>
  <c r="K196" i="11"/>
  <c r="M196" i="11" s="1"/>
  <c r="N196" i="11" s="1"/>
  <c r="B196" i="11"/>
  <c r="AD195" i="11"/>
  <c r="Y195" i="11"/>
  <c r="M195" i="11"/>
  <c r="N195" i="11" s="1"/>
  <c r="K195" i="11"/>
  <c r="B195" i="11"/>
  <c r="AD194" i="11"/>
  <c r="Y194" i="11"/>
  <c r="K194" i="11"/>
  <c r="M194" i="11" s="1"/>
  <c r="N194" i="11" s="1"/>
  <c r="B194" i="11"/>
  <c r="AD193" i="11"/>
  <c r="Y193" i="11"/>
  <c r="K193" i="11"/>
  <c r="M193" i="11" s="1"/>
  <c r="B193" i="11"/>
  <c r="AD192" i="11"/>
  <c r="Y192" i="11"/>
  <c r="K192" i="11"/>
  <c r="M192" i="11" s="1"/>
  <c r="B192" i="11"/>
  <c r="AD191" i="11"/>
  <c r="Y191" i="11"/>
  <c r="N191" i="11"/>
  <c r="M191" i="11"/>
  <c r="K191" i="11"/>
  <c r="B191" i="11"/>
  <c r="AD190" i="11"/>
  <c r="Y190" i="11"/>
  <c r="K190" i="11"/>
  <c r="M190" i="11" s="1"/>
  <c r="C190" i="11"/>
  <c r="B190" i="11"/>
  <c r="AD189" i="11"/>
  <c r="Y189" i="11"/>
  <c r="S189" i="11"/>
  <c r="T189" i="11" s="1"/>
  <c r="U189" i="11" s="1"/>
  <c r="B189" i="11" s="1"/>
  <c r="P189" i="11"/>
  <c r="M189" i="11"/>
  <c r="K189" i="11"/>
  <c r="R189" i="11" s="1"/>
  <c r="C189" i="11"/>
  <c r="AD188" i="11"/>
  <c r="Y188" i="11"/>
  <c r="S188" i="11"/>
  <c r="T188" i="11" s="1"/>
  <c r="U188" i="11" s="1"/>
  <c r="B188" i="11" s="1"/>
  <c r="P188" i="11"/>
  <c r="K188" i="11"/>
  <c r="C188" i="11"/>
  <c r="AD187" i="11"/>
  <c r="Y187" i="11"/>
  <c r="P187" i="11"/>
  <c r="K187" i="11"/>
  <c r="R187" i="11" s="1"/>
  <c r="C187" i="11"/>
  <c r="AD186" i="11"/>
  <c r="Y186" i="11"/>
  <c r="R186" i="11"/>
  <c r="P186" i="11"/>
  <c r="K186" i="11"/>
  <c r="S186" i="11" s="1"/>
  <c r="C186" i="11"/>
  <c r="AD185" i="11"/>
  <c r="Y185" i="11"/>
  <c r="Q185" i="11"/>
  <c r="W185" i="11" s="1"/>
  <c r="P185" i="11"/>
  <c r="K185" i="11"/>
  <c r="S185" i="11" s="1"/>
  <c r="T185" i="11" s="1"/>
  <c r="U185" i="11" s="1"/>
  <c r="B185" i="11" s="1"/>
  <c r="C185" i="11"/>
  <c r="AD184" i="11"/>
  <c r="Y184" i="11"/>
  <c r="R184" i="11"/>
  <c r="P184" i="11"/>
  <c r="K184" i="11"/>
  <c r="C184" i="11"/>
  <c r="AD183" i="11"/>
  <c r="Y183" i="11"/>
  <c r="S183" i="11"/>
  <c r="T183" i="11" s="1"/>
  <c r="U183" i="11" s="1"/>
  <c r="R183" i="11"/>
  <c r="P183" i="11"/>
  <c r="N183" i="11"/>
  <c r="M183" i="11"/>
  <c r="K183" i="11"/>
  <c r="Q183" i="11" s="1"/>
  <c r="C183" i="11"/>
  <c r="AD182" i="11"/>
  <c r="Y182" i="11"/>
  <c r="Q182" i="11"/>
  <c r="P182" i="11"/>
  <c r="K182" i="11"/>
  <c r="C182" i="11"/>
  <c r="AD181" i="11"/>
  <c r="Y181" i="11"/>
  <c r="S181" i="11"/>
  <c r="T181" i="11" s="1"/>
  <c r="U181" i="11" s="1"/>
  <c r="P181" i="11"/>
  <c r="M181" i="11"/>
  <c r="K181" i="11"/>
  <c r="R181" i="11" s="1"/>
  <c r="C181" i="11"/>
  <c r="AD180" i="11"/>
  <c r="Y180" i="11"/>
  <c r="P180" i="11"/>
  <c r="K180" i="11"/>
  <c r="C180" i="11"/>
  <c r="AD179" i="11"/>
  <c r="Y179" i="11"/>
  <c r="S179" i="11"/>
  <c r="P179" i="11"/>
  <c r="K179" i="11"/>
  <c r="R179" i="11" s="1"/>
  <c r="C179" i="11"/>
  <c r="AD178" i="11"/>
  <c r="Y178" i="11"/>
  <c r="S178" i="11"/>
  <c r="R178" i="11"/>
  <c r="P178" i="11"/>
  <c r="K178" i="11"/>
  <c r="AD177" i="11"/>
  <c r="Y177" i="11"/>
  <c r="K177" i="11"/>
  <c r="M177" i="11" s="1"/>
  <c r="N177" i="11" s="1"/>
  <c r="B177" i="11"/>
  <c r="AD176" i="11"/>
  <c r="Y176" i="11"/>
  <c r="K176" i="11"/>
  <c r="M176" i="11" s="1"/>
  <c r="B176" i="11"/>
  <c r="AD175" i="11"/>
  <c r="Y175" i="11"/>
  <c r="K175" i="11"/>
  <c r="M175" i="11" s="1"/>
  <c r="B175" i="11"/>
  <c r="AD174" i="11"/>
  <c r="Y174" i="11"/>
  <c r="K174" i="11"/>
  <c r="M174" i="11" s="1"/>
  <c r="B174" i="11"/>
  <c r="AD173" i="11"/>
  <c r="Y173" i="11"/>
  <c r="N173" i="11"/>
  <c r="M173" i="11"/>
  <c r="K173" i="11"/>
  <c r="B173" i="11"/>
  <c r="AD172" i="11"/>
  <c r="Y172" i="11"/>
  <c r="K172" i="11"/>
  <c r="M172" i="11" s="1"/>
  <c r="B172" i="11"/>
  <c r="AD171" i="11"/>
  <c r="Y171" i="11"/>
  <c r="K171" i="11"/>
  <c r="M171" i="11" s="1"/>
  <c r="B171" i="11"/>
  <c r="AD170" i="11"/>
  <c r="Y170" i="11"/>
  <c r="K170" i="11"/>
  <c r="M170" i="11" s="1"/>
  <c r="B170" i="11"/>
  <c r="AD169" i="11"/>
  <c r="Y169" i="11"/>
  <c r="M169" i="11"/>
  <c r="N169" i="11" s="1"/>
  <c r="K169" i="11"/>
  <c r="B169" i="11"/>
  <c r="AD168" i="11"/>
  <c r="Y168" i="11"/>
  <c r="M168" i="11"/>
  <c r="K168" i="11"/>
  <c r="B168" i="11"/>
  <c r="AD167" i="11"/>
  <c r="Y167" i="11"/>
  <c r="K167" i="11"/>
  <c r="M167" i="11" s="1"/>
  <c r="B167" i="11"/>
  <c r="AD166" i="11"/>
  <c r="Y166" i="11"/>
  <c r="K166" i="11"/>
  <c r="M166" i="11" s="1"/>
  <c r="C166" i="11"/>
  <c r="B166" i="11"/>
  <c r="AD165" i="11"/>
  <c r="Y165" i="11"/>
  <c r="P165" i="11"/>
  <c r="K165" i="11"/>
  <c r="R165" i="11" s="1"/>
  <c r="C165" i="11"/>
  <c r="AD164" i="11"/>
  <c r="Y164" i="11"/>
  <c r="Q164" i="11"/>
  <c r="W164" i="11" s="1"/>
  <c r="P164" i="11"/>
  <c r="K164" i="11"/>
  <c r="S164" i="11" s="1"/>
  <c r="C164" i="11"/>
  <c r="AD163" i="11"/>
  <c r="Y163" i="11"/>
  <c r="S163" i="11"/>
  <c r="T163" i="11" s="1"/>
  <c r="U163" i="11" s="1"/>
  <c r="B163" i="11" s="1"/>
  <c r="R163" i="11"/>
  <c r="P163" i="11"/>
  <c r="N163" i="11"/>
  <c r="M163" i="11"/>
  <c r="K163" i="11"/>
  <c r="Q163" i="11" s="1"/>
  <c r="W163" i="11" s="1"/>
  <c r="C163" i="11"/>
  <c r="AD162" i="11"/>
  <c r="Y162" i="11"/>
  <c r="P162" i="11"/>
  <c r="K162" i="11"/>
  <c r="C162" i="11"/>
  <c r="AD161" i="11"/>
  <c r="Y161" i="11"/>
  <c r="P161" i="11"/>
  <c r="K161" i="11"/>
  <c r="R161" i="11" s="1"/>
  <c r="C161" i="11"/>
  <c r="AD160" i="11"/>
  <c r="Y160" i="11"/>
  <c r="P160" i="11"/>
  <c r="K160" i="11"/>
  <c r="R160" i="11" s="1"/>
  <c r="C160" i="11"/>
  <c r="AD159" i="11"/>
  <c r="Y159" i="11"/>
  <c r="P159" i="11"/>
  <c r="K159" i="11"/>
  <c r="R159" i="11" s="1"/>
  <c r="C159" i="11"/>
  <c r="AD158" i="11"/>
  <c r="Y158" i="11"/>
  <c r="P158" i="11"/>
  <c r="K158" i="11"/>
  <c r="C158" i="11"/>
  <c r="AD157" i="11"/>
  <c r="Y157" i="11"/>
  <c r="P157" i="11"/>
  <c r="K157" i="11"/>
  <c r="C157" i="11"/>
  <c r="AD156" i="11"/>
  <c r="Y156" i="11"/>
  <c r="P156" i="11"/>
  <c r="K156" i="11"/>
  <c r="C156" i="11"/>
  <c r="AD155" i="11"/>
  <c r="Y155" i="11"/>
  <c r="P155" i="11"/>
  <c r="Q155" i="11" s="1"/>
  <c r="W155" i="11" s="1"/>
  <c r="M155" i="11"/>
  <c r="K155" i="11"/>
  <c r="S155" i="11" s="1"/>
  <c r="C155" i="11"/>
  <c r="AD154" i="11"/>
  <c r="Y154" i="11"/>
  <c r="Q154" i="11"/>
  <c r="W154" i="11" s="1"/>
  <c r="P154" i="11"/>
  <c r="K154" i="11"/>
  <c r="AD153" i="11"/>
  <c r="Y153" i="11"/>
  <c r="K153" i="11"/>
  <c r="M153" i="11" s="1"/>
  <c r="B153" i="11"/>
  <c r="AD152" i="11"/>
  <c r="Y152" i="11"/>
  <c r="K152" i="11"/>
  <c r="M152" i="11" s="1"/>
  <c r="B152" i="11"/>
  <c r="AD151" i="11"/>
  <c r="Y151" i="11"/>
  <c r="N151" i="11"/>
  <c r="K151" i="11"/>
  <c r="M151" i="11" s="1"/>
  <c r="B151" i="11"/>
  <c r="AD150" i="11"/>
  <c r="Y150" i="11"/>
  <c r="M150" i="11"/>
  <c r="N150" i="11" s="1"/>
  <c r="K150" i="11"/>
  <c r="B150" i="11"/>
  <c r="AD149" i="11"/>
  <c r="Y149" i="11"/>
  <c r="K149" i="11"/>
  <c r="M149" i="11" s="1"/>
  <c r="B149" i="11"/>
  <c r="AD148" i="11"/>
  <c r="Y148" i="11"/>
  <c r="K148" i="11"/>
  <c r="M148" i="11" s="1"/>
  <c r="B148" i="11"/>
  <c r="AD147" i="11"/>
  <c r="Y147" i="11"/>
  <c r="K147" i="11"/>
  <c r="M147" i="11" s="1"/>
  <c r="N147" i="11" s="1"/>
  <c r="B147" i="11"/>
  <c r="AD146" i="11"/>
  <c r="Y146" i="11"/>
  <c r="K146" i="11"/>
  <c r="M146" i="11" s="1"/>
  <c r="N146" i="11" s="1"/>
  <c r="B146" i="11"/>
  <c r="AD145" i="11"/>
  <c r="Y145" i="11"/>
  <c r="K145" i="11"/>
  <c r="M145" i="11" s="1"/>
  <c r="B145" i="11"/>
  <c r="AD144" i="11"/>
  <c r="Y144" i="11"/>
  <c r="K144" i="11"/>
  <c r="M144" i="11" s="1"/>
  <c r="B144" i="11"/>
  <c r="AD143" i="11"/>
  <c r="Y143" i="11"/>
  <c r="N143" i="11"/>
  <c r="K143" i="11"/>
  <c r="M143" i="11" s="1"/>
  <c r="B143" i="11"/>
  <c r="AD142" i="11"/>
  <c r="Y142" i="11"/>
  <c r="M142" i="11"/>
  <c r="N142" i="11" s="1"/>
  <c r="K142" i="11"/>
  <c r="B142" i="11"/>
  <c r="AD141" i="11"/>
  <c r="Y141" i="11"/>
  <c r="K141" i="11"/>
  <c r="M141" i="11" s="1"/>
  <c r="C141" i="11"/>
  <c r="B141" i="11"/>
  <c r="AD140" i="11"/>
  <c r="Y140" i="11"/>
  <c r="Q140" i="11"/>
  <c r="W140" i="11" s="1"/>
  <c r="P140" i="11"/>
  <c r="K140" i="11"/>
  <c r="R140" i="11" s="1"/>
  <c r="C140" i="11"/>
  <c r="AD139" i="11"/>
  <c r="Y139" i="11"/>
  <c r="S139" i="11"/>
  <c r="T139" i="11" s="1"/>
  <c r="U139" i="11" s="1"/>
  <c r="B139" i="11" s="1"/>
  <c r="R139" i="11"/>
  <c r="P139" i="11"/>
  <c r="K139" i="11"/>
  <c r="Q139" i="11" s="1"/>
  <c r="W139" i="11" s="1"/>
  <c r="C139" i="11"/>
  <c r="AD138" i="11"/>
  <c r="Y138" i="11"/>
  <c r="P138" i="11"/>
  <c r="K138" i="11"/>
  <c r="S138" i="11" s="1"/>
  <c r="C138" i="11"/>
  <c r="AD137" i="11"/>
  <c r="Y137" i="11"/>
  <c r="S137" i="11"/>
  <c r="T137" i="11" s="1"/>
  <c r="U137" i="11" s="1"/>
  <c r="P137" i="11"/>
  <c r="K137" i="11"/>
  <c r="C137" i="11"/>
  <c r="AD136" i="11"/>
  <c r="Y136" i="11"/>
  <c r="P136" i="11"/>
  <c r="K136" i="11"/>
  <c r="S136" i="11" s="1"/>
  <c r="C136" i="11"/>
  <c r="AD135" i="11"/>
  <c r="Y135" i="11"/>
  <c r="S135" i="11"/>
  <c r="T135" i="11" s="1"/>
  <c r="U135" i="11" s="1"/>
  <c r="P135" i="11"/>
  <c r="K135" i="11"/>
  <c r="C135" i="11"/>
  <c r="AD134" i="11"/>
  <c r="Y134" i="11"/>
  <c r="P134" i="11"/>
  <c r="K134" i="11"/>
  <c r="S134" i="11" s="1"/>
  <c r="T134" i="11" s="1"/>
  <c r="U134" i="11" s="1"/>
  <c r="C134" i="11"/>
  <c r="AD133" i="11"/>
  <c r="Y133" i="11"/>
  <c r="S133" i="11"/>
  <c r="T133" i="11" s="1"/>
  <c r="U133" i="11" s="1"/>
  <c r="P133" i="11"/>
  <c r="K133" i="11"/>
  <c r="C133" i="11"/>
  <c r="AD132" i="11"/>
  <c r="Y132" i="11"/>
  <c r="P132" i="11"/>
  <c r="K132" i="11"/>
  <c r="S132" i="11" s="1"/>
  <c r="C132" i="11"/>
  <c r="AD131" i="11"/>
  <c r="Y131" i="11"/>
  <c r="P131" i="11"/>
  <c r="K131" i="11"/>
  <c r="M131" i="11" s="1"/>
  <c r="C131" i="11"/>
  <c r="AD130" i="11"/>
  <c r="Y130" i="11"/>
  <c r="P130" i="11"/>
  <c r="K130" i="11"/>
  <c r="S130" i="11" s="1"/>
  <c r="T130" i="11" s="1"/>
  <c r="U130" i="11" s="1"/>
  <c r="B130" i="11" s="1"/>
  <c r="AD129" i="11"/>
  <c r="Y129" i="11"/>
  <c r="K129" i="11"/>
  <c r="M129" i="11" s="1"/>
  <c r="B129" i="11"/>
  <c r="AD128" i="11"/>
  <c r="Y128" i="11"/>
  <c r="K128" i="11"/>
  <c r="M128" i="11" s="1"/>
  <c r="B128" i="11"/>
  <c r="AD127" i="11"/>
  <c r="Y127" i="11"/>
  <c r="K127" i="11"/>
  <c r="M127" i="11" s="1"/>
  <c r="N127" i="11" s="1"/>
  <c r="B127" i="11"/>
  <c r="AD126" i="11"/>
  <c r="Y126" i="11"/>
  <c r="K126" i="11"/>
  <c r="M126" i="11" s="1"/>
  <c r="N126" i="11" s="1"/>
  <c r="B126" i="11"/>
  <c r="AD125" i="11"/>
  <c r="Y125" i="11"/>
  <c r="K125" i="11"/>
  <c r="M125" i="11" s="1"/>
  <c r="B125" i="11"/>
  <c r="AD124" i="11"/>
  <c r="Y124" i="11"/>
  <c r="K124" i="11"/>
  <c r="M124" i="11" s="1"/>
  <c r="B124" i="11"/>
  <c r="AD123" i="11"/>
  <c r="Y123" i="11"/>
  <c r="K123" i="11"/>
  <c r="M123" i="11" s="1"/>
  <c r="B123" i="11"/>
  <c r="AD122" i="11"/>
  <c r="Y122" i="11"/>
  <c r="M122" i="11"/>
  <c r="N122" i="11" s="1"/>
  <c r="K122" i="11"/>
  <c r="B122" i="11"/>
  <c r="AD121" i="11"/>
  <c r="Y121" i="11"/>
  <c r="K121" i="11"/>
  <c r="M121" i="11" s="1"/>
  <c r="B121" i="11"/>
  <c r="AD120" i="11"/>
  <c r="Y120" i="11"/>
  <c r="K120" i="11"/>
  <c r="M120" i="11" s="1"/>
  <c r="B120" i="11"/>
  <c r="AD119" i="11"/>
  <c r="Y119" i="11"/>
  <c r="K119" i="11"/>
  <c r="M119" i="11" s="1"/>
  <c r="N119" i="11" s="1"/>
  <c r="B119" i="11"/>
  <c r="AD118" i="11"/>
  <c r="Y118" i="11"/>
  <c r="N118" i="11"/>
  <c r="K118" i="11"/>
  <c r="M118" i="11" s="1"/>
  <c r="B118" i="11"/>
  <c r="AD117" i="11"/>
  <c r="Y117" i="11"/>
  <c r="K117" i="11"/>
  <c r="M117" i="11" s="1"/>
  <c r="C117" i="11"/>
  <c r="B117" i="11"/>
  <c r="AD116" i="11"/>
  <c r="Y116" i="11"/>
  <c r="R116" i="11"/>
  <c r="P116" i="11"/>
  <c r="M116" i="11"/>
  <c r="K116" i="11"/>
  <c r="Q116" i="11" s="1"/>
  <c r="W116" i="11" s="1"/>
  <c r="C116" i="11"/>
  <c r="AD115" i="11"/>
  <c r="Y115" i="11"/>
  <c r="R115" i="11"/>
  <c r="P115" i="11"/>
  <c r="K115" i="11"/>
  <c r="Q115" i="11" s="1"/>
  <c r="W115" i="11" s="1"/>
  <c r="C115" i="11"/>
  <c r="AD114" i="11"/>
  <c r="Y114" i="11"/>
  <c r="P114" i="11"/>
  <c r="K114" i="11"/>
  <c r="C114" i="11"/>
  <c r="AD113" i="11"/>
  <c r="Y113" i="11"/>
  <c r="R113" i="11"/>
  <c r="P113" i="11"/>
  <c r="K113" i="11"/>
  <c r="Q113" i="11" s="1"/>
  <c r="C113" i="11"/>
  <c r="AD112" i="11"/>
  <c r="Y112" i="11"/>
  <c r="P112" i="11"/>
  <c r="K112" i="11"/>
  <c r="C112" i="11"/>
  <c r="AD111" i="11"/>
  <c r="Y111" i="11"/>
  <c r="R111" i="11"/>
  <c r="P111" i="11"/>
  <c r="K111" i="11"/>
  <c r="Q111" i="11" s="1"/>
  <c r="C111" i="11"/>
  <c r="AD110" i="11"/>
  <c r="Y110" i="11"/>
  <c r="P110" i="11"/>
  <c r="K110" i="11"/>
  <c r="C110" i="11"/>
  <c r="AD109" i="11"/>
  <c r="Y109" i="11"/>
  <c r="R109" i="11"/>
  <c r="P109" i="11"/>
  <c r="K109" i="11"/>
  <c r="Q109" i="11" s="1"/>
  <c r="C109" i="11"/>
  <c r="AD108" i="11"/>
  <c r="Y108" i="11"/>
  <c r="P108" i="11"/>
  <c r="K108" i="11"/>
  <c r="C108" i="11"/>
  <c r="AD107" i="11"/>
  <c r="Y107" i="11"/>
  <c r="S107" i="11"/>
  <c r="T107" i="11" s="1"/>
  <c r="U107" i="11" s="1"/>
  <c r="B107" i="11" s="1"/>
  <c r="P107" i="11"/>
  <c r="M107" i="11"/>
  <c r="K107" i="11"/>
  <c r="C107" i="11"/>
  <c r="AD106" i="11"/>
  <c r="Y106" i="11"/>
  <c r="P106" i="11"/>
  <c r="K106" i="11"/>
  <c r="AD105" i="11"/>
  <c r="Y105" i="11"/>
  <c r="M105" i="11"/>
  <c r="K105" i="11"/>
  <c r="B105" i="11"/>
  <c r="AD104" i="11"/>
  <c r="Y104" i="11"/>
  <c r="K104" i="11"/>
  <c r="M104" i="11" s="1"/>
  <c r="B104" i="11"/>
  <c r="AD103" i="11"/>
  <c r="Y103" i="11"/>
  <c r="K103" i="11"/>
  <c r="M103" i="11" s="1"/>
  <c r="N103" i="11" s="1"/>
  <c r="B103" i="11"/>
  <c r="AD102" i="11"/>
  <c r="Y102" i="11"/>
  <c r="M102" i="11"/>
  <c r="K102" i="11"/>
  <c r="B102" i="11"/>
  <c r="AD101" i="11"/>
  <c r="Y101" i="11"/>
  <c r="M101" i="11"/>
  <c r="K101" i="11"/>
  <c r="B101" i="11"/>
  <c r="AD100" i="11"/>
  <c r="Y100" i="11"/>
  <c r="K100" i="11"/>
  <c r="M100" i="11" s="1"/>
  <c r="B100" i="11"/>
  <c r="AD99" i="11"/>
  <c r="Y99" i="11"/>
  <c r="K99" i="11"/>
  <c r="M99" i="11" s="1"/>
  <c r="N99" i="11" s="1"/>
  <c r="B99" i="11"/>
  <c r="AD98" i="11"/>
  <c r="Y98" i="11"/>
  <c r="M98" i="11"/>
  <c r="K98" i="11"/>
  <c r="B98" i="11"/>
  <c r="AD97" i="11"/>
  <c r="Y97" i="11"/>
  <c r="M97" i="11"/>
  <c r="K97" i="11"/>
  <c r="B97" i="11"/>
  <c r="AD96" i="11"/>
  <c r="Y96" i="11"/>
  <c r="K96" i="11"/>
  <c r="M96" i="11" s="1"/>
  <c r="B96" i="11"/>
  <c r="AD95" i="11"/>
  <c r="Y95" i="11"/>
  <c r="K95" i="11"/>
  <c r="M95" i="11" s="1"/>
  <c r="N95" i="11" s="1"/>
  <c r="B95" i="11"/>
  <c r="AD94" i="11"/>
  <c r="Y94" i="11"/>
  <c r="M94" i="11"/>
  <c r="K94" i="11"/>
  <c r="B94" i="11"/>
  <c r="AD93" i="11"/>
  <c r="Y93" i="11"/>
  <c r="M93" i="11"/>
  <c r="K93" i="11"/>
  <c r="C93" i="11"/>
  <c r="B93" i="11"/>
  <c r="AD92" i="11"/>
  <c r="Y92" i="11"/>
  <c r="Q92" i="11"/>
  <c r="W92" i="11" s="1"/>
  <c r="P92" i="11"/>
  <c r="K92" i="11"/>
  <c r="R92" i="11" s="1"/>
  <c r="C92" i="11"/>
  <c r="AD91" i="11"/>
  <c r="Y91" i="11"/>
  <c r="P91" i="11"/>
  <c r="M91" i="11"/>
  <c r="K91" i="11"/>
  <c r="Q91" i="11" s="1"/>
  <c r="W91" i="11" s="1"/>
  <c r="C91" i="11"/>
  <c r="AD90" i="11"/>
  <c r="Y90" i="11"/>
  <c r="S90" i="11"/>
  <c r="T90" i="11" s="1"/>
  <c r="U90" i="11" s="1"/>
  <c r="B90" i="11" s="1"/>
  <c r="P90" i="11"/>
  <c r="K90" i="11"/>
  <c r="C90" i="11"/>
  <c r="AD89" i="11"/>
  <c r="Y89" i="11"/>
  <c r="P89" i="11"/>
  <c r="K89" i="11"/>
  <c r="R89" i="11" s="1"/>
  <c r="C89" i="11"/>
  <c r="AD88" i="11"/>
  <c r="Y88" i="11"/>
  <c r="Q88" i="11"/>
  <c r="P88" i="11"/>
  <c r="K88" i="11"/>
  <c r="C88" i="11"/>
  <c r="AD87" i="11"/>
  <c r="Y87" i="11"/>
  <c r="P87" i="11"/>
  <c r="K87" i="11"/>
  <c r="R87" i="11" s="1"/>
  <c r="C87" i="11"/>
  <c r="AD86" i="11"/>
  <c r="Y86" i="11"/>
  <c r="P86" i="11"/>
  <c r="K86" i="11"/>
  <c r="C86" i="11"/>
  <c r="AD85" i="11"/>
  <c r="Y85" i="11"/>
  <c r="P85" i="11"/>
  <c r="K85" i="11"/>
  <c r="R85" i="11" s="1"/>
  <c r="C85" i="11"/>
  <c r="AD84" i="11"/>
  <c r="Y84" i="11"/>
  <c r="P84" i="11"/>
  <c r="K84" i="11"/>
  <c r="Q84" i="11" s="1"/>
  <c r="C84" i="11"/>
  <c r="AD83" i="11"/>
  <c r="Y83" i="11"/>
  <c r="P83" i="11"/>
  <c r="K83" i="11"/>
  <c r="AD82" i="11"/>
  <c r="Y82" i="11"/>
  <c r="K82" i="11"/>
  <c r="M82" i="11" s="1"/>
  <c r="B82" i="11"/>
  <c r="AD81" i="11"/>
  <c r="Y81" i="11"/>
  <c r="K81" i="11"/>
  <c r="M81" i="11" s="1"/>
  <c r="N81" i="11" s="1"/>
  <c r="B81" i="11"/>
  <c r="AD80" i="11"/>
  <c r="Y80" i="11"/>
  <c r="M80" i="11"/>
  <c r="N80" i="11" s="1"/>
  <c r="K80" i="11"/>
  <c r="B80" i="11"/>
  <c r="AD79" i="11"/>
  <c r="Y79" i="11"/>
  <c r="K79" i="11"/>
  <c r="M79" i="11" s="1"/>
  <c r="N79" i="11" s="1"/>
  <c r="B79" i="11"/>
  <c r="AD78" i="11"/>
  <c r="Y78" i="11"/>
  <c r="K78" i="11"/>
  <c r="M78" i="11" s="1"/>
  <c r="B78" i="11"/>
  <c r="AD77" i="11"/>
  <c r="Y77" i="11"/>
  <c r="K77" i="11"/>
  <c r="M77" i="11" s="1"/>
  <c r="N77" i="11" s="1"/>
  <c r="B77" i="11"/>
  <c r="AD76" i="11"/>
  <c r="Y76" i="11"/>
  <c r="M76" i="11"/>
  <c r="N76" i="11" s="1"/>
  <c r="K76" i="11"/>
  <c r="B76" i="11"/>
  <c r="AD75" i="11"/>
  <c r="Y75" i="11"/>
  <c r="K75" i="11"/>
  <c r="M75" i="11" s="1"/>
  <c r="B75" i="11"/>
  <c r="AD74" i="11"/>
  <c r="Y74" i="11"/>
  <c r="K74" i="11"/>
  <c r="M74" i="11" s="1"/>
  <c r="B74" i="11"/>
  <c r="AD73" i="11"/>
  <c r="Y73" i="11"/>
  <c r="N73" i="11"/>
  <c r="K73" i="11"/>
  <c r="M73" i="11" s="1"/>
  <c r="B73" i="11"/>
  <c r="AD72" i="11"/>
  <c r="Y72" i="11"/>
  <c r="K72" i="11"/>
  <c r="M72" i="11" s="1"/>
  <c r="N72" i="11" s="1"/>
  <c r="B72" i="11"/>
  <c r="AD71" i="11"/>
  <c r="Y71" i="11"/>
  <c r="K71" i="11"/>
  <c r="M71" i="11" s="1"/>
  <c r="N71" i="11" s="1"/>
  <c r="B71" i="11"/>
  <c r="AD70" i="11"/>
  <c r="Y70" i="11"/>
  <c r="K70" i="11"/>
  <c r="M70" i="11" s="1"/>
  <c r="B70" i="11"/>
  <c r="AD69" i="11"/>
  <c r="Y69" i="11"/>
  <c r="K69" i="11"/>
  <c r="M69" i="11" s="1"/>
  <c r="N69" i="11" s="1"/>
  <c r="B69" i="11"/>
  <c r="AD68" i="11"/>
  <c r="Y68" i="11"/>
  <c r="M68" i="11"/>
  <c r="N68" i="11" s="1"/>
  <c r="K68" i="11"/>
  <c r="C68" i="11"/>
  <c r="B68" i="11"/>
  <c r="AD67" i="11"/>
  <c r="Y67" i="11"/>
  <c r="P67" i="11"/>
  <c r="K67" i="11"/>
  <c r="S67" i="11" s="1"/>
  <c r="C67" i="11"/>
  <c r="AD66" i="11"/>
  <c r="Y66" i="11"/>
  <c r="P66" i="11"/>
  <c r="K66" i="11"/>
  <c r="C66" i="11"/>
  <c r="AD65" i="11"/>
  <c r="Y65" i="11"/>
  <c r="P65" i="11"/>
  <c r="K65" i="11"/>
  <c r="R65" i="11" s="1"/>
  <c r="C65" i="11"/>
  <c r="AD64" i="11"/>
  <c r="Y64" i="11"/>
  <c r="P64" i="11"/>
  <c r="K64" i="11"/>
  <c r="Q64" i="11" s="1"/>
  <c r="C64" i="11"/>
  <c r="AD63" i="11"/>
  <c r="Y63" i="11"/>
  <c r="P63" i="11"/>
  <c r="K63" i="11"/>
  <c r="R63" i="11" s="1"/>
  <c r="C63" i="11"/>
  <c r="AD62" i="11"/>
  <c r="Y62" i="11"/>
  <c r="P62" i="11"/>
  <c r="K62" i="11"/>
  <c r="C62" i="11"/>
  <c r="AD61" i="11"/>
  <c r="Y61" i="11"/>
  <c r="P61" i="11"/>
  <c r="K61" i="11"/>
  <c r="R61" i="11" s="1"/>
  <c r="C61" i="11"/>
  <c r="AD60" i="11"/>
  <c r="Y60" i="11"/>
  <c r="P60" i="11"/>
  <c r="K60" i="11"/>
  <c r="C60" i="11"/>
  <c r="AD59" i="11"/>
  <c r="Y59" i="11"/>
  <c r="P59" i="11"/>
  <c r="K59" i="11"/>
  <c r="Q59" i="11" s="1"/>
  <c r="W59" i="11" s="1"/>
  <c r="AC58" i="11"/>
  <c r="AD58" i="11" s="1"/>
  <c r="Y58" i="11"/>
  <c r="K58" i="11"/>
  <c r="M58" i="11" s="1"/>
  <c r="X58" i="11" s="1"/>
  <c r="B58" i="11"/>
  <c r="AD57" i="11"/>
  <c r="AC57" i="11"/>
  <c r="Y57" i="11"/>
  <c r="K57" i="11"/>
  <c r="M57" i="11" s="1"/>
  <c r="B57" i="11"/>
  <c r="AC56" i="11"/>
  <c r="AD56" i="11" s="1"/>
  <c r="Y56" i="11"/>
  <c r="K56" i="11"/>
  <c r="M56" i="11" s="1"/>
  <c r="B56" i="11"/>
  <c r="AC55" i="11"/>
  <c r="AD55" i="11" s="1"/>
  <c r="Y55" i="11"/>
  <c r="M55" i="11"/>
  <c r="N55" i="11" s="1"/>
  <c r="K55" i="11"/>
  <c r="B55" i="11"/>
  <c r="AC54" i="11"/>
  <c r="AD54" i="11" s="1"/>
  <c r="Y54" i="11"/>
  <c r="K54" i="11"/>
  <c r="M54" i="11" s="1"/>
  <c r="B54" i="11"/>
  <c r="AD53" i="11"/>
  <c r="AC53" i="11"/>
  <c r="Y53" i="11"/>
  <c r="K53" i="11"/>
  <c r="M53" i="11" s="1"/>
  <c r="X53" i="11" s="1"/>
  <c r="B53" i="11"/>
  <c r="AC52" i="11"/>
  <c r="AD52" i="11" s="1"/>
  <c r="Y52" i="11"/>
  <c r="K52" i="11"/>
  <c r="M52" i="11" s="1"/>
  <c r="N52" i="11" s="1"/>
  <c r="B52" i="11"/>
  <c r="AC51" i="11"/>
  <c r="AD51" i="11" s="1"/>
  <c r="Y51" i="11"/>
  <c r="K51" i="11"/>
  <c r="M51" i="11" s="1"/>
  <c r="N51" i="11" s="1"/>
  <c r="B51" i="11"/>
  <c r="AC50" i="11"/>
  <c r="AD50" i="11" s="1"/>
  <c r="Y50" i="11"/>
  <c r="K50" i="11"/>
  <c r="M50" i="11" s="1"/>
  <c r="B50" i="11"/>
  <c r="AD49" i="11"/>
  <c r="AC49" i="11"/>
  <c r="Y49" i="11"/>
  <c r="M49" i="11"/>
  <c r="K49" i="11"/>
  <c r="B49" i="11"/>
  <c r="AC48" i="11"/>
  <c r="AD48" i="11" s="1"/>
  <c r="Y48" i="11"/>
  <c r="K48" i="11"/>
  <c r="M48" i="11" s="1"/>
  <c r="B48" i="11"/>
  <c r="AC47" i="11"/>
  <c r="AD47" i="11" s="1"/>
  <c r="Y47" i="11"/>
  <c r="K47" i="11"/>
  <c r="M47" i="11" s="1"/>
  <c r="N47" i="11" s="1"/>
  <c r="B47" i="11"/>
  <c r="AC46" i="11"/>
  <c r="AD46" i="11" s="1"/>
  <c r="Y46" i="11"/>
  <c r="K46" i="11"/>
  <c r="M46" i="11" s="1"/>
  <c r="B46" i="11"/>
  <c r="AD45" i="11"/>
  <c r="AC45" i="11"/>
  <c r="Y45" i="11"/>
  <c r="M45" i="11"/>
  <c r="X45" i="11" s="1"/>
  <c r="K45" i="11"/>
  <c r="B45" i="11"/>
  <c r="AC44" i="11"/>
  <c r="AD44" i="11" s="1"/>
  <c r="Y44" i="11"/>
  <c r="K44" i="11"/>
  <c r="M44" i="11" s="1"/>
  <c r="B44" i="11"/>
  <c r="AC43" i="11"/>
  <c r="AD43" i="11" s="1"/>
  <c r="Y43" i="11"/>
  <c r="K43" i="11"/>
  <c r="M43" i="11" s="1"/>
  <c r="N43" i="11" s="1"/>
  <c r="C43" i="11"/>
  <c r="B43" i="11"/>
  <c r="AD42" i="11"/>
  <c r="Y42" i="11"/>
  <c r="P42" i="11"/>
  <c r="K42" i="11"/>
  <c r="C42" i="11"/>
  <c r="AD41" i="11"/>
  <c r="Y41" i="11"/>
  <c r="Q41" i="11"/>
  <c r="W41" i="11" s="1"/>
  <c r="P41" i="11"/>
  <c r="K41" i="11"/>
  <c r="S41" i="11" s="1"/>
  <c r="C41" i="11"/>
  <c r="AD40" i="11"/>
  <c r="Y40" i="11"/>
  <c r="P40" i="11"/>
  <c r="K40" i="11"/>
  <c r="C40" i="11"/>
  <c r="AD39" i="11"/>
  <c r="Y39" i="11"/>
  <c r="P39" i="11"/>
  <c r="M39" i="11"/>
  <c r="N39" i="11" s="1"/>
  <c r="K39" i="11"/>
  <c r="S39" i="11" s="1"/>
  <c r="T39" i="11" s="1"/>
  <c r="U39" i="11" s="1"/>
  <c r="B39" i="11" s="1"/>
  <c r="C39" i="11"/>
  <c r="AD38" i="11"/>
  <c r="Y38" i="11"/>
  <c r="P38" i="11"/>
  <c r="K38" i="11"/>
  <c r="C38" i="11"/>
  <c r="AD37" i="11"/>
  <c r="Y37" i="11"/>
  <c r="P37" i="11"/>
  <c r="Q37" i="11" s="1"/>
  <c r="W37" i="11" s="1"/>
  <c r="K37" i="11"/>
  <c r="S37" i="11" s="1"/>
  <c r="C37" i="11"/>
  <c r="AD36" i="11"/>
  <c r="Y36" i="11"/>
  <c r="P36" i="11"/>
  <c r="K36" i="11"/>
  <c r="AC35" i="11"/>
  <c r="AD35" i="11" s="1"/>
  <c r="Y35" i="11"/>
  <c r="M35" i="11"/>
  <c r="N35" i="11" s="1"/>
  <c r="K35" i="11"/>
  <c r="B35" i="11"/>
  <c r="AC34" i="11"/>
  <c r="AD34" i="11" s="1"/>
  <c r="Y34" i="11"/>
  <c r="K34" i="11"/>
  <c r="M34" i="11" s="1"/>
  <c r="B34" i="11"/>
  <c r="AD33" i="11"/>
  <c r="AC33" i="11"/>
  <c r="Y33" i="11"/>
  <c r="K33" i="11"/>
  <c r="M33" i="11" s="1"/>
  <c r="X33" i="11" s="1"/>
  <c r="B33" i="11"/>
  <c r="AC32" i="11"/>
  <c r="AD32" i="11" s="1"/>
  <c r="Y32" i="11"/>
  <c r="K32" i="11"/>
  <c r="M32" i="11" s="1"/>
  <c r="B32" i="11"/>
  <c r="AC31" i="11"/>
  <c r="AD31" i="11" s="1"/>
  <c r="Y31" i="11"/>
  <c r="K31" i="11"/>
  <c r="M31" i="11" s="1"/>
  <c r="N31" i="11" s="1"/>
  <c r="B31" i="11"/>
  <c r="AC30" i="11"/>
  <c r="AD30" i="11" s="1"/>
  <c r="Y30" i="11"/>
  <c r="K30" i="11"/>
  <c r="M30" i="11" s="1"/>
  <c r="B30" i="11"/>
  <c r="AD29" i="11"/>
  <c r="AC29" i="11"/>
  <c r="Y29" i="11"/>
  <c r="M29" i="11"/>
  <c r="K29" i="11"/>
  <c r="B29" i="11"/>
  <c r="AC28" i="11"/>
  <c r="AD28" i="11" s="1"/>
  <c r="Y28" i="11"/>
  <c r="K28" i="11"/>
  <c r="M28" i="11" s="1"/>
  <c r="B28" i="11"/>
  <c r="AC27" i="11"/>
  <c r="AD27" i="11" s="1"/>
  <c r="Y27" i="11"/>
  <c r="K27" i="11"/>
  <c r="M27" i="11" s="1"/>
  <c r="N27" i="11" s="1"/>
  <c r="B27" i="11"/>
  <c r="AC26" i="11"/>
  <c r="AD26" i="11" s="1"/>
  <c r="Y26" i="11"/>
  <c r="K26" i="11"/>
  <c r="M26" i="11" s="1"/>
  <c r="B26" i="11"/>
  <c r="AD25" i="11"/>
  <c r="AC25" i="11"/>
  <c r="Y25" i="11"/>
  <c r="K25" i="11"/>
  <c r="M25" i="11" s="1"/>
  <c r="N25" i="11" s="1"/>
  <c r="B25" i="11"/>
  <c r="AC24" i="11"/>
  <c r="AD24" i="11" s="1"/>
  <c r="Y24" i="11"/>
  <c r="N24" i="11"/>
  <c r="K24" i="11"/>
  <c r="M24" i="11" s="1"/>
  <c r="B24" i="11"/>
  <c r="AC23" i="11"/>
  <c r="AD23" i="11" s="1"/>
  <c r="Y23" i="11"/>
  <c r="M23" i="11"/>
  <c r="K23" i="11"/>
  <c r="B23" i="11"/>
  <c r="AC22" i="11"/>
  <c r="AD22" i="11" s="1"/>
  <c r="Y22" i="11"/>
  <c r="N22" i="11"/>
  <c r="K22" i="11"/>
  <c r="M22" i="11" s="1"/>
  <c r="B22" i="11"/>
  <c r="AD21" i="11"/>
  <c r="AC21" i="11"/>
  <c r="Y21" i="11"/>
  <c r="K21" i="11"/>
  <c r="M21" i="11" s="1"/>
  <c r="N21" i="11" s="1"/>
  <c r="B21" i="11"/>
  <c r="AC20" i="11"/>
  <c r="AD20" i="11" s="1"/>
  <c r="Y20" i="11"/>
  <c r="N20" i="11"/>
  <c r="K20" i="11"/>
  <c r="M20" i="11" s="1"/>
  <c r="B20" i="11"/>
  <c r="AD19" i="11"/>
  <c r="AC19" i="11"/>
  <c r="Y19" i="11"/>
  <c r="K19" i="11"/>
  <c r="M19" i="11" s="1"/>
  <c r="C19" i="11"/>
  <c r="B19" i="11"/>
  <c r="AD18" i="11"/>
  <c r="Y18" i="11"/>
  <c r="P18" i="11"/>
  <c r="K18" i="11"/>
  <c r="C18" i="11"/>
  <c r="AD17" i="11"/>
  <c r="Y17" i="11"/>
  <c r="P17" i="11"/>
  <c r="K17" i="11"/>
  <c r="R17" i="11" s="1"/>
  <c r="C17" i="11"/>
  <c r="AD16" i="11"/>
  <c r="Y16" i="11"/>
  <c r="S16" i="11"/>
  <c r="T16" i="11" s="1"/>
  <c r="U16" i="11" s="1"/>
  <c r="B16" i="11" s="1"/>
  <c r="P16" i="11"/>
  <c r="K16" i="11"/>
  <c r="C16" i="11"/>
  <c r="AD15" i="11"/>
  <c r="Y15" i="11"/>
  <c r="P15" i="11"/>
  <c r="K15" i="11"/>
  <c r="R15" i="11" s="1"/>
  <c r="C15" i="11"/>
  <c r="AD14" i="11"/>
  <c r="Y14" i="11"/>
  <c r="P14" i="11"/>
  <c r="K14" i="11"/>
  <c r="S14" i="11" s="1"/>
  <c r="C14" i="11"/>
  <c r="AD13" i="11"/>
  <c r="Y13" i="11"/>
  <c r="S13" i="11"/>
  <c r="R13" i="11"/>
  <c r="P13" i="11"/>
  <c r="N13" i="11"/>
  <c r="M13" i="11"/>
  <c r="K13" i="11"/>
  <c r="Q13" i="11" s="1"/>
  <c r="W13" i="11" s="1"/>
  <c r="C13" i="11"/>
  <c r="AD12" i="11"/>
  <c r="Y12" i="11"/>
  <c r="P12" i="11"/>
  <c r="K12" i="11"/>
  <c r="R12" i="11" s="1"/>
  <c r="AC11" i="11"/>
  <c r="AD11" i="11" s="1"/>
  <c r="Y11" i="11"/>
  <c r="K11" i="11"/>
  <c r="M11" i="11" s="1"/>
  <c r="N11" i="11" s="1"/>
  <c r="B11" i="11"/>
  <c r="AD10" i="11"/>
  <c r="AC10" i="11"/>
  <c r="Y10" i="11"/>
  <c r="K10" i="11"/>
  <c r="M10" i="11" s="1"/>
  <c r="B10" i="11"/>
  <c r="AC9" i="11"/>
  <c r="AD9" i="11" s="1"/>
  <c r="Y9" i="11"/>
  <c r="M9" i="11"/>
  <c r="X9" i="11" s="1"/>
  <c r="K9" i="11"/>
  <c r="B9" i="11"/>
  <c r="AC8" i="11"/>
  <c r="AD8" i="11" s="1"/>
  <c r="Y8" i="11"/>
  <c r="K8" i="11"/>
  <c r="M8" i="11" s="1"/>
  <c r="X8" i="11" s="1"/>
  <c r="B8" i="11"/>
  <c r="AC7" i="11"/>
  <c r="AD7" i="11" s="1"/>
  <c r="Y7" i="11"/>
  <c r="K7" i="11"/>
  <c r="M7" i="11" s="1"/>
  <c r="B7" i="11"/>
  <c r="AC6" i="11"/>
  <c r="AD6" i="11" s="1"/>
  <c r="Y6" i="11"/>
  <c r="K6" i="11"/>
  <c r="M6" i="11" s="1"/>
  <c r="B6" i="11"/>
  <c r="AD5" i="11"/>
  <c r="AC5" i="11"/>
  <c r="Y5" i="11"/>
  <c r="M5" i="11"/>
  <c r="X5" i="11" s="1"/>
  <c r="K5" i="11"/>
  <c r="B5" i="11"/>
  <c r="AD4" i="11"/>
  <c r="Y4" i="11"/>
  <c r="K4" i="11"/>
  <c r="M4" i="11" s="1"/>
  <c r="B4" i="11"/>
  <c r="AD3" i="11"/>
  <c r="Y3" i="11"/>
  <c r="K3" i="11"/>
  <c r="M3" i="11" s="1"/>
  <c r="B3" i="11"/>
  <c r="AD2" i="11"/>
  <c r="AA2" i="11"/>
  <c r="Y2" i="11"/>
  <c r="N2" i="11"/>
  <c r="K2" i="11"/>
  <c r="M2" i="11" s="1"/>
  <c r="D2" i="11"/>
  <c r="B2" i="11" s="1"/>
  <c r="D293" i="10"/>
  <c r="L291" i="10"/>
  <c r="AD289" i="10"/>
  <c r="Y289" i="10"/>
  <c r="K289" i="10"/>
  <c r="M289" i="10" s="1"/>
  <c r="AD288" i="10"/>
  <c r="Y288" i="10"/>
  <c r="K288" i="10"/>
  <c r="M288" i="10" s="1"/>
  <c r="B288" i="10"/>
  <c r="AD287" i="10"/>
  <c r="Y287" i="10"/>
  <c r="K287" i="10"/>
  <c r="M287" i="10" s="1"/>
  <c r="B287" i="10"/>
  <c r="AD286" i="10"/>
  <c r="Y286" i="10"/>
  <c r="M286" i="10"/>
  <c r="N286" i="10" s="1"/>
  <c r="K286" i="10"/>
  <c r="B286" i="10"/>
  <c r="AD285" i="10"/>
  <c r="Y285" i="10"/>
  <c r="K285" i="10"/>
  <c r="M285" i="10" s="1"/>
  <c r="B285" i="10"/>
  <c r="AD284" i="10"/>
  <c r="Y284" i="10"/>
  <c r="K284" i="10"/>
  <c r="M284" i="10" s="1"/>
  <c r="N284" i="10" s="1"/>
  <c r="B284" i="10"/>
  <c r="AD283" i="10"/>
  <c r="Y283" i="10"/>
  <c r="K283" i="10"/>
  <c r="M283" i="10" s="1"/>
  <c r="B283" i="10"/>
  <c r="AD282" i="10"/>
  <c r="Y282" i="10"/>
  <c r="N282" i="10"/>
  <c r="K282" i="10"/>
  <c r="M282" i="10" s="1"/>
  <c r="C282" i="10"/>
  <c r="B282" i="10"/>
  <c r="AD281" i="10"/>
  <c r="Y281" i="10"/>
  <c r="P281" i="10"/>
  <c r="Q281" i="10" s="1"/>
  <c r="W281" i="10" s="1"/>
  <c r="K281" i="10"/>
  <c r="R281" i="10" s="1"/>
  <c r="C281" i="10"/>
  <c r="AD280" i="10"/>
  <c r="Y280" i="10"/>
  <c r="P280" i="10"/>
  <c r="Q280" i="10" s="1"/>
  <c r="K280" i="10"/>
  <c r="R280" i="10" s="1"/>
  <c r="C280" i="10"/>
  <c r="AD279" i="10"/>
  <c r="Y279" i="10"/>
  <c r="Q279" i="10"/>
  <c r="P279" i="10"/>
  <c r="K279" i="10"/>
  <c r="R279" i="10" s="1"/>
  <c r="C279" i="10"/>
  <c r="AD278" i="10"/>
  <c r="Y278" i="10"/>
  <c r="P278" i="10"/>
  <c r="K278" i="10"/>
  <c r="C278" i="10"/>
  <c r="AD277" i="10"/>
  <c r="Y277" i="10"/>
  <c r="P277" i="10"/>
  <c r="K277" i="10"/>
  <c r="C277" i="10"/>
  <c r="AD276" i="10"/>
  <c r="Y276" i="10"/>
  <c r="Q276" i="10"/>
  <c r="W276" i="10" s="1"/>
  <c r="P276" i="10"/>
  <c r="K276" i="10"/>
  <c r="S276" i="10" s="1"/>
  <c r="T276" i="10" s="1"/>
  <c r="U276" i="10" s="1"/>
  <c r="B276" i="10" s="1"/>
  <c r="AD275" i="10"/>
  <c r="Y275" i="10"/>
  <c r="K275" i="10"/>
  <c r="M275" i="10" s="1"/>
  <c r="B275" i="10"/>
  <c r="AD274" i="10"/>
  <c r="Y274" i="10"/>
  <c r="K274" i="10"/>
  <c r="M274" i="10" s="1"/>
  <c r="B274" i="10"/>
  <c r="AD273" i="10"/>
  <c r="Y273" i="10"/>
  <c r="K273" i="10"/>
  <c r="M273" i="10" s="1"/>
  <c r="B273" i="10"/>
  <c r="AD272" i="10"/>
  <c r="Y272" i="10"/>
  <c r="K272" i="10"/>
  <c r="M272" i="10" s="1"/>
  <c r="B272" i="10"/>
  <c r="AD271" i="10"/>
  <c r="Y271" i="10"/>
  <c r="K271" i="10"/>
  <c r="M271" i="10" s="1"/>
  <c r="B271" i="10"/>
  <c r="AD270" i="10"/>
  <c r="Y270" i="10"/>
  <c r="M270" i="10"/>
  <c r="K270" i="10"/>
  <c r="B270" i="10"/>
  <c r="AD269" i="10"/>
  <c r="Y269" i="10"/>
  <c r="K269" i="10"/>
  <c r="M269" i="10" s="1"/>
  <c r="B269" i="10"/>
  <c r="AD268" i="10"/>
  <c r="Y268" i="10"/>
  <c r="K268" i="10"/>
  <c r="M268" i="10" s="1"/>
  <c r="B268" i="10"/>
  <c r="AD267" i="10"/>
  <c r="Y267" i="10"/>
  <c r="K267" i="10"/>
  <c r="M267" i="10" s="1"/>
  <c r="B267" i="10"/>
  <c r="AD266" i="10"/>
  <c r="Y266" i="10"/>
  <c r="K266" i="10"/>
  <c r="M266" i="10" s="1"/>
  <c r="B266" i="10"/>
  <c r="AD265" i="10"/>
  <c r="Y265" i="10"/>
  <c r="K265" i="10"/>
  <c r="M265" i="10" s="1"/>
  <c r="B265" i="10"/>
  <c r="AD264" i="10"/>
  <c r="Y264" i="10"/>
  <c r="K264" i="10"/>
  <c r="M264" i="10" s="1"/>
  <c r="B264" i="10"/>
  <c r="AD263" i="10"/>
  <c r="Y263" i="10"/>
  <c r="K263" i="10"/>
  <c r="M263" i="10" s="1"/>
  <c r="B263" i="10"/>
  <c r="AD262" i="10"/>
  <c r="Y262" i="10"/>
  <c r="M262" i="10"/>
  <c r="K262" i="10"/>
  <c r="B262" i="10"/>
  <c r="AD261" i="10"/>
  <c r="Y261" i="10"/>
  <c r="K261" i="10"/>
  <c r="M261" i="10" s="1"/>
  <c r="B261" i="10"/>
  <c r="AD260" i="10"/>
  <c r="Y260" i="10"/>
  <c r="K260" i="10"/>
  <c r="M260" i="10" s="1"/>
  <c r="B260" i="10"/>
  <c r="AD259" i="10"/>
  <c r="Y259" i="10"/>
  <c r="K259" i="10"/>
  <c r="M259" i="10" s="1"/>
  <c r="B259" i="10"/>
  <c r="AD258" i="10"/>
  <c r="Y258" i="10"/>
  <c r="K258" i="10"/>
  <c r="M258" i="10" s="1"/>
  <c r="C258" i="10"/>
  <c r="B258" i="10"/>
  <c r="AD257" i="10"/>
  <c r="Y257" i="10"/>
  <c r="T257" i="10"/>
  <c r="U257" i="10" s="1"/>
  <c r="B257" i="10" s="1"/>
  <c r="P257" i="10"/>
  <c r="K257" i="10"/>
  <c r="S257" i="10" s="1"/>
  <c r="C257" i="10"/>
  <c r="AD256" i="10"/>
  <c r="Y256" i="10"/>
  <c r="P256" i="10"/>
  <c r="K256" i="10"/>
  <c r="C256" i="10"/>
  <c r="AD255" i="10"/>
  <c r="Y255" i="10"/>
  <c r="Q255" i="10"/>
  <c r="P255" i="10"/>
  <c r="K255" i="10"/>
  <c r="S255" i="10" s="1"/>
  <c r="T255" i="10" s="1"/>
  <c r="U255" i="10" s="1"/>
  <c r="C255" i="10"/>
  <c r="AD254" i="10"/>
  <c r="Y254" i="10"/>
  <c r="T254" i="10"/>
  <c r="U254" i="10" s="1"/>
  <c r="R254" i="10"/>
  <c r="P254" i="10"/>
  <c r="M254" i="10"/>
  <c r="N254" i="10" s="1"/>
  <c r="K254" i="10"/>
  <c r="S254" i="10" s="1"/>
  <c r="C254" i="10"/>
  <c r="AD253" i="10"/>
  <c r="Y253" i="10"/>
  <c r="P253" i="10"/>
  <c r="K253" i="10"/>
  <c r="S253" i="10" s="1"/>
  <c r="T253" i="10" s="1"/>
  <c r="U253" i="10" s="1"/>
  <c r="C253" i="10"/>
  <c r="AD252" i="10"/>
  <c r="Y252" i="10"/>
  <c r="P252" i="10"/>
  <c r="K252" i="10"/>
  <c r="R252" i="10" s="1"/>
  <c r="AD251" i="10"/>
  <c r="Y251" i="10"/>
  <c r="K251" i="10"/>
  <c r="M251" i="10" s="1"/>
  <c r="B251" i="10"/>
  <c r="AD250" i="10"/>
  <c r="Y250" i="10"/>
  <c r="K250" i="10"/>
  <c r="M250" i="10" s="1"/>
  <c r="B250" i="10"/>
  <c r="AD249" i="10"/>
  <c r="Y249" i="10"/>
  <c r="N249" i="10"/>
  <c r="K249" i="10"/>
  <c r="M249" i="10" s="1"/>
  <c r="B249" i="10"/>
  <c r="AD248" i="10"/>
  <c r="Y248" i="10"/>
  <c r="K248" i="10"/>
  <c r="M248" i="10" s="1"/>
  <c r="N248" i="10" s="1"/>
  <c r="B248" i="10"/>
  <c r="AD247" i="10"/>
  <c r="Y247" i="10"/>
  <c r="M247" i="10"/>
  <c r="N247" i="10" s="1"/>
  <c r="K247" i="10"/>
  <c r="B247" i="10"/>
  <c r="AD246" i="10"/>
  <c r="Y246" i="10"/>
  <c r="K246" i="10"/>
  <c r="M246" i="10" s="1"/>
  <c r="B246" i="10"/>
  <c r="AD245" i="10"/>
  <c r="Y245" i="10"/>
  <c r="K245" i="10"/>
  <c r="M245" i="10" s="1"/>
  <c r="B245" i="10"/>
  <c r="AD244" i="10"/>
  <c r="Y244" i="10"/>
  <c r="K244" i="10"/>
  <c r="M244" i="10" s="1"/>
  <c r="B244" i="10"/>
  <c r="AD243" i="10"/>
  <c r="Y243" i="10"/>
  <c r="K243" i="10"/>
  <c r="M243" i="10" s="1"/>
  <c r="B243" i="10"/>
  <c r="AD242" i="10"/>
  <c r="Y242" i="10"/>
  <c r="K242" i="10"/>
  <c r="M242" i="10" s="1"/>
  <c r="B242" i="10"/>
  <c r="AD241" i="10"/>
  <c r="Y241" i="10"/>
  <c r="K241" i="10"/>
  <c r="M241" i="10" s="1"/>
  <c r="N241" i="10" s="1"/>
  <c r="B241" i="10"/>
  <c r="AD240" i="10"/>
  <c r="Y240" i="10"/>
  <c r="M240" i="10"/>
  <c r="K240" i="10"/>
  <c r="B240" i="10"/>
  <c r="AD239" i="10"/>
  <c r="Y239" i="10"/>
  <c r="K239" i="10"/>
  <c r="M239" i="10" s="1"/>
  <c r="B239" i="10"/>
  <c r="AD238" i="10"/>
  <c r="Y238" i="10"/>
  <c r="K238" i="10"/>
  <c r="M238" i="10" s="1"/>
  <c r="N238" i="10" s="1"/>
  <c r="B238" i="10"/>
  <c r="AD237" i="10"/>
  <c r="Y237" i="10"/>
  <c r="K237" i="10"/>
  <c r="M237" i="10" s="1"/>
  <c r="N237" i="10" s="1"/>
  <c r="B237" i="10"/>
  <c r="AD236" i="10"/>
  <c r="Y236" i="10"/>
  <c r="K236" i="10"/>
  <c r="M236" i="10" s="1"/>
  <c r="B236" i="10"/>
  <c r="AD235" i="10"/>
  <c r="Y235" i="10"/>
  <c r="K235" i="10"/>
  <c r="M235" i="10" s="1"/>
  <c r="C235" i="10"/>
  <c r="B235" i="10"/>
  <c r="AD234" i="10"/>
  <c r="Y234" i="10"/>
  <c r="P234" i="10"/>
  <c r="K234" i="10"/>
  <c r="S234" i="10" s="1"/>
  <c r="C234" i="10"/>
  <c r="AD233" i="10"/>
  <c r="Y233" i="10"/>
  <c r="R233" i="10"/>
  <c r="P233" i="10"/>
  <c r="K233" i="10"/>
  <c r="C233" i="10"/>
  <c r="AD232" i="10"/>
  <c r="Y232" i="10"/>
  <c r="S232" i="10"/>
  <c r="T232" i="10" s="1"/>
  <c r="U232" i="10" s="1"/>
  <c r="B232" i="10" s="1"/>
  <c r="Q232" i="10"/>
  <c r="P232" i="10"/>
  <c r="M232" i="10"/>
  <c r="K232" i="10"/>
  <c r="R232" i="10" s="1"/>
  <c r="C232" i="10"/>
  <c r="AD231" i="10"/>
  <c r="Y231" i="10"/>
  <c r="R231" i="10"/>
  <c r="P231" i="10"/>
  <c r="M231" i="10"/>
  <c r="N231" i="10" s="1"/>
  <c r="K231" i="10"/>
  <c r="S231" i="10" s="1"/>
  <c r="C231" i="10"/>
  <c r="AD230" i="10"/>
  <c r="Y230" i="10"/>
  <c r="S230" i="10"/>
  <c r="R230" i="10"/>
  <c r="P230" i="10"/>
  <c r="M230" i="10"/>
  <c r="N230" i="10" s="1"/>
  <c r="K230" i="10"/>
  <c r="C230" i="10"/>
  <c r="AD229" i="10"/>
  <c r="Y229" i="10"/>
  <c r="S229" i="10"/>
  <c r="T229" i="10" s="1"/>
  <c r="U229" i="10" s="1"/>
  <c r="Q229" i="10"/>
  <c r="P229" i="10"/>
  <c r="M229" i="10"/>
  <c r="K229" i="10"/>
  <c r="R229" i="10" s="1"/>
  <c r="C229" i="10"/>
  <c r="AD228" i="10"/>
  <c r="Y228" i="10"/>
  <c r="S228" i="10"/>
  <c r="T228" i="10" s="1"/>
  <c r="U228" i="10" s="1"/>
  <c r="Q228" i="10"/>
  <c r="P228" i="10"/>
  <c r="M228" i="10"/>
  <c r="K228" i="10"/>
  <c r="R228" i="10" s="1"/>
  <c r="C228" i="10"/>
  <c r="AD227" i="10"/>
  <c r="Y227" i="10"/>
  <c r="P227" i="10"/>
  <c r="K227" i="10"/>
  <c r="S227" i="10" s="1"/>
  <c r="T227" i="10" s="1"/>
  <c r="U227" i="10" s="1"/>
  <c r="B227" i="10" s="1"/>
  <c r="AD226" i="10"/>
  <c r="Y226" i="10"/>
  <c r="K226" i="10"/>
  <c r="M226" i="10" s="1"/>
  <c r="N226" i="10" s="1"/>
  <c r="B226" i="10"/>
  <c r="AD225" i="10"/>
  <c r="Y225" i="10"/>
  <c r="N225" i="10"/>
  <c r="K225" i="10"/>
  <c r="M225" i="10" s="1"/>
  <c r="B225" i="10"/>
  <c r="AD224" i="10"/>
  <c r="Y224" i="10"/>
  <c r="M224" i="10"/>
  <c r="K224" i="10"/>
  <c r="B224" i="10"/>
  <c r="AD223" i="10"/>
  <c r="Y223" i="10"/>
  <c r="K223" i="10"/>
  <c r="M223" i="10" s="1"/>
  <c r="N223" i="10" s="1"/>
  <c r="B223" i="10"/>
  <c r="AD222" i="10"/>
  <c r="Y222" i="10"/>
  <c r="M222" i="10"/>
  <c r="N222" i="10" s="1"/>
  <c r="K222" i="10"/>
  <c r="B222" i="10"/>
  <c r="AD221" i="10"/>
  <c r="Y221" i="10"/>
  <c r="K221" i="10"/>
  <c r="M221" i="10" s="1"/>
  <c r="B221" i="10"/>
  <c r="AD220" i="10"/>
  <c r="Y220" i="10"/>
  <c r="K220" i="10"/>
  <c r="M220" i="10" s="1"/>
  <c r="B220" i="10"/>
  <c r="AD219" i="10"/>
  <c r="Y219" i="10"/>
  <c r="K219" i="10"/>
  <c r="M219" i="10" s="1"/>
  <c r="N219" i="10" s="1"/>
  <c r="B219" i="10"/>
  <c r="AD218" i="10"/>
  <c r="Y218" i="10"/>
  <c r="K218" i="10"/>
  <c r="M218" i="10" s="1"/>
  <c r="N218" i="10" s="1"/>
  <c r="B218" i="10"/>
  <c r="AD217" i="10"/>
  <c r="Y217" i="10"/>
  <c r="N217" i="10"/>
  <c r="K217" i="10"/>
  <c r="M217" i="10" s="1"/>
  <c r="B217" i="10"/>
  <c r="AD216" i="10"/>
  <c r="Y216" i="10"/>
  <c r="M216" i="10"/>
  <c r="K216" i="10"/>
  <c r="B216" i="10"/>
  <c r="AD215" i="10"/>
  <c r="Y215" i="10"/>
  <c r="K215" i="10"/>
  <c r="M215" i="10" s="1"/>
  <c r="N215" i="10" s="1"/>
  <c r="B215" i="10"/>
  <c r="AD214" i="10"/>
  <c r="Y214" i="10"/>
  <c r="M214" i="10"/>
  <c r="N214" i="10" s="1"/>
  <c r="K214" i="10"/>
  <c r="B214" i="10"/>
  <c r="AD213" i="10"/>
  <c r="Y213" i="10"/>
  <c r="K213" i="10"/>
  <c r="M213" i="10" s="1"/>
  <c r="B213" i="10"/>
  <c r="AD212" i="10"/>
  <c r="Y212" i="10"/>
  <c r="K212" i="10"/>
  <c r="M212" i="10" s="1"/>
  <c r="C212" i="10"/>
  <c r="B212" i="10"/>
  <c r="AD211" i="10"/>
  <c r="Y211" i="10"/>
  <c r="P211" i="10"/>
  <c r="K211" i="10"/>
  <c r="C211" i="10"/>
  <c r="AD210" i="10"/>
  <c r="Y210" i="10"/>
  <c r="P210" i="10"/>
  <c r="K210" i="10"/>
  <c r="C210" i="10"/>
  <c r="AD209" i="10"/>
  <c r="Y209" i="10"/>
  <c r="P209" i="10"/>
  <c r="K209" i="10"/>
  <c r="C209" i="10"/>
  <c r="AD208" i="10"/>
  <c r="Y208" i="10"/>
  <c r="R208" i="10"/>
  <c r="P208" i="10"/>
  <c r="M208" i="10"/>
  <c r="N208" i="10" s="1"/>
  <c r="K208" i="10"/>
  <c r="S208" i="10" s="1"/>
  <c r="C208" i="10"/>
  <c r="AD207" i="10"/>
  <c r="Y207" i="10"/>
  <c r="P207" i="10"/>
  <c r="K207" i="10"/>
  <c r="Q207" i="10" s="1"/>
  <c r="C207" i="10"/>
  <c r="AD206" i="10"/>
  <c r="Y206" i="10"/>
  <c r="R206" i="10"/>
  <c r="P206" i="10"/>
  <c r="M206" i="10"/>
  <c r="N206" i="10" s="1"/>
  <c r="K206" i="10"/>
  <c r="S206" i="10" s="1"/>
  <c r="C206" i="10"/>
  <c r="AD205" i="10"/>
  <c r="Y205" i="10"/>
  <c r="P205" i="10"/>
  <c r="K205" i="10"/>
  <c r="C205" i="10"/>
  <c r="AD204" i="10"/>
  <c r="Y204" i="10"/>
  <c r="R204" i="10"/>
  <c r="P204" i="10"/>
  <c r="M204" i="10"/>
  <c r="N204" i="10" s="1"/>
  <c r="K204" i="10"/>
  <c r="S204" i="10" s="1"/>
  <c r="C204" i="10"/>
  <c r="AD203" i="10"/>
  <c r="Y203" i="10"/>
  <c r="R203" i="10"/>
  <c r="P203" i="10"/>
  <c r="K203" i="10"/>
  <c r="AD202" i="10"/>
  <c r="Y202" i="10"/>
  <c r="K202" i="10"/>
  <c r="M202" i="10" s="1"/>
  <c r="N202" i="10" s="1"/>
  <c r="B202" i="10"/>
  <c r="AD201" i="10"/>
  <c r="Y201" i="10"/>
  <c r="M201" i="10"/>
  <c r="K201" i="10"/>
  <c r="B201" i="10"/>
  <c r="AD200" i="10"/>
  <c r="Y200" i="10"/>
  <c r="K200" i="10"/>
  <c r="M200" i="10" s="1"/>
  <c r="B200" i="10"/>
  <c r="AD199" i="10"/>
  <c r="Y199" i="10"/>
  <c r="K199" i="10"/>
  <c r="M199" i="10" s="1"/>
  <c r="N199" i="10" s="1"/>
  <c r="B199" i="10"/>
  <c r="AD198" i="10"/>
  <c r="Y198" i="10"/>
  <c r="M198" i="10"/>
  <c r="N198" i="10" s="1"/>
  <c r="K198" i="10"/>
  <c r="B198" i="10"/>
  <c r="AD197" i="10"/>
  <c r="Y197" i="10"/>
  <c r="K197" i="10"/>
  <c r="M197" i="10" s="1"/>
  <c r="B197" i="10"/>
  <c r="AD196" i="10"/>
  <c r="Y196" i="10"/>
  <c r="K196" i="10"/>
  <c r="M196" i="10" s="1"/>
  <c r="B196" i="10"/>
  <c r="AD195" i="10"/>
  <c r="Y195" i="10"/>
  <c r="N195" i="10"/>
  <c r="K195" i="10"/>
  <c r="M195" i="10" s="1"/>
  <c r="B195" i="10"/>
  <c r="AD194" i="10"/>
  <c r="Y194" i="10"/>
  <c r="K194" i="10"/>
  <c r="M194" i="10" s="1"/>
  <c r="N194" i="10" s="1"/>
  <c r="B194" i="10"/>
  <c r="AD193" i="10"/>
  <c r="Y193" i="10"/>
  <c r="M193" i="10"/>
  <c r="K193" i="10"/>
  <c r="B193" i="10"/>
  <c r="AD192" i="10"/>
  <c r="Y192" i="10"/>
  <c r="K192" i="10"/>
  <c r="M192" i="10" s="1"/>
  <c r="B192" i="10"/>
  <c r="AD191" i="10"/>
  <c r="Y191" i="10"/>
  <c r="K191" i="10"/>
  <c r="M191" i="10" s="1"/>
  <c r="B191" i="10"/>
  <c r="AD190" i="10"/>
  <c r="Y190" i="10"/>
  <c r="M190" i="10"/>
  <c r="K190" i="10"/>
  <c r="C190" i="10"/>
  <c r="B190" i="10"/>
  <c r="AD189" i="10"/>
  <c r="Y189" i="10"/>
  <c r="P189" i="10"/>
  <c r="K189" i="10"/>
  <c r="S189" i="10" s="1"/>
  <c r="T189" i="10" s="1"/>
  <c r="U189" i="10" s="1"/>
  <c r="B189" i="10" s="1"/>
  <c r="C189" i="10"/>
  <c r="AD188" i="10"/>
  <c r="Y188" i="10"/>
  <c r="S188" i="10"/>
  <c r="T188" i="10" s="1"/>
  <c r="U188" i="10" s="1"/>
  <c r="B188" i="10" s="1"/>
  <c r="P188" i="10"/>
  <c r="K188" i="10"/>
  <c r="C188" i="10"/>
  <c r="AD187" i="10"/>
  <c r="Y187" i="10"/>
  <c r="P187" i="10"/>
  <c r="K187" i="10"/>
  <c r="R187" i="10" s="1"/>
  <c r="C187" i="10"/>
  <c r="AD186" i="10"/>
  <c r="Y186" i="10"/>
  <c r="R186" i="10"/>
  <c r="P186" i="10"/>
  <c r="K186" i="10"/>
  <c r="C186" i="10"/>
  <c r="AD185" i="10"/>
  <c r="Y185" i="10"/>
  <c r="S185" i="10"/>
  <c r="T185" i="10" s="1"/>
  <c r="U185" i="10" s="1"/>
  <c r="Q185" i="10"/>
  <c r="P185" i="10"/>
  <c r="M185" i="10"/>
  <c r="K185" i="10"/>
  <c r="R185" i="10" s="1"/>
  <c r="C185" i="10"/>
  <c r="AD184" i="10"/>
  <c r="Y184" i="10"/>
  <c r="R184" i="10"/>
  <c r="P184" i="10"/>
  <c r="M184" i="10"/>
  <c r="K184" i="10"/>
  <c r="Q184" i="10" s="1"/>
  <c r="C184" i="10"/>
  <c r="AD183" i="10"/>
  <c r="Y183" i="10"/>
  <c r="S183" i="10"/>
  <c r="T183" i="10" s="1"/>
  <c r="U183" i="10" s="1"/>
  <c r="Q183" i="10"/>
  <c r="P183" i="10"/>
  <c r="M183" i="10"/>
  <c r="K183" i="10"/>
  <c r="R183" i="10" s="1"/>
  <c r="C183" i="10"/>
  <c r="AD182" i="10"/>
  <c r="Y182" i="10"/>
  <c r="P182" i="10"/>
  <c r="K182" i="10"/>
  <c r="C182" i="10"/>
  <c r="AD181" i="10"/>
  <c r="Y181" i="10"/>
  <c r="S181" i="10"/>
  <c r="T181" i="10" s="1"/>
  <c r="U181" i="10" s="1"/>
  <c r="B181" i="10" s="1"/>
  <c r="Q181" i="10"/>
  <c r="P181" i="10"/>
  <c r="M181" i="10"/>
  <c r="K181" i="10"/>
  <c r="R181" i="10" s="1"/>
  <c r="C181" i="10"/>
  <c r="AD180" i="10"/>
  <c r="Y180" i="10"/>
  <c r="R180" i="10"/>
  <c r="P180" i="10"/>
  <c r="M180" i="10"/>
  <c r="K180" i="10"/>
  <c r="Q180" i="10" s="1"/>
  <c r="C180" i="10"/>
  <c r="AD179" i="10"/>
  <c r="Y179" i="10"/>
  <c r="P179" i="10"/>
  <c r="K179" i="10"/>
  <c r="S179" i="10" s="1"/>
  <c r="C179" i="10"/>
  <c r="AD178" i="10"/>
  <c r="Y178" i="10"/>
  <c r="Q178" i="10"/>
  <c r="W178" i="10" s="1"/>
  <c r="P178" i="10"/>
  <c r="M178" i="10"/>
  <c r="K178" i="10"/>
  <c r="R178" i="10" s="1"/>
  <c r="AD177" i="10"/>
  <c r="Y177" i="10"/>
  <c r="K177" i="10"/>
  <c r="M177" i="10" s="1"/>
  <c r="B177" i="10"/>
  <c r="AD176" i="10"/>
  <c r="Y176" i="10"/>
  <c r="M176" i="10"/>
  <c r="K176" i="10"/>
  <c r="B176" i="10"/>
  <c r="AD175" i="10"/>
  <c r="Y175" i="10"/>
  <c r="K175" i="10"/>
  <c r="M175" i="10" s="1"/>
  <c r="B175" i="10"/>
  <c r="AD174" i="10"/>
  <c r="Y174" i="10"/>
  <c r="K174" i="10"/>
  <c r="M174" i="10" s="1"/>
  <c r="B174" i="10"/>
  <c r="AD173" i="10"/>
  <c r="Y173" i="10"/>
  <c r="K173" i="10"/>
  <c r="M173" i="10" s="1"/>
  <c r="B173" i="10"/>
  <c r="AD172" i="10"/>
  <c r="Y172" i="10"/>
  <c r="K172" i="10"/>
  <c r="M172" i="10" s="1"/>
  <c r="B172" i="10"/>
  <c r="AD171" i="10"/>
  <c r="Y171" i="10"/>
  <c r="K171" i="10"/>
  <c r="M171" i="10" s="1"/>
  <c r="B171" i="10"/>
  <c r="AD170" i="10"/>
  <c r="Y170" i="10"/>
  <c r="M170" i="10"/>
  <c r="K170" i="10"/>
  <c r="B170" i="10"/>
  <c r="AD169" i="10"/>
  <c r="Y169" i="10"/>
  <c r="K169" i="10"/>
  <c r="M169" i="10" s="1"/>
  <c r="B169" i="10"/>
  <c r="AD168" i="10"/>
  <c r="Y168" i="10"/>
  <c r="M168" i="10"/>
  <c r="K168" i="10"/>
  <c r="B168" i="10"/>
  <c r="AD167" i="10"/>
  <c r="Y167" i="10"/>
  <c r="K167" i="10"/>
  <c r="M167" i="10" s="1"/>
  <c r="B167" i="10"/>
  <c r="AD166" i="10"/>
  <c r="Y166" i="10"/>
  <c r="K166" i="10"/>
  <c r="M166" i="10" s="1"/>
  <c r="C166" i="10"/>
  <c r="B166" i="10"/>
  <c r="AD165" i="10"/>
  <c r="Y165" i="10"/>
  <c r="R165" i="10"/>
  <c r="P165" i="10"/>
  <c r="K165" i="10"/>
  <c r="C165" i="10"/>
  <c r="AD164" i="10"/>
  <c r="Y164" i="10"/>
  <c r="Q164" i="10"/>
  <c r="W164" i="10" s="1"/>
  <c r="P164" i="10"/>
  <c r="K164" i="10"/>
  <c r="R164" i="10" s="1"/>
  <c r="C164" i="10"/>
  <c r="AD163" i="10"/>
  <c r="Y163" i="10"/>
  <c r="P163" i="10"/>
  <c r="K163" i="10"/>
  <c r="S163" i="10" s="1"/>
  <c r="C163" i="10"/>
  <c r="AD162" i="10"/>
  <c r="Y162" i="10"/>
  <c r="Q162" i="10"/>
  <c r="W162" i="10" s="1"/>
  <c r="P162" i="10"/>
  <c r="M162" i="10"/>
  <c r="K162" i="10"/>
  <c r="R162" i="10" s="1"/>
  <c r="C162" i="10"/>
  <c r="AD161" i="10"/>
  <c r="Y161" i="10"/>
  <c r="Q161" i="10"/>
  <c r="P161" i="10"/>
  <c r="M161" i="10"/>
  <c r="K161" i="10"/>
  <c r="R161" i="10" s="1"/>
  <c r="C161" i="10"/>
  <c r="AD160" i="10"/>
  <c r="Y160" i="10"/>
  <c r="Q160" i="10"/>
  <c r="P160" i="10"/>
  <c r="M160" i="10"/>
  <c r="K160" i="10"/>
  <c r="R160" i="10" s="1"/>
  <c r="C160" i="10"/>
  <c r="AD159" i="10"/>
  <c r="Y159" i="10"/>
  <c r="Q159" i="10"/>
  <c r="P159" i="10"/>
  <c r="M159" i="10"/>
  <c r="K159" i="10"/>
  <c r="R159" i="10" s="1"/>
  <c r="C159" i="10"/>
  <c r="AD158" i="10"/>
  <c r="Y158" i="10"/>
  <c r="Q158" i="10"/>
  <c r="P158" i="10"/>
  <c r="M158" i="10"/>
  <c r="K158" i="10"/>
  <c r="R158" i="10" s="1"/>
  <c r="C158" i="10"/>
  <c r="AD157" i="10"/>
  <c r="Y157" i="10"/>
  <c r="Q157" i="10"/>
  <c r="P157" i="10"/>
  <c r="M157" i="10"/>
  <c r="K157" i="10"/>
  <c r="R157" i="10" s="1"/>
  <c r="C157" i="10"/>
  <c r="AD156" i="10"/>
  <c r="Y156" i="10"/>
  <c r="Q156" i="10"/>
  <c r="P156" i="10"/>
  <c r="M156" i="10"/>
  <c r="K156" i="10"/>
  <c r="R156" i="10" s="1"/>
  <c r="C156" i="10"/>
  <c r="AD155" i="10"/>
  <c r="Y155" i="10"/>
  <c r="Q155" i="10"/>
  <c r="P155" i="10"/>
  <c r="M155" i="10"/>
  <c r="K155" i="10"/>
  <c r="R155" i="10" s="1"/>
  <c r="C155" i="10"/>
  <c r="AD154" i="10"/>
  <c r="Y154" i="10"/>
  <c r="P154" i="10"/>
  <c r="K154" i="10"/>
  <c r="R154" i="10" s="1"/>
  <c r="AD153" i="10"/>
  <c r="Y153" i="10"/>
  <c r="K153" i="10"/>
  <c r="M153" i="10" s="1"/>
  <c r="B153" i="10"/>
  <c r="AD152" i="10"/>
  <c r="Y152" i="10"/>
  <c r="K152" i="10"/>
  <c r="M152" i="10" s="1"/>
  <c r="B152" i="10"/>
  <c r="AD151" i="10"/>
  <c r="Y151" i="10"/>
  <c r="M151" i="10"/>
  <c r="K151" i="10"/>
  <c r="B151" i="10"/>
  <c r="AD150" i="10"/>
  <c r="Y150" i="10"/>
  <c r="K150" i="10"/>
  <c r="M150" i="10" s="1"/>
  <c r="B150" i="10"/>
  <c r="AD149" i="10"/>
  <c r="Y149" i="10"/>
  <c r="K149" i="10"/>
  <c r="M149" i="10" s="1"/>
  <c r="B149" i="10"/>
  <c r="AD148" i="10"/>
  <c r="Y148" i="10"/>
  <c r="K148" i="10"/>
  <c r="M148" i="10" s="1"/>
  <c r="B148" i="10"/>
  <c r="AD147" i="10"/>
  <c r="Y147" i="10"/>
  <c r="K147" i="10"/>
  <c r="M147" i="10" s="1"/>
  <c r="B147" i="10"/>
  <c r="AD146" i="10"/>
  <c r="Y146" i="10"/>
  <c r="K146" i="10"/>
  <c r="M146" i="10" s="1"/>
  <c r="B146" i="10"/>
  <c r="AD145" i="10"/>
  <c r="Y145" i="10"/>
  <c r="M145" i="10"/>
  <c r="K145" i="10"/>
  <c r="B145" i="10"/>
  <c r="AD144" i="10"/>
  <c r="Y144" i="10"/>
  <c r="K144" i="10"/>
  <c r="M144" i="10" s="1"/>
  <c r="B144" i="10"/>
  <c r="AD143" i="10"/>
  <c r="Y143" i="10"/>
  <c r="M143" i="10"/>
  <c r="K143" i="10"/>
  <c r="B143" i="10"/>
  <c r="AD142" i="10"/>
  <c r="Y142" i="10"/>
  <c r="K142" i="10"/>
  <c r="M142" i="10" s="1"/>
  <c r="B142" i="10"/>
  <c r="AD141" i="10"/>
  <c r="Y141" i="10"/>
  <c r="K141" i="10"/>
  <c r="M141" i="10" s="1"/>
  <c r="C141" i="10"/>
  <c r="B141" i="10"/>
  <c r="AD140" i="10"/>
  <c r="Y140" i="10"/>
  <c r="P140" i="10"/>
  <c r="K140" i="10"/>
  <c r="C140" i="10"/>
  <c r="AD139" i="10"/>
  <c r="Y139" i="10"/>
  <c r="S139" i="10"/>
  <c r="P139" i="10"/>
  <c r="Q139" i="10" s="1"/>
  <c r="W139" i="10" s="1"/>
  <c r="M139" i="10"/>
  <c r="K139" i="10"/>
  <c r="R139" i="10" s="1"/>
  <c r="C139" i="10"/>
  <c r="AD138" i="10"/>
  <c r="Y138" i="10"/>
  <c r="P138" i="10"/>
  <c r="K138" i="10"/>
  <c r="S138" i="10" s="1"/>
  <c r="C138" i="10"/>
  <c r="AD137" i="10"/>
  <c r="Y137" i="10"/>
  <c r="S137" i="10"/>
  <c r="P137" i="10"/>
  <c r="K137" i="10"/>
  <c r="C137" i="10"/>
  <c r="AD136" i="10"/>
  <c r="Y136" i="10"/>
  <c r="P136" i="10"/>
  <c r="K136" i="10"/>
  <c r="C136" i="10"/>
  <c r="AD135" i="10"/>
  <c r="Y135" i="10"/>
  <c r="R135" i="10"/>
  <c r="P135" i="10"/>
  <c r="K135" i="10"/>
  <c r="S135" i="10" s="1"/>
  <c r="C135" i="10"/>
  <c r="AD134" i="10"/>
  <c r="Y134" i="10"/>
  <c r="P134" i="10"/>
  <c r="K134" i="10"/>
  <c r="C134" i="10"/>
  <c r="AD133" i="10"/>
  <c r="Y133" i="10"/>
  <c r="R133" i="10"/>
  <c r="P133" i="10"/>
  <c r="K133" i="10"/>
  <c r="S133" i="10" s="1"/>
  <c r="C133" i="10"/>
  <c r="AD132" i="10"/>
  <c r="Y132" i="10"/>
  <c r="P132" i="10"/>
  <c r="K132" i="10"/>
  <c r="C132" i="10"/>
  <c r="AD131" i="10"/>
  <c r="Y131" i="10"/>
  <c r="R131" i="10"/>
  <c r="P131" i="10"/>
  <c r="K131" i="10"/>
  <c r="S131" i="10" s="1"/>
  <c r="C131" i="10"/>
  <c r="AD130" i="10"/>
  <c r="Y130" i="10"/>
  <c r="Q130" i="10"/>
  <c r="W130" i="10" s="1"/>
  <c r="P130" i="10"/>
  <c r="M130" i="10"/>
  <c r="K130" i="10"/>
  <c r="R130" i="10" s="1"/>
  <c r="AD129" i="10"/>
  <c r="Y129" i="10"/>
  <c r="K129" i="10"/>
  <c r="M129" i="10" s="1"/>
  <c r="B129" i="10"/>
  <c r="AD128" i="10"/>
  <c r="Y128" i="10"/>
  <c r="M128" i="10"/>
  <c r="K128" i="10"/>
  <c r="B128" i="10"/>
  <c r="AD127" i="10"/>
  <c r="Y127" i="10"/>
  <c r="K127" i="10"/>
  <c r="M127" i="10" s="1"/>
  <c r="B127" i="10"/>
  <c r="AD126" i="10"/>
  <c r="Y126" i="10"/>
  <c r="K126" i="10"/>
  <c r="M126" i="10" s="1"/>
  <c r="B126" i="10"/>
  <c r="AD125" i="10"/>
  <c r="Y125" i="10"/>
  <c r="K125" i="10"/>
  <c r="M125" i="10" s="1"/>
  <c r="B125" i="10"/>
  <c r="AD124" i="10"/>
  <c r="Y124" i="10"/>
  <c r="K124" i="10"/>
  <c r="M124" i="10" s="1"/>
  <c r="B124" i="10"/>
  <c r="AD123" i="10"/>
  <c r="Y123" i="10"/>
  <c r="K123" i="10"/>
  <c r="M123" i="10" s="1"/>
  <c r="B123" i="10"/>
  <c r="AD122" i="10"/>
  <c r="Y122" i="10"/>
  <c r="M122" i="10"/>
  <c r="K122" i="10"/>
  <c r="B122" i="10"/>
  <c r="AD121" i="10"/>
  <c r="Y121" i="10"/>
  <c r="K121" i="10"/>
  <c r="M121" i="10" s="1"/>
  <c r="B121" i="10"/>
  <c r="AD120" i="10"/>
  <c r="Y120" i="10"/>
  <c r="M120" i="10"/>
  <c r="K120" i="10"/>
  <c r="B120" i="10"/>
  <c r="AD119" i="10"/>
  <c r="Y119" i="10"/>
  <c r="K119" i="10"/>
  <c r="M119" i="10" s="1"/>
  <c r="B119" i="10"/>
  <c r="AD118" i="10"/>
  <c r="Y118" i="10"/>
  <c r="K118" i="10"/>
  <c r="M118" i="10" s="1"/>
  <c r="B118" i="10"/>
  <c r="AD117" i="10"/>
  <c r="Y117" i="10"/>
  <c r="K117" i="10"/>
  <c r="M117" i="10" s="1"/>
  <c r="C117" i="10"/>
  <c r="B117" i="10"/>
  <c r="AD116" i="10"/>
  <c r="Y116" i="10"/>
  <c r="Q116" i="10"/>
  <c r="W116" i="10" s="1"/>
  <c r="P116" i="10"/>
  <c r="M116" i="10"/>
  <c r="K116" i="10"/>
  <c r="R116" i="10" s="1"/>
  <c r="C116" i="10"/>
  <c r="AD115" i="10"/>
  <c r="Y115" i="10"/>
  <c r="P115" i="10"/>
  <c r="K115" i="10"/>
  <c r="R115" i="10" s="1"/>
  <c r="C115" i="10"/>
  <c r="AD114" i="10"/>
  <c r="Y114" i="10"/>
  <c r="P114" i="10"/>
  <c r="K114" i="10"/>
  <c r="R114" i="10" s="1"/>
  <c r="C114" i="10"/>
  <c r="AD113" i="10"/>
  <c r="Y113" i="10"/>
  <c r="P113" i="10"/>
  <c r="K113" i="10"/>
  <c r="R113" i="10" s="1"/>
  <c r="C113" i="10"/>
  <c r="AD112" i="10"/>
  <c r="Y112" i="10"/>
  <c r="P112" i="10"/>
  <c r="K112" i="10"/>
  <c r="R112" i="10" s="1"/>
  <c r="C112" i="10"/>
  <c r="AD111" i="10"/>
  <c r="Y111" i="10"/>
  <c r="P111" i="10"/>
  <c r="K111" i="10"/>
  <c r="R111" i="10" s="1"/>
  <c r="C111" i="10"/>
  <c r="AD110" i="10"/>
  <c r="Y110" i="10"/>
  <c r="P110" i="10"/>
  <c r="K110" i="10"/>
  <c r="R110" i="10" s="1"/>
  <c r="C110" i="10"/>
  <c r="AD109" i="10"/>
  <c r="Y109" i="10"/>
  <c r="P109" i="10"/>
  <c r="K109" i="10"/>
  <c r="R109" i="10" s="1"/>
  <c r="C109" i="10"/>
  <c r="AD108" i="10"/>
  <c r="Y108" i="10"/>
  <c r="P108" i="10"/>
  <c r="K108" i="10"/>
  <c r="R108" i="10" s="1"/>
  <c r="C108" i="10"/>
  <c r="AD107" i="10"/>
  <c r="Y107" i="10"/>
  <c r="P107" i="10"/>
  <c r="K107" i="10"/>
  <c r="R107" i="10" s="1"/>
  <c r="C107" i="10"/>
  <c r="AD106" i="10"/>
  <c r="Y106" i="10"/>
  <c r="Q106" i="10"/>
  <c r="W106" i="10" s="1"/>
  <c r="P106" i="10"/>
  <c r="M106" i="10"/>
  <c r="N106" i="10" s="1"/>
  <c r="K106" i="10"/>
  <c r="S106" i="10" s="1"/>
  <c r="T106" i="10" s="1"/>
  <c r="U106" i="10" s="1"/>
  <c r="B106" i="10" s="1"/>
  <c r="AD105" i="10"/>
  <c r="Y105" i="10"/>
  <c r="K105" i="10"/>
  <c r="M105" i="10" s="1"/>
  <c r="B105" i="10"/>
  <c r="AD104" i="10"/>
  <c r="Y104" i="10"/>
  <c r="K104" i="10"/>
  <c r="M104" i="10" s="1"/>
  <c r="N104" i="10" s="1"/>
  <c r="B104" i="10"/>
  <c r="AD103" i="10"/>
  <c r="Y103" i="10"/>
  <c r="N103" i="10"/>
  <c r="K103" i="10"/>
  <c r="M103" i="10" s="1"/>
  <c r="B103" i="10"/>
  <c r="AD102" i="10"/>
  <c r="Y102" i="10"/>
  <c r="K102" i="10"/>
  <c r="M102" i="10" s="1"/>
  <c r="B102" i="10"/>
  <c r="AD101" i="10"/>
  <c r="Y101" i="10"/>
  <c r="K101" i="10"/>
  <c r="M101" i="10" s="1"/>
  <c r="B101" i="10"/>
  <c r="AD100" i="10"/>
  <c r="Y100" i="10"/>
  <c r="N100" i="10"/>
  <c r="M100" i="10"/>
  <c r="K100" i="10"/>
  <c r="B100" i="10"/>
  <c r="AD99" i="10"/>
  <c r="Y99" i="10"/>
  <c r="M99" i="10"/>
  <c r="N99" i="10" s="1"/>
  <c r="K99" i="10"/>
  <c r="B99" i="10"/>
  <c r="AD98" i="10"/>
  <c r="Y98" i="10"/>
  <c r="K98" i="10"/>
  <c r="M98" i="10" s="1"/>
  <c r="B98" i="10"/>
  <c r="AD97" i="10"/>
  <c r="Y97" i="10"/>
  <c r="K97" i="10"/>
  <c r="M97" i="10" s="1"/>
  <c r="B97" i="10"/>
  <c r="AD96" i="10"/>
  <c r="Y96" i="10"/>
  <c r="N96" i="10"/>
  <c r="K96" i="10"/>
  <c r="M96" i="10" s="1"/>
  <c r="B96" i="10"/>
  <c r="AD95" i="10"/>
  <c r="Y95" i="10"/>
  <c r="M95" i="10"/>
  <c r="N95" i="10" s="1"/>
  <c r="K95" i="10"/>
  <c r="B95" i="10"/>
  <c r="AD94" i="10"/>
  <c r="Y94" i="10"/>
  <c r="M94" i="10"/>
  <c r="K94" i="10"/>
  <c r="B94" i="10"/>
  <c r="AD93" i="10"/>
  <c r="Y93" i="10"/>
  <c r="K93" i="10"/>
  <c r="M93" i="10" s="1"/>
  <c r="C93" i="10"/>
  <c r="B93" i="10"/>
  <c r="AD92" i="10"/>
  <c r="Y92" i="10"/>
  <c r="P92" i="10"/>
  <c r="Q92" i="10" s="1"/>
  <c r="W92" i="10" s="1"/>
  <c r="M92" i="10"/>
  <c r="N92" i="10" s="1"/>
  <c r="K92" i="10"/>
  <c r="S92" i="10" s="1"/>
  <c r="C92" i="10"/>
  <c r="AD91" i="10"/>
  <c r="Y91" i="10"/>
  <c r="P91" i="10"/>
  <c r="K91" i="10"/>
  <c r="C91" i="10"/>
  <c r="AD90" i="10"/>
  <c r="Y90" i="10"/>
  <c r="P90" i="10"/>
  <c r="K90" i="10"/>
  <c r="S90" i="10" s="1"/>
  <c r="T90" i="10" s="1"/>
  <c r="U90" i="10" s="1"/>
  <c r="B90" i="10" s="1"/>
  <c r="C90" i="10"/>
  <c r="AD89" i="10"/>
  <c r="Y89" i="10"/>
  <c r="P89" i="10"/>
  <c r="K89" i="10"/>
  <c r="Q89" i="10" s="1"/>
  <c r="W89" i="10" s="1"/>
  <c r="C89" i="10"/>
  <c r="AD88" i="10"/>
  <c r="Y88" i="10"/>
  <c r="P88" i="10"/>
  <c r="K88" i="10"/>
  <c r="Q88" i="10" s="1"/>
  <c r="C88" i="10"/>
  <c r="AD87" i="10"/>
  <c r="Y87" i="10"/>
  <c r="S87" i="10"/>
  <c r="T87" i="10" s="1"/>
  <c r="U87" i="10" s="1"/>
  <c r="P87" i="10"/>
  <c r="N87" i="10"/>
  <c r="M87" i="10"/>
  <c r="K87" i="10"/>
  <c r="C87" i="10"/>
  <c r="AD86" i="10"/>
  <c r="Y86" i="10"/>
  <c r="R86" i="10"/>
  <c r="P86" i="10"/>
  <c r="K86" i="10"/>
  <c r="C86" i="10"/>
  <c r="AD85" i="10"/>
  <c r="Y85" i="10"/>
  <c r="P85" i="10"/>
  <c r="K85" i="10"/>
  <c r="C85" i="10"/>
  <c r="AD84" i="10"/>
  <c r="Y84" i="10"/>
  <c r="S84" i="10"/>
  <c r="T84" i="10" s="1"/>
  <c r="U84" i="10" s="1"/>
  <c r="P84" i="10"/>
  <c r="K84" i="10"/>
  <c r="Q84" i="10" s="1"/>
  <c r="C84" i="10"/>
  <c r="AD83" i="10"/>
  <c r="Y83" i="10"/>
  <c r="P83" i="10"/>
  <c r="K83" i="10"/>
  <c r="R83" i="10" s="1"/>
  <c r="AD82" i="10"/>
  <c r="Y82" i="10"/>
  <c r="K82" i="10"/>
  <c r="M82" i="10" s="1"/>
  <c r="B82" i="10"/>
  <c r="AD81" i="10"/>
  <c r="Y81" i="10"/>
  <c r="M81" i="10"/>
  <c r="N81" i="10" s="1"/>
  <c r="K81" i="10"/>
  <c r="B81" i="10"/>
  <c r="AD80" i="10"/>
  <c r="Y80" i="10"/>
  <c r="M80" i="10"/>
  <c r="K80" i="10"/>
  <c r="B80" i="10"/>
  <c r="AD79" i="10"/>
  <c r="Y79" i="10"/>
  <c r="K79" i="10"/>
  <c r="M79" i="10" s="1"/>
  <c r="B79" i="10"/>
  <c r="AD78" i="10"/>
  <c r="Y78" i="10"/>
  <c r="K78" i="10"/>
  <c r="M78" i="10" s="1"/>
  <c r="B78" i="10"/>
  <c r="AD77" i="10"/>
  <c r="Y77" i="10"/>
  <c r="M77" i="10"/>
  <c r="N77" i="10" s="1"/>
  <c r="K77" i="10"/>
  <c r="B77" i="10"/>
  <c r="AD76" i="10"/>
  <c r="Y76" i="10"/>
  <c r="K76" i="10"/>
  <c r="M76" i="10" s="1"/>
  <c r="B76" i="10"/>
  <c r="AD75" i="10"/>
  <c r="Y75" i="10"/>
  <c r="K75" i="10"/>
  <c r="M75" i="10" s="1"/>
  <c r="B75" i="10"/>
  <c r="AD74" i="10"/>
  <c r="Y74" i="10"/>
  <c r="K74" i="10"/>
  <c r="M74" i="10" s="1"/>
  <c r="B74" i="10"/>
  <c r="AD73" i="10"/>
  <c r="Y73" i="10"/>
  <c r="N73" i="10"/>
  <c r="K73" i="10"/>
  <c r="M73" i="10" s="1"/>
  <c r="B73" i="10"/>
  <c r="AD72" i="10"/>
  <c r="Y72" i="10"/>
  <c r="K72" i="10"/>
  <c r="M72" i="10" s="1"/>
  <c r="B72" i="10"/>
  <c r="AD71" i="10"/>
  <c r="Y71" i="10"/>
  <c r="K71" i="10"/>
  <c r="M71" i="10" s="1"/>
  <c r="B71" i="10"/>
  <c r="AD70" i="10"/>
  <c r="Y70" i="10"/>
  <c r="N70" i="10"/>
  <c r="M70" i="10"/>
  <c r="K70" i="10"/>
  <c r="B70" i="10"/>
  <c r="AD69" i="10"/>
  <c r="Y69" i="10"/>
  <c r="M69" i="10"/>
  <c r="N69" i="10" s="1"/>
  <c r="K69" i="10"/>
  <c r="B69" i="10"/>
  <c r="AD68" i="10"/>
  <c r="Y68" i="10"/>
  <c r="K68" i="10"/>
  <c r="M68" i="10" s="1"/>
  <c r="C68" i="10"/>
  <c r="B68" i="10"/>
  <c r="AD67" i="10"/>
  <c r="Y67" i="10"/>
  <c r="Q67" i="10"/>
  <c r="W67" i="10" s="1"/>
  <c r="P67" i="10"/>
  <c r="M67" i="10"/>
  <c r="N67" i="10" s="1"/>
  <c r="K67" i="10"/>
  <c r="S67" i="10" s="1"/>
  <c r="T67" i="10" s="1"/>
  <c r="U67" i="10" s="1"/>
  <c r="B67" i="10" s="1"/>
  <c r="C67" i="10"/>
  <c r="AD66" i="10"/>
  <c r="Y66" i="10"/>
  <c r="P66" i="10"/>
  <c r="K66" i="10"/>
  <c r="S66" i="10" s="1"/>
  <c r="T66" i="10" s="1"/>
  <c r="U66" i="10" s="1"/>
  <c r="C66" i="10"/>
  <c r="AD65" i="10"/>
  <c r="Y65" i="10"/>
  <c r="R65" i="10"/>
  <c r="P65" i="10"/>
  <c r="N65" i="10"/>
  <c r="M65" i="10"/>
  <c r="K65" i="10"/>
  <c r="S65" i="10" s="1"/>
  <c r="C65" i="10"/>
  <c r="AD64" i="10"/>
  <c r="Y64" i="10"/>
  <c r="Q64" i="10"/>
  <c r="P64" i="10"/>
  <c r="M64" i="10"/>
  <c r="K64" i="10"/>
  <c r="S64" i="10" s="1"/>
  <c r="C64" i="10"/>
  <c r="AD63" i="10"/>
  <c r="Y63" i="10"/>
  <c r="P63" i="10"/>
  <c r="K63" i="10"/>
  <c r="Q63" i="10" s="1"/>
  <c r="C63" i="10"/>
  <c r="AD62" i="10"/>
  <c r="Y62" i="10"/>
  <c r="P62" i="10"/>
  <c r="K62" i="10"/>
  <c r="S62" i="10" s="1"/>
  <c r="C62" i="10"/>
  <c r="AD61" i="10"/>
  <c r="Y61" i="10"/>
  <c r="P61" i="10"/>
  <c r="K61" i="10"/>
  <c r="S61" i="10" s="1"/>
  <c r="T61" i="10" s="1"/>
  <c r="U61" i="10" s="1"/>
  <c r="C61" i="10"/>
  <c r="AD60" i="10"/>
  <c r="Y60" i="10"/>
  <c r="P60" i="10"/>
  <c r="K60" i="10"/>
  <c r="S60" i="10" s="1"/>
  <c r="C60" i="10"/>
  <c r="AD59" i="10"/>
  <c r="Y59" i="10"/>
  <c r="P59" i="10"/>
  <c r="K59" i="10"/>
  <c r="S59" i="10" s="1"/>
  <c r="T59" i="10" s="1"/>
  <c r="U59" i="10" s="1"/>
  <c r="B59" i="10" s="1"/>
  <c r="AC58" i="10"/>
  <c r="AD58" i="10" s="1"/>
  <c r="Y58" i="10"/>
  <c r="K58" i="10"/>
  <c r="M58" i="10" s="1"/>
  <c r="B58" i="10"/>
  <c r="AC57" i="10"/>
  <c r="AD57" i="10" s="1"/>
  <c r="Y57" i="10"/>
  <c r="K57" i="10"/>
  <c r="M57" i="10" s="1"/>
  <c r="B57" i="10"/>
  <c r="AC56" i="10"/>
  <c r="AD56" i="10" s="1"/>
  <c r="Y56" i="10"/>
  <c r="K56" i="10"/>
  <c r="M56" i="10" s="1"/>
  <c r="B56" i="10"/>
  <c r="AC55" i="10"/>
  <c r="AD55" i="10" s="1"/>
  <c r="Y55" i="10"/>
  <c r="M55" i="10"/>
  <c r="X55" i="10" s="1"/>
  <c r="K55" i="10"/>
  <c r="B55" i="10"/>
  <c r="AC54" i="10"/>
  <c r="AD54" i="10" s="1"/>
  <c r="Y54" i="10"/>
  <c r="K54" i="10"/>
  <c r="M54" i="10" s="1"/>
  <c r="B54" i="10"/>
  <c r="AC53" i="10"/>
  <c r="AD53" i="10" s="1"/>
  <c r="Y53" i="10"/>
  <c r="K53" i="10"/>
  <c r="M53" i="10" s="1"/>
  <c r="B53" i="10"/>
  <c r="AC52" i="10"/>
  <c r="AD52" i="10" s="1"/>
  <c r="Y52" i="10"/>
  <c r="K52" i="10"/>
  <c r="M52" i="10" s="1"/>
  <c r="B52" i="10"/>
  <c r="AC51" i="10"/>
  <c r="AD51" i="10" s="1"/>
  <c r="Y51" i="10"/>
  <c r="M51" i="10"/>
  <c r="X51" i="10" s="1"/>
  <c r="K51" i="10"/>
  <c r="B51" i="10"/>
  <c r="AC50" i="10"/>
  <c r="AD50" i="10" s="1"/>
  <c r="Y50" i="10"/>
  <c r="K50" i="10"/>
  <c r="M50" i="10" s="1"/>
  <c r="B50" i="10"/>
  <c r="AD49" i="10"/>
  <c r="Y49" i="10"/>
  <c r="K49" i="10"/>
  <c r="M49" i="10" s="1"/>
  <c r="B49" i="10"/>
  <c r="AD48" i="10"/>
  <c r="Y48" i="10"/>
  <c r="K48" i="10"/>
  <c r="M48" i="10" s="1"/>
  <c r="B48" i="10"/>
  <c r="AD47" i="10"/>
  <c r="Y47" i="10"/>
  <c r="K47" i="10"/>
  <c r="M47" i="10" s="1"/>
  <c r="B47" i="10"/>
  <c r="AD46" i="10"/>
  <c r="Y46" i="10"/>
  <c r="K46" i="10"/>
  <c r="M46" i="10" s="1"/>
  <c r="B46" i="10"/>
  <c r="AD45" i="10"/>
  <c r="Y45" i="10"/>
  <c r="M45" i="10"/>
  <c r="K45" i="10"/>
  <c r="B45" i="10"/>
  <c r="AD44" i="10"/>
  <c r="Y44" i="10"/>
  <c r="K44" i="10"/>
  <c r="M44" i="10" s="1"/>
  <c r="B44" i="10"/>
  <c r="AD43" i="10"/>
  <c r="Y43" i="10"/>
  <c r="K43" i="10"/>
  <c r="M43" i="10" s="1"/>
  <c r="C43" i="10"/>
  <c r="B43" i="10"/>
  <c r="AD42" i="10"/>
  <c r="Y42" i="10"/>
  <c r="P42" i="10"/>
  <c r="K42" i="10"/>
  <c r="S42" i="10" s="1"/>
  <c r="C42" i="10"/>
  <c r="AD41" i="10"/>
  <c r="Y41" i="10"/>
  <c r="P41" i="10"/>
  <c r="K41" i="10"/>
  <c r="S41" i="10" s="1"/>
  <c r="T41" i="10" s="1"/>
  <c r="U41" i="10" s="1"/>
  <c r="C41" i="10"/>
  <c r="AD40" i="10"/>
  <c r="Y40" i="10"/>
  <c r="P40" i="10"/>
  <c r="K40" i="10"/>
  <c r="S40" i="10" s="1"/>
  <c r="C40" i="10"/>
  <c r="AD39" i="10"/>
  <c r="Y39" i="10"/>
  <c r="P39" i="10"/>
  <c r="K39" i="10"/>
  <c r="S39" i="10" s="1"/>
  <c r="T39" i="10" s="1"/>
  <c r="U39" i="10" s="1"/>
  <c r="C39" i="10"/>
  <c r="AD38" i="10"/>
  <c r="Y38" i="10"/>
  <c r="P38" i="10"/>
  <c r="K38" i="10"/>
  <c r="S38" i="10" s="1"/>
  <c r="C38" i="10"/>
  <c r="AD37" i="10"/>
  <c r="Y37" i="10"/>
  <c r="Q37" i="10"/>
  <c r="W37" i="10" s="1"/>
  <c r="P37" i="10"/>
  <c r="M37" i="10"/>
  <c r="K37" i="10"/>
  <c r="S37" i="10" s="1"/>
  <c r="C37" i="10"/>
  <c r="AD36" i="10"/>
  <c r="Y36" i="10"/>
  <c r="P36" i="10"/>
  <c r="K36" i="10"/>
  <c r="Q36" i="10" s="1"/>
  <c r="W36" i="10" s="1"/>
  <c r="AC35" i="10"/>
  <c r="AD35" i="10" s="1"/>
  <c r="Y35" i="10"/>
  <c r="K35" i="10"/>
  <c r="M35" i="10" s="1"/>
  <c r="B35" i="10"/>
  <c r="AC34" i="10"/>
  <c r="AD34" i="10" s="1"/>
  <c r="Y34" i="10"/>
  <c r="K34" i="10"/>
  <c r="M34" i="10" s="1"/>
  <c r="B34" i="10"/>
  <c r="AC33" i="10"/>
  <c r="AD33" i="10" s="1"/>
  <c r="Y33" i="10"/>
  <c r="M33" i="10"/>
  <c r="X33" i="10" s="1"/>
  <c r="K33" i="10"/>
  <c r="B33" i="10"/>
  <c r="AC32" i="10"/>
  <c r="AD32" i="10" s="1"/>
  <c r="Y32" i="10"/>
  <c r="K32" i="10"/>
  <c r="M32" i="10" s="1"/>
  <c r="B32" i="10"/>
  <c r="AC31" i="10"/>
  <c r="AD31" i="10" s="1"/>
  <c r="Y31" i="10"/>
  <c r="K31" i="10"/>
  <c r="M31" i="10" s="1"/>
  <c r="B31" i="10"/>
  <c r="AC30" i="10"/>
  <c r="AD30" i="10" s="1"/>
  <c r="Y30" i="10"/>
  <c r="K30" i="10"/>
  <c r="M30" i="10" s="1"/>
  <c r="B30" i="10"/>
  <c r="AC29" i="10"/>
  <c r="AD29" i="10" s="1"/>
  <c r="Y29" i="10"/>
  <c r="M29" i="10"/>
  <c r="X29" i="10" s="1"/>
  <c r="K29" i="10"/>
  <c r="B29" i="10"/>
  <c r="AC28" i="10"/>
  <c r="AD28" i="10" s="1"/>
  <c r="Y28" i="10"/>
  <c r="K28" i="10"/>
  <c r="M28" i="10" s="1"/>
  <c r="B28" i="10"/>
  <c r="AC27" i="10"/>
  <c r="AD27" i="10" s="1"/>
  <c r="Y27" i="10"/>
  <c r="K27" i="10"/>
  <c r="M27" i="10" s="1"/>
  <c r="B27" i="10"/>
  <c r="AD26" i="10"/>
  <c r="Y26" i="10"/>
  <c r="K26" i="10"/>
  <c r="M26" i="10" s="1"/>
  <c r="B26" i="10"/>
  <c r="AC25" i="10"/>
  <c r="AD25" i="10" s="1"/>
  <c r="Y25" i="10"/>
  <c r="K25" i="10"/>
  <c r="M25" i="10" s="1"/>
  <c r="B25" i="10"/>
  <c r="AC24" i="10"/>
  <c r="AD24" i="10" s="1"/>
  <c r="Y24" i="10"/>
  <c r="K24" i="10"/>
  <c r="M24" i="10" s="1"/>
  <c r="B24" i="10"/>
  <c r="AC23" i="10"/>
  <c r="AD23" i="10" s="1"/>
  <c r="Y23" i="10"/>
  <c r="K23" i="10"/>
  <c r="M23" i="10" s="1"/>
  <c r="X23" i="10" s="1"/>
  <c r="B23" i="10"/>
  <c r="AC22" i="10"/>
  <c r="AD22" i="10" s="1"/>
  <c r="Y22" i="10"/>
  <c r="K22" i="10"/>
  <c r="M22" i="10" s="1"/>
  <c r="B22" i="10"/>
  <c r="AD21" i="10"/>
  <c r="Y21" i="10"/>
  <c r="M21" i="10"/>
  <c r="K21" i="10"/>
  <c r="B21" i="10"/>
  <c r="AD20" i="10"/>
  <c r="Y20" i="10"/>
  <c r="K20" i="10"/>
  <c r="M20" i="10" s="1"/>
  <c r="B20" i="10"/>
  <c r="AD19" i="10"/>
  <c r="Y19" i="10"/>
  <c r="K19" i="10"/>
  <c r="M19" i="10" s="1"/>
  <c r="C19" i="10"/>
  <c r="B19" i="10"/>
  <c r="AD18" i="10"/>
  <c r="Y18" i="10"/>
  <c r="P18" i="10"/>
  <c r="K18" i="10"/>
  <c r="S18" i="10" s="1"/>
  <c r="T18" i="10" s="1"/>
  <c r="U18" i="10" s="1"/>
  <c r="B18" i="10" s="1"/>
  <c r="C18" i="10"/>
  <c r="AD17" i="10"/>
  <c r="Y17" i="10"/>
  <c r="Q17" i="10"/>
  <c r="W17" i="10" s="1"/>
  <c r="P17" i="10"/>
  <c r="K17" i="10"/>
  <c r="S17" i="10" s="1"/>
  <c r="T17" i="10" s="1"/>
  <c r="U17" i="10" s="1"/>
  <c r="B17" i="10" s="1"/>
  <c r="C17" i="10"/>
  <c r="AD16" i="10"/>
  <c r="Y16" i="10"/>
  <c r="Q16" i="10"/>
  <c r="P16" i="10"/>
  <c r="K16" i="10"/>
  <c r="S16" i="10" s="1"/>
  <c r="T16" i="10" s="1"/>
  <c r="U16" i="10" s="1"/>
  <c r="C16" i="10"/>
  <c r="AD15" i="10"/>
  <c r="Y15" i="10"/>
  <c r="Q15" i="10"/>
  <c r="P15" i="10"/>
  <c r="K15" i="10"/>
  <c r="S15" i="10" s="1"/>
  <c r="T15" i="10" s="1"/>
  <c r="U15" i="10" s="1"/>
  <c r="C15" i="10"/>
  <c r="AD14" i="10"/>
  <c r="Y14" i="10"/>
  <c r="Q14" i="10"/>
  <c r="P14" i="10"/>
  <c r="K14" i="10"/>
  <c r="S14" i="10" s="1"/>
  <c r="T14" i="10" s="1"/>
  <c r="U14" i="10" s="1"/>
  <c r="C14" i="10"/>
  <c r="AD13" i="10"/>
  <c r="Y13" i="10"/>
  <c r="S13" i="10"/>
  <c r="T13" i="10" s="1"/>
  <c r="U13" i="10" s="1"/>
  <c r="B13" i="10" s="1"/>
  <c r="R13" i="10"/>
  <c r="P13" i="10"/>
  <c r="K13" i="10"/>
  <c r="Q13" i="10" s="1"/>
  <c r="W13" i="10" s="1"/>
  <c r="C13" i="10"/>
  <c r="AD12" i="10"/>
  <c r="Y12" i="10"/>
  <c r="P12" i="10"/>
  <c r="K12" i="10"/>
  <c r="R12" i="10" s="1"/>
  <c r="AC11" i="10"/>
  <c r="AD11" i="10" s="1"/>
  <c r="Y11" i="10"/>
  <c r="K11" i="10"/>
  <c r="M11" i="10" s="1"/>
  <c r="B11" i="10"/>
  <c r="AC10" i="10"/>
  <c r="AD10" i="10" s="1"/>
  <c r="Y10" i="10"/>
  <c r="M10" i="10"/>
  <c r="X10" i="10" s="1"/>
  <c r="K10" i="10"/>
  <c r="B10" i="10"/>
  <c r="AC9" i="10"/>
  <c r="AD9" i="10" s="1"/>
  <c r="Y9" i="10"/>
  <c r="K9" i="10"/>
  <c r="M9" i="10" s="1"/>
  <c r="B9" i="10"/>
  <c r="AC8" i="10"/>
  <c r="AD8" i="10" s="1"/>
  <c r="Y8" i="10"/>
  <c r="K8" i="10"/>
  <c r="M8" i="10" s="1"/>
  <c r="B8" i="10"/>
  <c r="AC7" i="10"/>
  <c r="AD7" i="10" s="1"/>
  <c r="Y7" i="10"/>
  <c r="K7" i="10"/>
  <c r="M7" i="10" s="1"/>
  <c r="B7" i="10"/>
  <c r="AC6" i="10"/>
  <c r="AD6" i="10" s="1"/>
  <c r="Y6" i="10"/>
  <c r="K6" i="10"/>
  <c r="M6" i="10" s="1"/>
  <c r="B6" i="10"/>
  <c r="AD5" i="10"/>
  <c r="AC5" i="10"/>
  <c r="Y5" i="10"/>
  <c r="M5" i="10"/>
  <c r="X5" i="10" s="1"/>
  <c r="K5" i="10"/>
  <c r="B5" i="10"/>
  <c r="AD4" i="10"/>
  <c r="Y4" i="10"/>
  <c r="K4" i="10"/>
  <c r="M4" i="10" s="1"/>
  <c r="B4" i="10"/>
  <c r="AD3" i="10"/>
  <c r="Y3" i="10"/>
  <c r="K3" i="10"/>
  <c r="M3" i="10" s="1"/>
  <c r="B3" i="10"/>
  <c r="AD2" i="10"/>
  <c r="Y2" i="10"/>
  <c r="K2" i="10"/>
  <c r="M2" i="10" s="1"/>
  <c r="D2" i="10"/>
  <c r="W290" i="14" l="1"/>
  <c r="W291" i="14" s="1"/>
  <c r="AA299" i="14" s="1"/>
  <c r="V4" i="14"/>
  <c r="C5" i="14" s="1"/>
  <c r="D5" i="14" s="1"/>
  <c r="AA301" i="14"/>
  <c r="AA297" i="14"/>
  <c r="AA298" i="14"/>
  <c r="AA300" i="14"/>
  <c r="W295" i="14"/>
  <c r="V5" i="13"/>
  <c r="C6" i="13" s="1"/>
  <c r="D6" i="13" s="1"/>
  <c r="W291" i="13"/>
  <c r="X9" i="10"/>
  <c r="N9" i="10"/>
  <c r="Q85" i="10"/>
  <c r="R85" i="10"/>
  <c r="S132" i="10"/>
  <c r="T132" i="10" s="1"/>
  <c r="U132" i="10" s="1"/>
  <c r="R132" i="10"/>
  <c r="S182" i="10"/>
  <c r="T182" i="10" s="1"/>
  <c r="U182" i="10" s="1"/>
  <c r="M182" i="10"/>
  <c r="R17" i="10"/>
  <c r="T40" i="10"/>
  <c r="U40" i="10" s="1"/>
  <c r="Q59" i="10"/>
  <c r="W59" i="10" s="1"/>
  <c r="T62" i="10"/>
  <c r="U62" i="10" s="1"/>
  <c r="M66" i="10"/>
  <c r="N66" i="10" s="1"/>
  <c r="R66" i="10"/>
  <c r="R67" i="10"/>
  <c r="M88" i="10"/>
  <c r="N88" i="10" s="1"/>
  <c r="R88" i="10"/>
  <c r="T137" i="10"/>
  <c r="U137" i="10" s="1"/>
  <c r="T138" i="10"/>
  <c r="U138" i="10" s="1"/>
  <c r="B138" i="10" s="1"/>
  <c r="S155" i="10"/>
  <c r="T155" i="10" s="1"/>
  <c r="U155" i="10" s="1"/>
  <c r="B155" i="10" s="1"/>
  <c r="S156" i="10"/>
  <c r="T156" i="10" s="1"/>
  <c r="U156" i="10" s="1"/>
  <c r="B156" i="10" s="1"/>
  <c r="S157" i="10"/>
  <c r="T157" i="10" s="1"/>
  <c r="U157" i="10" s="1"/>
  <c r="B157" i="10" s="1"/>
  <c r="S158" i="10"/>
  <c r="T158" i="10" s="1"/>
  <c r="U158" i="10" s="1"/>
  <c r="B158" i="10" s="1"/>
  <c r="S159" i="10"/>
  <c r="T159" i="10" s="1"/>
  <c r="U159" i="10" s="1"/>
  <c r="B159" i="10" s="1"/>
  <c r="S160" i="10"/>
  <c r="T160" i="10" s="1"/>
  <c r="U160" i="10" s="1"/>
  <c r="B160" i="10" s="1"/>
  <c r="S161" i="10"/>
  <c r="T161" i="10" s="1"/>
  <c r="U161" i="10" s="1"/>
  <c r="B161" i="10" s="1"/>
  <c r="S162" i="10"/>
  <c r="T162" i="10" s="1"/>
  <c r="U162" i="10" s="1"/>
  <c r="B162" i="10" s="1"/>
  <c r="T163" i="10"/>
  <c r="U163" i="10" s="1"/>
  <c r="B163" i="10" s="1"/>
  <c r="R278" i="10"/>
  <c r="Q278" i="10"/>
  <c r="M278" i="10"/>
  <c r="N278" i="10" s="1"/>
  <c r="R14" i="10"/>
  <c r="B16" i="10"/>
  <c r="S12" i="10"/>
  <c r="T12" i="10" s="1"/>
  <c r="U12" i="10" s="1"/>
  <c r="B12" i="10" s="1"/>
  <c r="M14" i="10"/>
  <c r="M15" i="10"/>
  <c r="M16" i="10"/>
  <c r="M17" i="10"/>
  <c r="R36" i="10"/>
  <c r="R59" i="10"/>
  <c r="S63" i="10"/>
  <c r="T63" i="10" s="1"/>
  <c r="U63" i="10" s="1"/>
  <c r="B63" i="10" s="1"/>
  <c r="R63" i="10"/>
  <c r="S85" i="10"/>
  <c r="T85" i="10" s="1"/>
  <c r="U85" i="10" s="1"/>
  <c r="Q86" i="10"/>
  <c r="S86" i="10"/>
  <c r="T86" i="10" s="1"/>
  <c r="U86" i="10" s="1"/>
  <c r="S88" i="10"/>
  <c r="T88" i="10" s="1"/>
  <c r="U88" i="10" s="1"/>
  <c r="B88" i="10" s="1"/>
  <c r="R89" i="10"/>
  <c r="M89" i="10"/>
  <c r="N89" i="10" s="1"/>
  <c r="S89" i="10"/>
  <c r="T89" i="10" s="1"/>
  <c r="U89" i="10" s="1"/>
  <c r="B89" i="10" s="1"/>
  <c r="R90" i="10"/>
  <c r="S91" i="10"/>
  <c r="T91" i="10" s="1"/>
  <c r="U91" i="10" s="1"/>
  <c r="B91" i="10" s="1"/>
  <c r="Q91" i="10"/>
  <c r="S136" i="10"/>
  <c r="T136" i="10" s="1"/>
  <c r="U136" i="10" s="1"/>
  <c r="R136" i="10"/>
  <c r="T139" i="10"/>
  <c r="U139" i="10" s="1"/>
  <c r="B139" i="10" s="1"/>
  <c r="S164" i="10"/>
  <c r="T164" i="10" s="1"/>
  <c r="U164" i="10" s="1"/>
  <c r="B164" i="10" s="1"/>
  <c r="M164" i="10"/>
  <c r="N164" i="10" s="1"/>
  <c r="Q182" i="10"/>
  <c r="R188" i="10"/>
  <c r="Q188" i="10"/>
  <c r="W188" i="10" s="1"/>
  <c r="M188" i="10"/>
  <c r="R189" i="10"/>
  <c r="S207" i="10"/>
  <c r="T207" i="10" s="1"/>
  <c r="U207" i="10" s="1"/>
  <c r="B207" i="10" s="1"/>
  <c r="R207" i="10"/>
  <c r="M207" i="10"/>
  <c r="N207" i="10" s="1"/>
  <c r="Q233" i="10"/>
  <c r="W233" i="10" s="1"/>
  <c r="S233" i="10"/>
  <c r="T233" i="10" s="1"/>
  <c r="U233" i="10" s="1"/>
  <c r="B233" i="10" s="1"/>
  <c r="M233" i="10"/>
  <c r="Q66" i="10"/>
  <c r="B66" i="10" s="1"/>
  <c r="S205" i="10"/>
  <c r="T205" i="10" s="1"/>
  <c r="U205" i="10" s="1"/>
  <c r="B205" i="10" s="1"/>
  <c r="R205" i="10"/>
  <c r="M205" i="10"/>
  <c r="N205" i="10" s="1"/>
  <c r="S209" i="10"/>
  <c r="T209" i="10" s="1"/>
  <c r="U209" i="10" s="1"/>
  <c r="B209" i="10" s="1"/>
  <c r="R209" i="10"/>
  <c r="M209" i="10"/>
  <c r="N209" i="10" s="1"/>
  <c r="S210" i="10"/>
  <c r="T210" i="10" s="1"/>
  <c r="U210" i="10" s="1"/>
  <c r="B210" i="10" s="1"/>
  <c r="M210" i="10"/>
  <c r="Q210" i="10"/>
  <c r="W210" i="10" s="1"/>
  <c r="Q252" i="10"/>
  <c r="W252" i="10" s="1"/>
  <c r="S252" i="10"/>
  <c r="T252" i="10" s="1"/>
  <c r="U252" i="10" s="1"/>
  <c r="B252" i="10" s="1"/>
  <c r="M252" i="10"/>
  <c r="N5" i="10"/>
  <c r="B14" i="10"/>
  <c r="B15" i="10"/>
  <c r="R15" i="10"/>
  <c r="R16" i="10"/>
  <c r="M36" i="10"/>
  <c r="N36" i="10" s="1"/>
  <c r="S36" i="10"/>
  <c r="T36" i="10" s="1"/>
  <c r="U36" i="10" s="1"/>
  <c r="B36" i="10" s="1"/>
  <c r="T37" i="10"/>
  <c r="U37" i="10" s="1"/>
  <c r="B37" i="10" s="1"/>
  <c r="R37" i="10"/>
  <c r="T38" i="10"/>
  <c r="U38" i="10" s="1"/>
  <c r="T42" i="10"/>
  <c r="U42" i="10" s="1"/>
  <c r="B42" i="10" s="1"/>
  <c r="M59" i="10"/>
  <c r="T60" i="10"/>
  <c r="U60" i="10" s="1"/>
  <c r="M63" i="10"/>
  <c r="R84" i="10"/>
  <c r="M90" i="10"/>
  <c r="N90" i="10" s="1"/>
  <c r="M91" i="10"/>
  <c r="S116" i="10"/>
  <c r="T116" i="10" s="1"/>
  <c r="U116" i="10" s="1"/>
  <c r="B116" i="10" s="1"/>
  <c r="S134" i="10"/>
  <c r="T134" i="10" s="1"/>
  <c r="U134" i="10" s="1"/>
  <c r="R134" i="10"/>
  <c r="S180" i="10"/>
  <c r="T180" i="10" s="1"/>
  <c r="U180" i="10" s="1"/>
  <c r="B180" i="10" s="1"/>
  <c r="R182" i="10"/>
  <c r="B183" i="10"/>
  <c r="S184" i="10"/>
  <c r="T184" i="10" s="1"/>
  <c r="U184" i="10" s="1"/>
  <c r="B184" i="10" s="1"/>
  <c r="B185" i="10"/>
  <c r="S186" i="10"/>
  <c r="T186" i="10" s="1"/>
  <c r="U186" i="10" s="1"/>
  <c r="B186" i="10" s="1"/>
  <c r="M186" i="10"/>
  <c r="N186" i="10" s="1"/>
  <c r="Q186" i="10"/>
  <c r="W186" i="10" s="1"/>
  <c r="Q203" i="10"/>
  <c r="W203" i="10" s="1"/>
  <c r="S203" i="10"/>
  <c r="T203" i="10" s="1"/>
  <c r="U203" i="10" s="1"/>
  <c r="B203" i="10" s="1"/>
  <c r="Q205" i="10"/>
  <c r="Q209" i="10"/>
  <c r="W209" i="10" s="1"/>
  <c r="B228" i="10"/>
  <c r="B229" i="10"/>
  <c r="Q230" i="10"/>
  <c r="T231" i="10"/>
  <c r="U231" i="10" s="1"/>
  <c r="S278" i="10"/>
  <c r="T278" i="10" s="1"/>
  <c r="U278" i="10" s="1"/>
  <c r="B278" i="10" s="1"/>
  <c r="T206" i="10"/>
  <c r="U206" i="10" s="1"/>
  <c r="B206" i="10" s="1"/>
  <c r="Q206" i="10"/>
  <c r="T230" i="10"/>
  <c r="U230" i="10" s="1"/>
  <c r="B230" i="10" s="1"/>
  <c r="Q231" i="10"/>
  <c r="T234" i="10"/>
  <c r="U234" i="10" s="1"/>
  <c r="B234" i="10" s="1"/>
  <c r="B255" i="10"/>
  <c r="R255" i="10"/>
  <c r="R276" i="10"/>
  <c r="S279" i="10"/>
  <c r="T279" i="10" s="1"/>
  <c r="U279" i="10" s="1"/>
  <c r="B279" i="10" s="1"/>
  <c r="M255" i="10"/>
  <c r="M276" i="10"/>
  <c r="M279" i="10"/>
  <c r="N279" i="10" s="1"/>
  <c r="S280" i="10"/>
  <c r="T280" i="10" s="1"/>
  <c r="U280" i="10" s="1"/>
  <c r="B280" i="10" s="1"/>
  <c r="S281" i="10"/>
  <c r="T281" i="10" s="1"/>
  <c r="U281" i="10" s="1"/>
  <c r="B281" i="10" s="1"/>
  <c r="T64" i="10"/>
  <c r="U64" i="10" s="1"/>
  <c r="B64" i="10" s="1"/>
  <c r="R64" i="10"/>
  <c r="T65" i="10"/>
  <c r="U65" i="10" s="1"/>
  <c r="Q65" i="10"/>
  <c r="Q87" i="10"/>
  <c r="R87" i="10"/>
  <c r="T92" i="10"/>
  <c r="U92" i="10" s="1"/>
  <c r="B92" i="10" s="1"/>
  <c r="S130" i="10"/>
  <c r="T130" i="10" s="1"/>
  <c r="U130" i="10" s="1"/>
  <c r="B130" i="10" s="1"/>
  <c r="T131" i="10"/>
  <c r="U131" i="10" s="1"/>
  <c r="T133" i="10"/>
  <c r="U133" i="10" s="1"/>
  <c r="T135" i="10"/>
  <c r="U135" i="10" s="1"/>
  <c r="Q165" i="10"/>
  <c r="W165" i="10" s="1"/>
  <c r="S178" i="10"/>
  <c r="T178" i="10" s="1"/>
  <c r="U178" i="10" s="1"/>
  <c r="B178" i="10" s="1"/>
  <c r="T179" i="10"/>
  <c r="U179" i="10" s="1"/>
  <c r="B179" i="10" s="1"/>
  <c r="T204" i="10"/>
  <c r="U204" i="10" s="1"/>
  <c r="B204" i="10" s="1"/>
  <c r="Q204" i="10"/>
  <c r="T208" i="10"/>
  <c r="U208" i="10" s="1"/>
  <c r="Q208" i="10"/>
  <c r="R234" i="10"/>
  <c r="Q254" i="10"/>
  <c r="B254" i="10" s="1"/>
  <c r="M280" i="10"/>
  <c r="N280" i="10" s="1"/>
  <c r="M281" i="10"/>
  <c r="N19" i="11"/>
  <c r="X19" i="11"/>
  <c r="S231" i="11"/>
  <c r="T231" i="11" s="1"/>
  <c r="U231" i="11" s="1"/>
  <c r="B231" i="11" s="1"/>
  <c r="Q231" i="11"/>
  <c r="M231" i="11"/>
  <c r="Q17" i="11"/>
  <c r="W17" i="11" s="1"/>
  <c r="Q40" i="11"/>
  <c r="W40" i="11" s="1"/>
  <c r="R40" i="11"/>
  <c r="R91" i="11"/>
  <c r="R107" i="11"/>
  <c r="Q107" i="11"/>
  <c r="W107" i="11" s="1"/>
  <c r="S116" i="11"/>
  <c r="T116" i="11" s="1"/>
  <c r="U116" i="11" s="1"/>
  <c r="B116" i="11" s="1"/>
  <c r="M130" i="11"/>
  <c r="N130" i="11" s="1"/>
  <c r="T132" i="11"/>
  <c r="U132" i="11" s="1"/>
  <c r="S154" i="11"/>
  <c r="T154" i="11" s="1"/>
  <c r="U154" i="11" s="1"/>
  <c r="B154" i="11" s="1"/>
  <c r="R154" i="11"/>
  <c r="M154" i="11"/>
  <c r="N154" i="11" s="1"/>
  <c r="B183" i="11"/>
  <c r="Q184" i="11"/>
  <c r="S184" i="11"/>
  <c r="T184" i="11" s="1"/>
  <c r="U184" i="11" s="1"/>
  <c r="M184" i="11"/>
  <c r="Q279" i="11"/>
  <c r="W279" i="11" s="1"/>
  <c r="S279" i="11"/>
  <c r="T279" i="11" s="1"/>
  <c r="U279" i="11" s="1"/>
  <c r="B279" i="11" s="1"/>
  <c r="M279" i="11"/>
  <c r="Q110" i="11"/>
  <c r="R110" i="11"/>
  <c r="R130" i="11"/>
  <c r="S255" i="11"/>
  <c r="T255" i="11" s="1"/>
  <c r="U255" i="11" s="1"/>
  <c r="B255" i="11" s="1"/>
  <c r="Q255" i="11"/>
  <c r="W255" i="11" s="1"/>
  <c r="M255" i="11"/>
  <c r="N255" i="11" s="1"/>
  <c r="N23" i="11"/>
  <c r="X23" i="11"/>
  <c r="Q36" i="11"/>
  <c r="W36" i="11" s="1"/>
  <c r="R36" i="11"/>
  <c r="R39" i="11"/>
  <c r="Q39" i="11"/>
  <c r="W39" i="11" s="1"/>
  <c r="T41" i="11"/>
  <c r="U41" i="11" s="1"/>
  <c r="B41" i="11" s="1"/>
  <c r="S60" i="11"/>
  <c r="T60" i="11" s="1"/>
  <c r="U60" i="11" s="1"/>
  <c r="B60" i="11" s="1"/>
  <c r="R60" i="11"/>
  <c r="S91" i="11"/>
  <c r="T91" i="11" s="1"/>
  <c r="U91" i="11" s="1"/>
  <c r="B91" i="11" s="1"/>
  <c r="S92" i="11"/>
  <c r="T92" i="11" s="1"/>
  <c r="U92" i="11" s="1"/>
  <c r="B92" i="11" s="1"/>
  <c r="M92" i="11"/>
  <c r="N92" i="11" s="1"/>
  <c r="Q114" i="11"/>
  <c r="R114" i="11"/>
  <c r="T138" i="11"/>
  <c r="U138" i="11" s="1"/>
  <c r="B138" i="11" s="1"/>
  <c r="S140" i="11"/>
  <c r="T140" i="11" s="1"/>
  <c r="U140" i="11" s="1"/>
  <c r="B140" i="11" s="1"/>
  <c r="M140" i="11"/>
  <c r="N140" i="11" s="1"/>
  <c r="S180" i="11"/>
  <c r="T180" i="11" s="1"/>
  <c r="U180" i="11" s="1"/>
  <c r="B180" i="11" s="1"/>
  <c r="Q180" i="11"/>
  <c r="W180" i="11" s="1"/>
  <c r="M180" i="11"/>
  <c r="N180" i="11" s="1"/>
  <c r="S182" i="11"/>
  <c r="T182" i="11" s="1"/>
  <c r="U182" i="11" s="1"/>
  <c r="B182" i="11" s="1"/>
  <c r="R182" i="11"/>
  <c r="M182" i="11"/>
  <c r="N182" i="11" s="1"/>
  <c r="S203" i="11"/>
  <c r="T203" i="11" s="1"/>
  <c r="U203" i="11" s="1"/>
  <c r="B203" i="11" s="1"/>
  <c r="R203" i="11"/>
  <c r="M203" i="11"/>
  <c r="N203" i="11" s="1"/>
  <c r="T210" i="11"/>
  <c r="U210" i="11" s="1"/>
  <c r="B210" i="11" s="1"/>
  <c r="S230" i="11"/>
  <c r="T230" i="11" s="1"/>
  <c r="U230" i="11" s="1"/>
  <c r="B230" i="11" s="1"/>
  <c r="Q230" i="11"/>
  <c r="M230" i="11"/>
  <c r="R231" i="11"/>
  <c r="S232" i="11"/>
  <c r="T232" i="11" s="1"/>
  <c r="U232" i="11" s="1"/>
  <c r="B232" i="11" s="1"/>
  <c r="Q232" i="11"/>
  <c r="W232" i="11" s="1"/>
  <c r="M232" i="11"/>
  <c r="R255" i="11"/>
  <c r="T13" i="11"/>
  <c r="U13" i="11" s="1"/>
  <c r="B13" i="11" s="1"/>
  <c r="T14" i="11"/>
  <c r="U14" i="11" s="1"/>
  <c r="B14" i="11" s="1"/>
  <c r="S17" i="11"/>
  <c r="T17" i="11" s="1"/>
  <c r="U17" i="11" s="1"/>
  <c r="B17" i="11" s="1"/>
  <c r="M17" i="11"/>
  <c r="N17" i="11" s="1"/>
  <c r="T37" i="11"/>
  <c r="U37" i="11" s="1"/>
  <c r="B37" i="11" s="1"/>
  <c r="S59" i="11"/>
  <c r="T59" i="11" s="1"/>
  <c r="U59" i="11" s="1"/>
  <c r="B59" i="11" s="1"/>
  <c r="R59" i="11"/>
  <c r="M59" i="11"/>
  <c r="N59" i="11" s="1"/>
  <c r="Q86" i="11"/>
  <c r="Q112" i="11"/>
  <c r="R112" i="11"/>
  <c r="Q130" i="11"/>
  <c r="W130" i="11" s="1"/>
  <c r="T136" i="11"/>
  <c r="U136" i="11" s="1"/>
  <c r="Q162" i="11"/>
  <c r="W162" i="11" s="1"/>
  <c r="S162" i="11"/>
  <c r="T162" i="11" s="1"/>
  <c r="U162" i="11" s="1"/>
  <c r="B162" i="11" s="1"/>
  <c r="R162" i="11"/>
  <c r="R37" i="11"/>
  <c r="R41" i="11"/>
  <c r="T164" i="11"/>
  <c r="U164" i="11" s="1"/>
  <c r="B164" i="11" s="1"/>
  <c r="T178" i="11"/>
  <c r="U178" i="11" s="1"/>
  <c r="B178" i="11" s="1"/>
  <c r="Q179" i="11"/>
  <c r="W179" i="11" s="1"/>
  <c r="R185" i="11"/>
  <c r="R204" i="11"/>
  <c r="Q211" i="11"/>
  <c r="W211" i="11" s="1"/>
  <c r="Q229" i="11"/>
  <c r="W229" i="11" s="1"/>
  <c r="Q254" i="11"/>
  <c r="W254" i="11" s="1"/>
  <c r="M37" i="11"/>
  <c r="M41" i="11"/>
  <c r="N41" i="11" s="1"/>
  <c r="T155" i="11"/>
  <c r="U155" i="11" s="1"/>
  <c r="B155" i="11" s="1"/>
  <c r="M164" i="11"/>
  <c r="N164" i="11" s="1"/>
  <c r="Q178" i="11"/>
  <c r="W178" i="11" s="1"/>
  <c r="M179" i="11"/>
  <c r="N179" i="11" s="1"/>
  <c r="Q181" i="11"/>
  <c r="B181" i="11" s="1"/>
  <c r="M185" i="11"/>
  <c r="T186" i="11"/>
  <c r="U186" i="11" s="1"/>
  <c r="B186" i="11" s="1"/>
  <c r="Q189" i="11"/>
  <c r="W189" i="11" s="1"/>
  <c r="Q206" i="11"/>
  <c r="M211" i="11"/>
  <c r="N211" i="11" s="1"/>
  <c r="M229" i="11"/>
  <c r="N229" i="11" s="1"/>
  <c r="M254" i="11"/>
  <c r="N254" i="11" s="1"/>
  <c r="T179" i="11"/>
  <c r="U179" i="11" s="1"/>
  <c r="B179" i="11" s="1"/>
  <c r="T204" i="11"/>
  <c r="U204" i="11" s="1"/>
  <c r="B204" i="11" s="1"/>
  <c r="T211" i="11"/>
  <c r="U211" i="11" s="1"/>
  <c r="B211" i="11" s="1"/>
  <c r="T229" i="11"/>
  <c r="U229" i="11" s="1"/>
  <c r="B229" i="11" s="1"/>
  <c r="T254" i="11"/>
  <c r="U254" i="11" s="1"/>
  <c r="B254" i="11" s="1"/>
  <c r="R278" i="11"/>
  <c r="N24" i="12"/>
  <c r="X24" i="12"/>
  <c r="X117" i="12"/>
  <c r="N117" i="12"/>
  <c r="X77" i="12"/>
  <c r="N77" i="12"/>
  <c r="X121" i="12"/>
  <c r="N121" i="12"/>
  <c r="X101" i="12"/>
  <c r="N101" i="12"/>
  <c r="R59" i="12"/>
  <c r="R85" i="12"/>
  <c r="S90" i="12"/>
  <c r="T90" i="12" s="1"/>
  <c r="U90" i="12" s="1"/>
  <c r="B90" i="12" s="1"/>
  <c r="M90" i="12"/>
  <c r="S114" i="12"/>
  <c r="T114" i="12" s="1"/>
  <c r="U114" i="12" s="1"/>
  <c r="B114" i="12" s="1"/>
  <c r="Q114" i="12"/>
  <c r="W114" i="12" s="1"/>
  <c r="R116" i="12"/>
  <c r="S116" i="12"/>
  <c r="T116" i="12" s="1"/>
  <c r="U116" i="12" s="1"/>
  <c r="B116" i="12" s="1"/>
  <c r="Q134" i="12"/>
  <c r="W134" i="12" s="1"/>
  <c r="Q162" i="12"/>
  <c r="W162" i="12" s="1"/>
  <c r="R182" i="12"/>
  <c r="R209" i="12"/>
  <c r="Q209" i="12"/>
  <c r="W209" i="12" s="1"/>
  <c r="M209" i="12"/>
  <c r="N209" i="12" s="1"/>
  <c r="S13" i="12"/>
  <c r="T13" i="12" s="1"/>
  <c r="U13" i="12" s="1"/>
  <c r="B13" i="12" s="1"/>
  <c r="T16" i="12"/>
  <c r="U16" i="12" s="1"/>
  <c r="B16" i="12" s="1"/>
  <c r="Q18" i="12"/>
  <c r="W18" i="12" s="1"/>
  <c r="M59" i="12"/>
  <c r="Q62" i="12"/>
  <c r="W62" i="12" s="1"/>
  <c r="M67" i="12"/>
  <c r="N67" i="12" s="1"/>
  <c r="N73" i="12"/>
  <c r="M85" i="12"/>
  <c r="N85" i="12" s="1"/>
  <c r="S86" i="12"/>
  <c r="T86" i="12" s="1"/>
  <c r="U86" i="12" s="1"/>
  <c r="B86" i="12" s="1"/>
  <c r="Q86" i="12"/>
  <c r="W86" i="12" s="1"/>
  <c r="R88" i="12"/>
  <c r="S88" i="12"/>
  <c r="T88" i="12" s="1"/>
  <c r="U88" i="12" s="1"/>
  <c r="B88" i="12" s="1"/>
  <c r="S110" i="12"/>
  <c r="T110" i="12" s="1"/>
  <c r="U110" i="12" s="1"/>
  <c r="B110" i="12" s="1"/>
  <c r="M110" i="12"/>
  <c r="M114" i="12"/>
  <c r="N125" i="12"/>
  <c r="N129" i="12"/>
  <c r="S130" i="12"/>
  <c r="T130" i="12" s="1"/>
  <c r="U130" i="12" s="1"/>
  <c r="B130" i="12" s="1"/>
  <c r="M130" i="12"/>
  <c r="M134" i="12"/>
  <c r="N134" i="12" s="1"/>
  <c r="R134" i="12"/>
  <c r="Q137" i="12"/>
  <c r="W137" i="12" s="1"/>
  <c r="N153" i="12"/>
  <c r="R154" i="12"/>
  <c r="R160" i="12"/>
  <c r="S160" i="12"/>
  <c r="T160" i="12" s="1"/>
  <c r="U160" i="12" s="1"/>
  <c r="B160" i="12" s="1"/>
  <c r="M162" i="12"/>
  <c r="N162" i="12" s="1"/>
  <c r="R162" i="12"/>
  <c r="M182" i="12"/>
  <c r="S182" i="12"/>
  <c r="T182" i="12" s="1"/>
  <c r="U182" i="12" s="1"/>
  <c r="B182" i="12" s="1"/>
  <c r="R184" i="12"/>
  <c r="S184" i="12"/>
  <c r="T184" i="12" s="1"/>
  <c r="U184" i="12" s="1"/>
  <c r="B184" i="12" s="1"/>
  <c r="S188" i="12"/>
  <c r="T188" i="12" s="1"/>
  <c r="U188" i="12" s="1"/>
  <c r="B188" i="12" s="1"/>
  <c r="X213" i="12"/>
  <c r="N213" i="12"/>
  <c r="X224" i="12"/>
  <c r="X239" i="12"/>
  <c r="N239" i="12"/>
  <c r="X247" i="12"/>
  <c r="N247" i="12"/>
  <c r="X268" i="12"/>
  <c r="N268" i="12"/>
  <c r="S209" i="12"/>
  <c r="T209" i="12" s="1"/>
  <c r="U209" i="12" s="1"/>
  <c r="B209" i="12" s="1"/>
  <c r="X220" i="12"/>
  <c r="S252" i="12"/>
  <c r="T252" i="12" s="1"/>
  <c r="U252" i="12" s="1"/>
  <c r="B252" i="12" s="1"/>
  <c r="M252" i="12"/>
  <c r="N252" i="12" s="1"/>
  <c r="Q252" i="12"/>
  <c r="W252" i="12" s="1"/>
  <c r="X264" i="12"/>
  <c r="N264" i="12"/>
  <c r="S12" i="12"/>
  <c r="T12" i="12" s="1"/>
  <c r="U12" i="12" s="1"/>
  <c r="B12" i="12" s="1"/>
  <c r="R18" i="12"/>
  <c r="X81" i="12"/>
  <c r="N81" i="12"/>
  <c r="Q90" i="12"/>
  <c r="W90" i="12" s="1"/>
  <c r="S106" i="12"/>
  <c r="T106" i="12" s="1"/>
  <c r="U106" i="12" s="1"/>
  <c r="B106" i="12" s="1"/>
  <c r="Q106" i="12"/>
  <c r="W106" i="12" s="1"/>
  <c r="R108" i="12"/>
  <c r="S108" i="12"/>
  <c r="T108" i="12" s="1"/>
  <c r="U108" i="12" s="1"/>
  <c r="B108" i="12" s="1"/>
  <c r="T137" i="12"/>
  <c r="U137" i="12" s="1"/>
  <c r="B137" i="12" s="1"/>
  <c r="R158" i="12"/>
  <c r="M158" i="12"/>
  <c r="N158" i="12" s="1"/>
  <c r="S158" i="12"/>
  <c r="T158" i="12" s="1"/>
  <c r="U158" i="12" s="1"/>
  <c r="B158" i="12" s="1"/>
  <c r="S159" i="12"/>
  <c r="T159" i="12" s="1"/>
  <c r="U159" i="12" s="1"/>
  <c r="B159" i="12" s="1"/>
  <c r="Q159" i="12"/>
  <c r="W159" i="12" s="1"/>
  <c r="R186" i="12"/>
  <c r="M186" i="12"/>
  <c r="N186" i="12" s="1"/>
  <c r="S186" i="12"/>
  <c r="T186" i="12" s="1"/>
  <c r="U186" i="12" s="1"/>
  <c r="B186" i="12" s="1"/>
  <c r="S187" i="12"/>
  <c r="T187" i="12" s="1"/>
  <c r="U187" i="12" s="1"/>
  <c r="B187" i="12" s="1"/>
  <c r="Q187" i="12"/>
  <c r="W187" i="12" s="1"/>
  <c r="M18" i="12"/>
  <c r="N18" i="12" s="1"/>
  <c r="S36" i="12"/>
  <c r="T36" i="12" s="1"/>
  <c r="U36" i="12" s="1"/>
  <c r="B36" i="12" s="1"/>
  <c r="Q37" i="12"/>
  <c r="W37" i="12" s="1"/>
  <c r="S40" i="12"/>
  <c r="T40" i="12" s="1"/>
  <c r="U40" i="12" s="1"/>
  <c r="B40" i="12" s="1"/>
  <c r="Q41" i="12"/>
  <c r="W41" i="12" s="1"/>
  <c r="Q59" i="12"/>
  <c r="W59" i="12" s="1"/>
  <c r="T63" i="12"/>
  <c r="U63" i="12" s="1"/>
  <c r="B63" i="12" s="1"/>
  <c r="Q67" i="12"/>
  <c r="W67" i="12" s="1"/>
  <c r="Q85" i="12"/>
  <c r="W85" i="12" s="1"/>
  <c r="T89" i="12"/>
  <c r="U89" i="12" s="1"/>
  <c r="B89" i="12" s="1"/>
  <c r="R90" i="12"/>
  <c r="N105" i="12"/>
  <c r="M106" i="12"/>
  <c r="N106" i="12" s="1"/>
  <c r="Q109" i="12"/>
  <c r="W109" i="12" s="1"/>
  <c r="Q110" i="12"/>
  <c r="W110" i="12" s="1"/>
  <c r="T112" i="12"/>
  <c r="U112" i="12" s="1"/>
  <c r="B112" i="12" s="1"/>
  <c r="T113" i="12"/>
  <c r="U113" i="12" s="1"/>
  <c r="B113" i="12" s="1"/>
  <c r="R113" i="12"/>
  <c r="R114" i="12"/>
  <c r="Q130" i="12"/>
  <c r="W130" i="12" s="1"/>
  <c r="T132" i="12"/>
  <c r="U132" i="12" s="1"/>
  <c r="B132" i="12" s="1"/>
  <c r="T133" i="12"/>
  <c r="U133" i="12" s="1"/>
  <c r="B133" i="12" s="1"/>
  <c r="R133" i="12"/>
  <c r="S138" i="12"/>
  <c r="T138" i="12" s="1"/>
  <c r="U138" i="12" s="1"/>
  <c r="B138" i="12" s="1"/>
  <c r="R138" i="12"/>
  <c r="M138" i="12"/>
  <c r="N138" i="12" s="1"/>
  <c r="N149" i="12"/>
  <c r="M159" i="12"/>
  <c r="S178" i="12"/>
  <c r="T178" i="12" s="1"/>
  <c r="U178" i="12" s="1"/>
  <c r="B178" i="12" s="1"/>
  <c r="M178" i="12"/>
  <c r="T179" i="12"/>
  <c r="U179" i="12" s="1"/>
  <c r="B179" i="12" s="1"/>
  <c r="M187" i="12"/>
  <c r="M188" i="12"/>
  <c r="N188" i="12" s="1"/>
  <c r="X243" i="12"/>
  <c r="N243" i="12"/>
  <c r="X251" i="12"/>
  <c r="N251" i="12"/>
  <c r="R252" i="12"/>
  <c r="R257" i="12"/>
  <c r="M257" i="12"/>
  <c r="N257" i="12" s="1"/>
  <c r="S257" i="12"/>
  <c r="T257" i="12" s="1"/>
  <c r="U257" i="12" s="1"/>
  <c r="B257" i="12" s="1"/>
  <c r="S228" i="12"/>
  <c r="T228" i="12" s="1"/>
  <c r="U228" i="12" s="1"/>
  <c r="B228" i="12" s="1"/>
  <c r="S232" i="12"/>
  <c r="T232" i="12" s="1"/>
  <c r="U232" i="12" s="1"/>
  <c r="B232" i="12" s="1"/>
  <c r="T183" i="12"/>
  <c r="U183" i="12" s="1"/>
  <c r="B183" i="12" s="1"/>
  <c r="Q183" i="12"/>
  <c r="W183" i="12" s="1"/>
  <c r="T206" i="12"/>
  <c r="U206" i="12" s="1"/>
  <c r="B206" i="12" s="1"/>
  <c r="X9" i="12"/>
  <c r="N9" i="12"/>
  <c r="N11" i="12"/>
  <c r="X11" i="12"/>
  <c r="X19" i="12"/>
  <c r="N19" i="12"/>
  <c r="N20" i="12"/>
  <c r="X20" i="12"/>
  <c r="AA2" i="12"/>
  <c r="N2" i="12"/>
  <c r="X5" i="12"/>
  <c r="N5" i="12"/>
  <c r="N7" i="12"/>
  <c r="X7" i="12"/>
  <c r="AA3" i="12"/>
  <c r="AA4" i="12" s="1"/>
  <c r="AA5" i="12" s="1"/>
  <c r="AA6" i="12" s="1"/>
  <c r="AA7" i="12" s="1"/>
  <c r="AA8" i="12" s="1"/>
  <c r="AA9" i="12" s="1"/>
  <c r="AA10" i="12" s="1"/>
  <c r="AA11" i="12" s="1"/>
  <c r="N3" i="12"/>
  <c r="N8" i="12"/>
  <c r="X8" i="12"/>
  <c r="V2" i="12"/>
  <c r="C3" i="12" s="1"/>
  <c r="D3" i="12" s="1"/>
  <c r="N4" i="12"/>
  <c r="N6" i="12"/>
  <c r="N10" i="12"/>
  <c r="N14" i="12"/>
  <c r="M15" i="12"/>
  <c r="Q15" i="12"/>
  <c r="W15" i="12" s="1"/>
  <c r="N22" i="12"/>
  <c r="N30" i="12"/>
  <c r="N56" i="12"/>
  <c r="X56" i="12"/>
  <c r="N69" i="12"/>
  <c r="N71" i="12"/>
  <c r="X71" i="12"/>
  <c r="AD291" i="12"/>
  <c r="Y298" i="12" s="1"/>
  <c r="X25" i="12"/>
  <c r="X33" i="12"/>
  <c r="N33" i="12"/>
  <c r="Y290" i="12"/>
  <c r="Y291" i="12" s="1"/>
  <c r="W293" i="12" s="1"/>
  <c r="M12" i="12"/>
  <c r="Q12" i="12"/>
  <c r="W12" i="12" s="1"/>
  <c r="R15" i="12"/>
  <c r="M16" i="12"/>
  <c r="Q16" i="12"/>
  <c r="W16" i="12" s="1"/>
  <c r="Q17" i="12"/>
  <c r="W17" i="12" s="1"/>
  <c r="M17" i="12"/>
  <c r="R17" i="12"/>
  <c r="N21" i="12"/>
  <c r="X23" i="12"/>
  <c r="N27" i="12"/>
  <c r="X27" i="12"/>
  <c r="X29" i="12"/>
  <c r="N75" i="12"/>
  <c r="X75" i="12"/>
  <c r="N31" i="12"/>
  <c r="X31" i="12"/>
  <c r="N35" i="12"/>
  <c r="X35" i="12"/>
  <c r="B2" i="12"/>
  <c r="M13" i="12"/>
  <c r="S17" i="12"/>
  <c r="T17" i="12" s="1"/>
  <c r="U17" i="12" s="1"/>
  <c r="B17" i="12" s="1"/>
  <c r="N23" i="12"/>
  <c r="N26" i="12"/>
  <c r="N29" i="12"/>
  <c r="X30" i="12"/>
  <c r="N43" i="12"/>
  <c r="X43" i="12"/>
  <c r="X45" i="12"/>
  <c r="N45" i="12"/>
  <c r="N47" i="12"/>
  <c r="X47" i="12"/>
  <c r="X49" i="12"/>
  <c r="N49" i="12"/>
  <c r="N51" i="12"/>
  <c r="X51" i="12"/>
  <c r="X53" i="12"/>
  <c r="N53" i="12"/>
  <c r="N70" i="12"/>
  <c r="X34" i="12"/>
  <c r="X46" i="12"/>
  <c r="X50" i="12"/>
  <c r="X54" i="12"/>
  <c r="X55" i="12"/>
  <c r="Q61" i="12"/>
  <c r="W61" i="12" s="1"/>
  <c r="M61" i="12"/>
  <c r="R61" i="12"/>
  <c r="Q64" i="12"/>
  <c r="W64" i="12" s="1"/>
  <c r="N72" i="12"/>
  <c r="X72" i="12"/>
  <c r="N79" i="12"/>
  <c r="X79" i="12"/>
  <c r="S87" i="12"/>
  <c r="T87" i="12" s="1"/>
  <c r="U87" i="12" s="1"/>
  <c r="B87" i="12" s="1"/>
  <c r="R87" i="12"/>
  <c r="Q87" i="12"/>
  <c r="W87" i="12" s="1"/>
  <c r="M87" i="12"/>
  <c r="N95" i="12"/>
  <c r="X95" i="12"/>
  <c r="N103" i="12"/>
  <c r="X103" i="12"/>
  <c r="S107" i="12"/>
  <c r="T107" i="12" s="1"/>
  <c r="U107" i="12" s="1"/>
  <c r="B107" i="12" s="1"/>
  <c r="R107" i="12"/>
  <c r="Q107" i="12"/>
  <c r="W107" i="12" s="1"/>
  <c r="M107" i="12"/>
  <c r="N118" i="12"/>
  <c r="N124" i="12"/>
  <c r="X124" i="12"/>
  <c r="N126" i="12"/>
  <c r="R164" i="12"/>
  <c r="S164" i="12"/>
  <c r="T164" i="12" s="1"/>
  <c r="U164" i="12" s="1"/>
  <c r="B164" i="12" s="1"/>
  <c r="M164" i="12"/>
  <c r="Q164" i="12"/>
  <c r="W164" i="12" s="1"/>
  <c r="N34" i="12"/>
  <c r="S37" i="12"/>
  <c r="T37" i="12" s="1"/>
  <c r="U37" i="12" s="1"/>
  <c r="B37" i="12" s="1"/>
  <c r="N38" i="12"/>
  <c r="M39" i="12"/>
  <c r="Q39" i="12"/>
  <c r="W39" i="12" s="1"/>
  <c r="S41" i="12"/>
  <c r="T41" i="12" s="1"/>
  <c r="U41" i="12" s="1"/>
  <c r="B41" i="12" s="1"/>
  <c r="N42" i="12"/>
  <c r="N46" i="12"/>
  <c r="N50" i="12"/>
  <c r="N54" i="12"/>
  <c r="N55" i="12"/>
  <c r="N59" i="12"/>
  <c r="S61" i="12"/>
  <c r="T61" i="12" s="1"/>
  <c r="U61" i="12" s="1"/>
  <c r="B61" i="12" s="1"/>
  <c r="M63" i="12"/>
  <c r="Q63" i="12"/>
  <c r="W63" i="12" s="1"/>
  <c r="M64" i="12"/>
  <c r="S64" i="12"/>
  <c r="T64" i="12" s="1"/>
  <c r="U64" i="12" s="1"/>
  <c r="B64" i="12" s="1"/>
  <c r="Q65" i="12"/>
  <c r="W65" i="12" s="1"/>
  <c r="M65" i="12"/>
  <c r="R65" i="12"/>
  <c r="N66" i="12"/>
  <c r="N74" i="12"/>
  <c r="N76" i="12"/>
  <c r="X76" i="12"/>
  <c r="N78" i="12"/>
  <c r="S83" i="12"/>
  <c r="T83" i="12" s="1"/>
  <c r="U83" i="12" s="1"/>
  <c r="B83" i="12" s="1"/>
  <c r="R83" i="12"/>
  <c r="Q83" i="12"/>
  <c r="W83" i="12" s="1"/>
  <c r="M83" i="12"/>
  <c r="N94" i="12"/>
  <c r="N100" i="12"/>
  <c r="X100" i="12"/>
  <c r="N102" i="12"/>
  <c r="N114" i="12"/>
  <c r="N123" i="12"/>
  <c r="X123" i="12"/>
  <c r="T136" i="12"/>
  <c r="U136" i="12" s="1"/>
  <c r="B136" i="12" s="1"/>
  <c r="N195" i="12"/>
  <c r="X195" i="12"/>
  <c r="N211" i="12"/>
  <c r="N216" i="12"/>
  <c r="X216" i="12"/>
  <c r="N222" i="12"/>
  <c r="X222" i="12"/>
  <c r="X28" i="12"/>
  <c r="X32" i="12"/>
  <c r="R39" i="12"/>
  <c r="X44" i="12"/>
  <c r="X48" i="12"/>
  <c r="X52" i="12"/>
  <c r="R63" i="12"/>
  <c r="N68" i="12"/>
  <c r="N90" i="12"/>
  <c r="N99" i="12"/>
  <c r="X99" i="12"/>
  <c r="N110" i="12"/>
  <c r="S115" i="12"/>
  <c r="T115" i="12" s="1"/>
  <c r="U115" i="12" s="1"/>
  <c r="B115" i="12" s="1"/>
  <c r="R115" i="12"/>
  <c r="Q115" i="12"/>
  <c r="W115" i="12" s="1"/>
  <c r="M115" i="12"/>
  <c r="X118" i="12"/>
  <c r="N120" i="12"/>
  <c r="X120" i="12"/>
  <c r="N122" i="12"/>
  <c r="X126" i="12"/>
  <c r="N128" i="12"/>
  <c r="X128" i="12"/>
  <c r="N130" i="12"/>
  <c r="R131" i="12"/>
  <c r="S131" i="12"/>
  <c r="T131" i="12" s="1"/>
  <c r="U131" i="12" s="1"/>
  <c r="B131" i="12" s="1"/>
  <c r="Q131" i="12"/>
  <c r="W131" i="12" s="1"/>
  <c r="M131" i="12"/>
  <c r="N143" i="12"/>
  <c r="N147" i="12"/>
  <c r="X147" i="12"/>
  <c r="N159" i="12"/>
  <c r="X198" i="12"/>
  <c r="N198" i="12"/>
  <c r="N215" i="12"/>
  <c r="X215" i="12"/>
  <c r="M37" i="12"/>
  <c r="M41" i="12"/>
  <c r="N57" i="12"/>
  <c r="Q60" i="12"/>
  <c r="W60" i="12" s="1"/>
  <c r="R67" i="12"/>
  <c r="X74" i="12"/>
  <c r="X78" i="12"/>
  <c r="N80" i="12"/>
  <c r="X80" i="12"/>
  <c r="N82" i="12"/>
  <c r="N86" i="12"/>
  <c r="S91" i="12"/>
  <c r="T91" i="12" s="1"/>
  <c r="U91" i="12" s="1"/>
  <c r="B91" i="12" s="1"/>
  <c r="R91" i="12"/>
  <c r="Q91" i="12"/>
  <c r="W91" i="12" s="1"/>
  <c r="M91" i="12"/>
  <c r="X94" i="12"/>
  <c r="N96" i="12"/>
  <c r="X96" i="12"/>
  <c r="N98" i="12"/>
  <c r="X102" i="12"/>
  <c r="N104" i="12"/>
  <c r="X104" i="12"/>
  <c r="S111" i="12"/>
  <c r="T111" i="12" s="1"/>
  <c r="U111" i="12" s="1"/>
  <c r="B111" i="12" s="1"/>
  <c r="R111" i="12"/>
  <c r="Q111" i="12"/>
  <c r="W111" i="12" s="1"/>
  <c r="M111" i="12"/>
  <c r="N119" i="12"/>
  <c r="X119" i="12"/>
  <c r="N127" i="12"/>
  <c r="X127" i="12"/>
  <c r="N151" i="12"/>
  <c r="X151" i="12"/>
  <c r="R130" i="12"/>
  <c r="N152" i="12"/>
  <c r="X152" i="12"/>
  <c r="S155" i="12"/>
  <c r="T155" i="12" s="1"/>
  <c r="U155" i="12" s="1"/>
  <c r="B155" i="12" s="1"/>
  <c r="R155" i="12"/>
  <c r="Q155" i="12"/>
  <c r="W155" i="12" s="1"/>
  <c r="R156" i="12"/>
  <c r="S156" i="12"/>
  <c r="T156" i="12" s="1"/>
  <c r="U156" i="12" s="1"/>
  <c r="B156" i="12" s="1"/>
  <c r="Q156" i="12"/>
  <c r="W156" i="12" s="1"/>
  <c r="M156" i="12"/>
  <c r="S163" i="12"/>
  <c r="T163" i="12" s="1"/>
  <c r="U163" i="12" s="1"/>
  <c r="B163" i="12" s="1"/>
  <c r="R163" i="12"/>
  <c r="Q163" i="12"/>
  <c r="W163" i="12" s="1"/>
  <c r="M163" i="12"/>
  <c r="X166" i="12"/>
  <c r="N166" i="12"/>
  <c r="X170" i="12"/>
  <c r="N170" i="12"/>
  <c r="X174" i="12"/>
  <c r="N174" i="12"/>
  <c r="N178" i="12"/>
  <c r="Q189" i="12"/>
  <c r="W189" i="12" s="1"/>
  <c r="M189" i="12"/>
  <c r="S189" i="12"/>
  <c r="T189" i="12" s="1"/>
  <c r="U189" i="12" s="1"/>
  <c r="B189" i="12" s="1"/>
  <c r="N191" i="12"/>
  <c r="X191" i="12"/>
  <c r="X194" i="12"/>
  <c r="X201" i="12"/>
  <c r="N201" i="12"/>
  <c r="N258" i="12"/>
  <c r="X258" i="12"/>
  <c r="M84" i="12"/>
  <c r="Q84" i="12"/>
  <c r="W84" i="12" s="1"/>
  <c r="M88" i="12"/>
  <c r="Q88" i="12"/>
  <c r="W88" i="12" s="1"/>
  <c r="M92" i="12"/>
  <c r="Q92" i="12"/>
  <c r="W92" i="12" s="1"/>
  <c r="M108" i="12"/>
  <c r="Q108" i="12"/>
  <c r="W108" i="12" s="1"/>
  <c r="M112" i="12"/>
  <c r="Q112" i="12"/>
  <c r="W112" i="12" s="1"/>
  <c r="M116" i="12"/>
  <c r="Q116" i="12"/>
  <c r="W116" i="12" s="1"/>
  <c r="R132" i="12"/>
  <c r="Q132" i="12"/>
  <c r="W132" i="12" s="1"/>
  <c r="M132" i="12"/>
  <c r="S135" i="12"/>
  <c r="T135" i="12" s="1"/>
  <c r="U135" i="12" s="1"/>
  <c r="B135" i="12" s="1"/>
  <c r="R135" i="12"/>
  <c r="Q135" i="12"/>
  <c r="W135" i="12" s="1"/>
  <c r="R136" i="12"/>
  <c r="Q136" i="12"/>
  <c r="W136" i="12" s="1"/>
  <c r="M136" i="12"/>
  <c r="S139" i="12"/>
  <c r="T139" i="12" s="1"/>
  <c r="U139" i="12" s="1"/>
  <c r="B139" i="12" s="1"/>
  <c r="R139" i="12"/>
  <c r="Q139" i="12"/>
  <c r="W139" i="12" s="1"/>
  <c r="R140" i="12"/>
  <c r="Q140" i="12"/>
  <c r="W140" i="12" s="1"/>
  <c r="M140" i="12"/>
  <c r="N142" i="12"/>
  <c r="N154" i="12"/>
  <c r="M155" i="12"/>
  <c r="N187" i="12"/>
  <c r="X190" i="12"/>
  <c r="X197" i="12"/>
  <c r="N197" i="12"/>
  <c r="X223" i="12"/>
  <c r="N223" i="12"/>
  <c r="N234" i="12"/>
  <c r="N266" i="12"/>
  <c r="X266" i="12"/>
  <c r="N146" i="12"/>
  <c r="N148" i="12"/>
  <c r="X148" i="12"/>
  <c r="Q161" i="12"/>
  <c r="W161" i="12" s="1"/>
  <c r="M161" i="12"/>
  <c r="S161" i="12"/>
  <c r="T161" i="12" s="1"/>
  <c r="U161" i="12" s="1"/>
  <c r="B161" i="12" s="1"/>
  <c r="N168" i="12"/>
  <c r="X168" i="12"/>
  <c r="N172" i="12"/>
  <c r="X172" i="12"/>
  <c r="N176" i="12"/>
  <c r="X176" i="12"/>
  <c r="N190" i="12"/>
  <c r="X193" i="12"/>
  <c r="N193" i="12"/>
  <c r="N199" i="12"/>
  <c r="X199" i="12"/>
  <c r="X202" i="12"/>
  <c r="S227" i="12"/>
  <c r="T227" i="12" s="1"/>
  <c r="U227" i="12" s="1"/>
  <c r="B227" i="12" s="1"/>
  <c r="Q227" i="12"/>
  <c r="W227" i="12" s="1"/>
  <c r="M227" i="12"/>
  <c r="Q165" i="12"/>
  <c r="W165" i="12" s="1"/>
  <c r="M165" i="12"/>
  <c r="R165" i="12"/>
  <c r="Q180" i="12"/>
  <c r="W180" i="12" s="1"/>
  <c r="Q203" i="12"/>
  <c r="W203" i="12" s="1"/>
  <c r="N214" i="12"/>
  <c r="N236" i="12"/>
  <c r="X236" i="12"/>
  <c r="X237" i="12"/>
  <c r="N237" i="12"/>
  <c r="X240" i="12"/>
  <c r="N240" i="12"/>
  <c r="N242" i="12"/>
  <c r="X242" i="12"/>
  <c r="X284" i="12"/>
  <c r="N284" i="12"/>
  <c r="S165" i="12"/>
  <c r="T165" i="12" s="1"/>
  <c r="U165" i="12" s="1"/>
  <c r="B165" i="12" s="1"/>
  <c r="N169" i="12"/>
  <c r="N173" i="12"/>
  <c r="N177" i="12"/>
  <c r="M179" i="12"/>
  <c r="Q179" i="12"/>
  <c r="W179" i="12" s="1"/>
  <c r="M180" i="12"/>
  <c r="S180" i="12"/>
  <c r="T180" i="12" s="1"/>
  <c r="U180" i="12" s="1"/>
  <c r="B180" i="12" s="1"/>
  <c r="Q181" i="12"/>
  <c r="W181" i="12" s="1"/>
  <c r="M181" i="12"/>
  <c r="R181" i="12"/>
  <c r="N182" i="12"/>
  <c r="Q184" i="12"/>
  <c r="W184" i="12" s="1"/>
  <c r="N192" i="12"/>
  <c r="N196" i="12"/>
  <c r="N200" i="12"/>
  <c r="M203" i="12"/>
  <c r="S203" i="12"/>
  <c r="T203" i="12" s="1"/>
  <c r="U203" i="12" s="1"/>
  <c r="B203" i="12" s="1"/>
  <c r="Q204" i="12"/>
  <c r="W204" i="12" s="1"/>
  <c r="M204" i="12"/>
  <c r="R204" i="12"/>
  <c r="N205" i="12"/>
  <c r="Q207" i="12"/>
  <c r="W207" i="12" s="1"/>
  <c r="Q210" i="12"/>
  <c r="W210" i="12" s="1"/>
  <c r="M210" i="12"/>
  <c r="R210" i="12"/>
  <c r="N212" i="12"/>
  <c r="X212" i="12"/>
  <c r="N218" i="12"/>
  <c r="X218" i="12"/>
  <c r="X219" i="12"/>
  <c r="N219" i="12"/>
  <c r="N226" i="12"/>
  <c r="X226" i="12"/>
  <c r="X244" i="12"/>
  <c r="N244" i="12"/>
  <c r="N246" i="12"/>
  <c r="X246" i="12"/>
  <c r="Q157" i="12"/>
  <c r="W157" i="12" s="1"/>
  <c r="M157" i="12"/>
  <c r="R157" i="12"/>
  <c r="Q160" i="12"/>
  <c r="W160" i="12" s="1"/>
  <c r="X167" i="12"/>
  <c r="X171" i="12"/>
  <c r="X175" i="12"/>
  <c r="R179" i="12"/>
  <c r="Q185" i="12"/>
  <c r="W185" i="12" s="1"/>
  <c r="M185" i="12"/>
  <c r="R185" i="12"/>
  <c r="Q188" i="12"/>
  <c r="W188" i="12" s="1"/>
  <c r="S204" i="12"/>
  <c r="T204" i="12" s="1"/>
  <c r="U204" i="12" s="1"/>
  <c r="B204" i="12" s="1"/>
  <c r="M206" i="12"/>
  <c r="Q206" i="12"/>
  <c r="W206" i="12" s="1"/>
  <c r="M207" i="12"/>
  <c r="S207" i="12"/>
  <c r="T207" i="12" s="1"/>
  <c r="U207" i="12" s="1"/>
  <c r="B207" i="12" s="1"/>
  <c r="Q208" i="12"/>
  <c r="W208" i="12" s="1"/>
  <c r="M208" i="12"/>
  <c r="R208" i="12"/>
  <c r="S210" i="12"/>
  <c r="T210" i="12" s="1"/>
  <c r="U210" i="12" s="1"/>
  <c r="B210" i="12" s="1"/>
  <c r="X214" i="12"/>
  <c r="N230" i="12"/>
  <c r="N232" i="12"/>
  <c r="X248" i="12"/>
  <c r="N248" i="12"/>
  <c r="N250" i="12"/>
  <c r="X250" i="12"/>
  <c r="N259" i="12"/>
  <c r="X259" i="12"/>
  <c r="N228" i="12"/>
  <c r="Q233" i="12"/>
  <c r="W233" i="12" s="1"/>
  <c r="M233" i="12"/>
  <c r="S233" i="12"/>
  <c r="T233" i="12" s="1"/>
  <c r="U233" i="12" s="1"/>
  <c r="B233" i="12" s="1"/>
  <c r="R233" i="12"/>
  <c r="N241" i="12"/>
  <c r="N245" i="12"/>
  <c r="N249" i="12"/>
  <c r="N253" i="12"/>
  <c r="X217" i="12"/>
  <c r="X221" i="12"/>
  <c r="X225" i="12"/>
  <c r="Q229" i="12"/>
  <c r="W229" i="12" s="1"/>
  <c r="M229" i="12"/>
  <c r="S229" i="12"/>
  <c r="T229" i="12" s="1"/>
  <c r="U229" i="12" s="1"/>
  <c r="B229" i="12" s="1"/>
  <c r="R229" i="12"/>
  <c r="S231" i="12"/>
  <c r="T231" i="12" s="1"/>
  <c r="U231" i="12" s="1"/>
  <c r="B231" i="12" s="1"/>
  <c r="Q231" i="12"/>
  <c r="W231" i="12" s="1"/>
  <c r="M231" i="12"/>
  <c r="R231" i="12"/>
  <c r="X235" i="12"/>
  <c r="N238" i="12"/>
  <c r="X238" i="12"/>
  <c r="N262" i="12"/>
  <c r="X262" i="12"/>
  <c r="N267" i="12"/>
  <c r="X267" i="12"/>
  <c r="N270" i="12"/>
  <c r="X270" i="12"/>
  <c r="N274" i="12"/>
  <c r="Q278" i="12"/>
  <c r="W278" i="12" s="1"/>
  <c r="M278" i="12"/>
  <c r="S278" i="12"/>
  <c r="T278" i="12" s="1"/>
  <c r="U278" i="12" s="1"/>
  <c r="B278" i="12" s="1"/>
  <c r="R278" i="12"/>
  <c r="S253" i="12"/>
  <c r="T253" i="12" s="1"/>
  <c r="U253" i="12" s="1"/>
  <c r="B253" i="12" s="1"/>
  <c r="R253" i="12"/>
  <c r="Q253" i="12"/>
  <c r="W253" i="12" s="1"/>
  <c r="R254" i="12"/>
  <c r="Q254" i="12"/>
  <c r="W254" i="12" s="1"/>
  <c r="M254" i="12"/>
  <c r="Q256" i="12"/>
  <c r="W256" i="12" s="1"/>
  <c r="M256" i="12"/>
  <c r="R256" i="12"/>
  <c r="N271" i="12"/>
  <c r="X271" i="12"/>
  <c r="S277" i="12"/>
  <c r="T277" i="12" s="1"/>
  <c r="U277" i="12" s="1"/>
  <c r="B277" i="12" s="1"/>
  <c r="R277" i="12"/>
  <c r="Q277" i="12"/>
  <c r="W277" i="12" s="1"/>
  <c r="M277" i="12"/>
  <c r="X287" i="12"/>
  <c r="N287" i="12"/>
  <c r="N275" i="12"/>
  <c r="X275" i="12"/>
  <c r="S281" i="12"/>
  <c r="T281" i="12" s="1"/>
  <c r="U281" i="12" s="1"/>
  <c r="B281" i="12" s="1"/>
  <c r="R281" i="12"/>
  <c r="Q281" i="12"/>
  <c r="W281" i="12" s="1"/>
  <c r="M281" i="12"/>
  <c r="X283" i="12"/>
  <c r="N283" i="12"/>
  <c r="N289" i="12"/>
  <c r="X289" i="12"/>
  <c r="N263" i="12"/>
  <c r="X263" i="12"/>
  <c r="N285" i="12"/>
  <c r="X285" i="12"/>
  <c r="X288" i="12"/>
  <c r="Y300" i="12"/>
  <c r="Y301" i="12"/>
  <c r="Y299" i="12"/>
  <c r="Y297" i="12"/>
  <c r="Q276" i="12"/>
  <c r="W276" i="12" s="1"/>
  <c r="M276" i="12"/>
  <c r="R276" i="12"/>
  <c r="Q280" i="12"/>
  <c r="W280" i="12" s="1"/>
  <c r="M280" i="12"/>
  <c r="R280" i="12"/>
  <c r="N282" i="12"/>
  <c r="N286" i="12"/>
  <c r="M255" i="12"/>
  <c r="Q255" i="12"/>
  <c r="W255" i="12" s="1"/>
  <c r="N261" i="12"/>
  <c r="N265" i="12"/>
  <c r="N269" i="12"/>
  <c r="N273" i="12"/>
  <c r="S276" i="12"/>
  <c r="T276" i="12" s="1"/>
  <c r="U276" i="12" s="1"/>
  <c r="B276" i="12" s="1"/>
  <c r="M279" i="12"/>
  <c r="Q279" i="12"/>
  <c r="W279" i="12" s="1"/>
  <c r="S280" i="12"/>
  <c r="T280" i="12" s="1"/>
  <c r="U280" i="12" s="1"/>
  <c r="B280" i="12" s="1"/>
  <c r="N4" i="11"/>
  <c r="X6" i="11"/>
  <c r="N6" i="11"/>
  <c r="N7" i="11"/>
  <c r="X7" i="11"/>
  <c r="X10" i="11"/>
  <c r="N10" i="11"/>
  <c r="AA3" i="11"/>
  <c r="AA4" i="11" s="1"/>
  <c r="AA5" i="11" s="1"/>
  <c r="AA6" i="11" s="1"/>
  <c r="AA7" i="11" s="1"/>
  <c r="AA8" i="11" s="1"/>
  <c r="AA9" i="11" s="1"/>
  <c r="AA10" i="11" s="1"/>
  <c r="AA11" i="11" s="1"/>
  <c r="N3" i="11"/>
  <c r="S18" i="11"/>
  <c r="T18" i="11" s="1"/>
  <c r="U18" i="11" s="1"/>
  <c r="B18" i="11" s="1"/>
  <c r="Q18" i="11"/>
  <c r="W18" i="11" s="1"/>
  <c r="M18" i="11"/>
  <c r="X32" i="11"/>
  <c r="N37" i="11"/>
  <c r="X44" i="11"/>
  <c r="N57" i="11"/>
  <c r="X57" i="11"/>
  <c r="R62" i="11"/>
  <c r="S62" i="11"/>
  <c r="T62" i="11" s="1"/>
  <c r="U62" i="11" s="1"/>
  <c r="M62" i="11"/>
  <c r="R66" i="11"/>
  <c r="S66" i="11"/>
  <c r="T66" i="11" s="1"/>
  <c r="U66" i="11" s="1"/>
  <c r="B66" i="11" s="1"/>
  <c r="M66" i="11"/>
  <c r="AD291" i="11"/>
  <c r="Y301" i="11" s="1"/>
  <c r="N5" i="11"/>
  <c r="N9" i="11"/>
  <c r="X11" i="11"/>
  <c r="S12" i="11"/>
  <c r="T12" i="11" s="1"/>
  <c r="U12" i="11" s="1"/>
  <c r="B12" i="11" s="1"/>
  <c r="M14" i="11"/>
  <c r="Q14" i="11"/>
  <c r="W14" i="11" s="1"/>
  <c r="M15" i="11"/>
  <c r="S15" i="11"/>
  <c r="T15" i="11" s="1"/>
  <c r="U15" i="11" s="1"/>
  <c r="B15" i="11" s="1"/>
  <c r="Q16" i="11"/>
  <c r="W16" i="11" s="1"/>
  <c r="M16" i="11"/>
  <c r="R16" i="11"/>
  <c r="X22" i="11"/>
  <c r="X26" i="11"/>
  <c r="N29" i="11"/>
  <c r="N32" i="11"/>
  <c r="S42" i="11"/>
  <c r="T42" i="11" s="1"/>
  <c r="U42" i="11" s="1"/>
  <c r="B42" i="11" s="1"/>
  <c r="R42" i="11"/>
  <c r="Q42" i="11"/>
  <c r="W42" i="11" s="1"/>
  <c r="M42" i="11"/>
  <c r="N44" i="11"/>
  <c r="N49" i="11"/>
  <c r="R84" i="11"/>
  <c r="S84" i="11"/>
  <c r="T84" i="11" s="1"/>
  <c r="U84" i="11" s="1"/>
  <c r="B84" i="11" s="1"/>
  <c r="M84" i="11"/>
  <c r="R88" i="11"/>
  <c r="S88" i="11"/>
  <c r="T88" i="11" s="1"/>
  <c r="U88" i="11" s="1"/>
  <c r="B88" i="11" s="1"/>
  <c r="M88" i="11"/>
  <c r="N101" i="11"/>
  <c r="Q15" i="11"/>
  <c r="W15" i="11" s="1"/>
  <c r="X52" i="11"/>
  <c r="N70" i="11"/>
  <c r="N78" i="11"/>
  <c r="N8" i="11"/>
  <c r="R14" i="11"/>
  <c r="X21" i="11"/>
  <c r="X25" i="11"/>
  <c r="N26" i="11"/>
  <c r="X28" i="11"/>
  <c r="N34" i="11"/>
  <c r="X34" i="11"/>
  <c r="S38" i="11"/>
  <c r="T38" i="11" s="1"/>
  <c r="U38" i="11" s="1"/>
  <c r="B38" i="11" s="1"/>
  <c r="R38" i="11"/>
  <c r="Q38" i="11"/>
  <c r="W38" i="11" s="1"/>
  <c r="M38" i="11"/>
  <c r="N46" i="11"/>
  <c r="X46" i="11"/>
  <c r="X48" i="11"/>
  <c r="N54" i="11"/>
  <c r="X54" i="11"/>
  <c r="X56" i="11"/>
  <c r="R64" i="11"/>
  <c r="S64" i="11"/>
  <c r="T64" i="11" s="1"/>
  <c r="U64" i="11" s="1"/>
  <c r="B64" i="11" s="1"/>
  <c r="M64" i="11"/>
  <c r="N74" i="11"/>
  <c r="N82" i="11"/>
  <c r="S83" i="11"/>
  <c r="T83" i="11" s="1"/>
  <c r="U83" i="11" s="1"/>
  <c r="B83" i="11" s="1"/>
  <c r="R83" i="11"/>
  <c r="Q83" i="11"/>
  <c r="W83" i="11" s="1"/>
  <c r="M83" i="11"/>
  <c r="N94" i="11"/>
  <c r="N121" i="11"/>
  <c r="N123" i="11"/>
  <c r="Q12" i="11"/>
  <c r="W12" i="11" s="1"/>
  <c r="M12" i="11"/>
  <c r="R18" i="11"/>
  <c r="N30" i="11"/>
  <c r="X30" i="11"/>
  <c r="N50" i="11"/>
  <c r="X50" i="11"/>
  <c r="N93" i="11"/>
  <c r="N104" i="11"/>
  <c r="N174" i="11"/>
  <c r="N198" i="11"/>
  <c r="V2" i="11"/>
  <c r="C3" i="11" s="1"/>
  <c r="D3" i="11" s="1"/>
  <c r="X20" i="11"/>
  <c r="X24" i="11"/>
  <c r="N28" i="11"/>
  <c r="X29" i="11"/>
  <c r="N33" i="11"/>
  <c r="N45" i="11"/>
  <c r="N48" i="11"/>
  <c r="X49" i="11"/>
  <c r="N53" i="11"/>
  <c r="N56" i="11"/>
  <c r="Q62" i="11"/>
  <c r="Q66" i="11"/>
  <c r="W66" i="11" s="1"/>
  <c r="T67" i="11"/>
  <c r="U67" i="11" s="1"/>
  <c r="B67" i="11" s="1"/>
  <c r="N75" i="11"/>
  <c r="R86" i="11"/>
  <c r="S86" i="11"/>
  <c r="T86" i="11" s="1"/>
  <c r="U86" i="11" s="1"/>
  <c r="B86" i="11" s="1"/>
  <c r="M86" i="11"/>
  <c r="N96" i="11"/>
  <c r="N102" i="11"/>
  <c r="N117" i="11"/>
  <c r="S36" i="11"/>
  <c r="T36" i="11" s="1"/>
  <c r="U36" i="11" s="1"/>
  <c r="B36" i="11" s="1"/>
  <c r="S40" i="11"/>
  <c r="T40" i="11" s="1"/>
  <c r="U40" i="11" s="1"/>
  <c r="B40" i="11" s="1"/>
  <c r="Q67" i="11"/>
  <c r="W67" i="11" s="1"/>
  <c r="M67" i="11"/>
  <c r="R67" i="11"/>
  <c r="N107" i="11"/>
  <c r="N116" i="11"/>
  <c r="N128" i="11"/>
  <c r="X27" i="11"/>
  <c r="X31" i="11"/>
  <c r="X35" i="11"/>
  <c r="X43" i="11"/>
  <c r="X47" i="11"/>
  <c r="X51" i="11"/>
  <c r="X55" i="11"/>
  <c r="Q61" i="11"/>
  <c r="Q63" i="11"/>
  <c r="Q65" i="11"/>
  <c r="Q85" i="11"/>
  <c r="Q87" i="11"/>
  <c r="Q89" i="11"/>
  <c r="W89" i="11" s="1"/>
  <c r="N97" i="11"/>
  <c r="N105" i="11"/>
  <c r="Q108" i="11"/>
  <c r="M108" i="11"/>
  <c r="S108" i="11"/>
  <c r="T108" i="11" s="1"/>
  <c r="U108" i="11" s="1"/>
  <c r="R108" i="11"/>
  <c r="N124" i="11"/>
  <c r="N129" i="11"/>
  <c r="N141" i="11"/>
  <c r="N145" i="11"/>
  <c r="N149" i="11"/>
  <c r="Y290" i="11"/>
  <c r="Y291" i="11" s="1"/>
  <c r="W293" i="11" s="1"/>
  <c r="M36" i="11"/>
  <c r="M40" i="11"/>
  <c r="N58" i="11"/>
  <c r="M60" i="11"/>
  <c r="Q60" i="11"/>
  <c r="W60" i="11" s="1"/>
  <c r="M61" i="11"/>
  <c r="S61" i="11"/>
  <c r="T61" i="11" s="1"/>
  <c r="U61" i="11" s="1"/>
  <c r="B61" i="11" s="1"/>
  <c r="M63" i="11"/>
  <c r="S63" i="11"/>
  <c r="T63" i="11" s="1"/>
  <c r="U63" i="11" s="1"/>
  <c r="M65" i="11"/>
  <c r="S65" i="11"/>
  <c r="T65" i="11" s="1"/>
  <c r="U65" i="11" s="1"/>
  <c r="B65" i="11" s="1"/>
  <c r="M85" i="11"/>
  <c r="S85" i="11"/>
  <c r="T85" i="11" s="1"/>
  <c r="U85" i="11" s="1"/>
  <c r="M87" i="11"/>
  <c r="S87" i="11"/>
  <c r="T87" i="11" s="1"/>
  <c r="U87" i="11" s="1"/>
  <c r="B87" i="11" s="1"/>
  <c r="M89" i="11"/>
  <c r="S89" i="11"/>
  <c r="T89" i="11" s="1"/>
  <c r="U89" i="11" s="1"/>
  <c r="B89" i="11" s="1"/>
  <c r="Q90" i="11"/>
  <c r="W90" i="11" s="1"/>
  <c r="M90" i="11"/>
  <c r="R90" i="11"/>
  <c r="N91" i="11"/>
  <c r="N98" i="11"/>
  <c r="N100" i="11"/>
  <c r="S106" i="11"/>
  <c r="T106" i="11" s="1"/>
  <c r="U106" i="11" s="1"/>
  <c r="B106" i="11" s="1"/>
  <c r="Q106" i="11"/>
  <c r="W106" i="11" s="1"/>
  <c r="M106" i="11"/>
  <c r="R106" i="11"/>
  <c r="N120" i="11"/>
  <c r="N125" i="11"/>
  <c r="N131" i="11"/>
  <c r="B136" i="11"/>
  <c r="N155" i="11"/>
  <c r="R156" i="11"/>
  <c r="Q156" i="11"/>
  <c r="M156" i="11"/>
  <c r="S156" i="11"/>
  <c r="T156" i="11" s="1"/>
  <c r="U156" i="11" s="1"/>
  <c r="S109" i="11"/>
  <c r="T109" i="11" s="1"/>
  <c r="U109" i="11" s="1"/>
  <c r="B109" i="11" s="1"/>
  <c r="S110" i="11"/>
  <c r="T110" i="11" s="1"/>
  <c r="U110" i="11" s="1"/>
  <c r="B110" i="11" s="1"/>
  <c r="S111" i="11"/>
  <c r="T111" i="11" s="1"/>
  <c r="U111" i="11" s="1"/>
  <c r="B111" i="11" s="1"/>
  <c r="S112" i="11"/>
  <c r="T112" i="11" s="1"/>
  <c r="U112" i="11" s="1"/>
  <c r="B112" i="11" s="1"/>
  <c r="S113" i="11"/>
  <c r="T113" i="11" s="1"/>
  <c r="U113" i="11" s="1"/>
  <c r="B113" i="11" s="1"/>
  <c r="S114" i="11"/>
  <c r="T114" i="11" s="1"/>
  <c r="U114" i="11" s="1"/>
  <c r="S115" i="11"/>
  <c r="T115" i="11" s="1"/>
  <c r="U115" i="11" s="1"/>
  <c r="B115" i="11" s="1"/>
  <c r="R133" i="11"/>
  <c r="Q133" i="11"/>
  <c r="B133" i="11" s="1"/>
  <c r="M133" i="11"/>
  <c r="R135" i="11"/>
  <c r="Q135" i="11"/>
  <c r="B135" i="11" s="1"/>
  <c r="M135" i="11"/>
  <c r="R137" i="11"/>
  <c r="Q137" i="11"/>
  <c r="B137" i="11" s="1"/>
  <c r="M137" i="11"/>
  <c r="N170" i="11"/>
  <c r="N175" i="11"/>
  <c r="N190" i="11"/>
  <c r="N153" i="11"/>
  <c r="R158" i="11"/>
  <c r="Q158" i="11"/>
  <c r="M158" i="11"/>
  <c r="S158" i="11"/>
  <c r="T158" i="11" s="1"/>
  <c r="U158" i="11" s="1"/>
  <c r="N166" i="11"/>
  <c r="N171" i="11"/>
  <c r="M109" i="11"/>
  <c r="M110" i="11"/>
  <c r="M111" i="11"/>
  <c r="M112" i="11"/>
  <c r="M113" i="11"/>
  <c r="M114" i="11"/>
  <c r="M115" i="11"/>
  <c r="S131" i="11"/>
  <c r="T131" i="11" s="1"/>
  <c r="U131" i="11" s="1"/>
  <c r="B131" i="11" s="1"/>
  <c r="R131" i="11"/>
  <c r="Q131" i="11"/>
  <c r="W131" i="11" s="1"/>
  <c r="R132" i="11"/>
  <c r="Q132" i="11"/>
  <c r="B132" i="11" s="1"/>
  <c r="M132" i="11"/>
  <c r="R134" i="11"/>
  <c r="Q134" i="11"/>
  <c r="B134" i="11" s="1"/>
  <c r="M134" i="11"/>
  <c r="R136" i="11"/>
  <c r="Q136" i="11"/>
  <c r="M136" i="11"/>
  <c r="R138" i="11"/>
  <c r="Q138" i="11"/>
  <c r="W138" i="11" s="1"/>
  <c r="M138" i="11"/>
  <c r="N144" i="11"/>
  <c r="N148" i="11"/>
  <c r="N152" i="11"/>
  <c r="R157" i="11"/>
  <c r="Q157" i="11"/>
  <c r="M157" i="11"/>
  <c r="S157" i="11"/>
  <c r="T157" i="11" s="1"/>
  <c r="U157" i="11" s="1"/>
  <c r="N167" i="11"/>
  <c r="N197" i="11"/>
  <c r="S159" i="11"/>
  <c r="T159" i="11" s="1"/>
  <c r="U159" i="11" s="1"/>
  <c r="S160" i="11"/>
  <c r="T160" i="11" s="1"/>
  <c r="U160" i="11" s="1"/>
  <c r="S161" i="11"/>
  <c r="T161" i="11" s="1"/>
  <c r="U161" i="11" s="1"/>
  <c r="B161" i="11" s="1"/>
  <c r="S165" i="11"/>
  <c r="T165" i="11" s="1"/>
  <c r="U165" i="11" s="1"/>
  <c r="B165" i="11" s="1"/>
  <c r="N192" i="11"/>
  <c r="N193" i="11"/>
  <c r="N232" i="11"/>
  <c r="S233" i="11"/>
  <c r="T233" i="11" s="1"/>
  <c r="U233" i="11" s="1"/>
  <c r="B233" i="11" s="1"/>
  <c r="R233" i="11"/>
  <c r="M233" i="11"/>
  <c r="R234" i="11"/>
  <c r="Q234" i="11"/>
  <c r="W234" i="11" s="1"/>
  <c r="M234" i="11"/>
  <c r="S234" i="11"/>
  <c r="T234" i="11" s="1"/>
  <c r="U234" i="11" s="1"/>
  <c r="B234" i="11" s="1"/>
  <c r="N236" i="11"/>
  <c r="N264" i="11"/>
  <c r="R206" i="11"/>
  <c r="S206" i="11"/>
  <c r="T206" i="11" s="1"/>
  <c r="U206" i="11" s="1"/>
  <c r="M206" i="11"/>
  <c r="N218" i="11"/>
  <c r="N223" i="11"/>
  <c r="N237" i="11"/>
  <c r="N245" i="11"/>
  <c r="N248" i="11"/>
  <c r="R155" i="11"/>
  <c r="M159" i="11"/>
  <c r="Q159" i="11"/>
  <c r="M160" i="11"/>
  <c r="Q160" i="11"/>
  <c r="M161" i="11"/>
  <c r="Q161" i="11"/>
  <c r="W161" i="11" s="1"/>
  <c r="R164" i="11"/>
  <c r="M165" i="11"/>
  <c r="Q165" i="11"/>
  <c r="W165" i="11" s="1"/>
  <c r="N168" i="11"/>
  <c r="N172" i="11"/>
  <c r="N176" i="11"/>
  <c r="R180" i="11"/>
  <c r="N181" i="11"/>
  <c r="N185" i="11"/>
  <c r="Q187" i="11"/>
  <c r="W187" i="11" s="1"/>
  <c r="S227" i="11"/>
  <c r="T227" i="11" s="1"/>
  <c r="U227" i="11" s="1"/>
  <c r="B227" i="11" s="1"/>
  <c r="R227" i="11"/>
  <c r="M227" i="11"/>
  <c r="R228" i="11"/>
  <c r="Q228" i="11"/>
  <c r="W228" i="11" s="1"/>
  <c r="M228" i="11"/>
  <c r="S228" i="11"/>
  <c r="T228" i="11" s="1"/>
  <c r="U228" i="11" s="1"/>
  <c r="B228" i="11" s="1"/>
  <c r="N230" i="11"/>
  <c r="M139" i="11"/>
  <c r="M162" i="11"/>
  <c r="M178" i="11"/>
  <c r="N184" i="11"/>
  <c r="M186" i="11"/>
  <c r="Q186" i="11"/>
  <c r="W186" i="11" s="1"/>
  <c r="M187" i="11"/>
  <c r="S187" i="11"/>
  <c r="T187" i="11" s="1"/>
  <c r="U187" i="11" s="1"/>
  <c r="B187" i="11" s="1"/>
  <c r="Q188" i="11"/>
  <c r="W188" i="11" s="1"/>
  <c r="M188" i="11"/>
  <c r="R188" i="11"/>
  <c r="N189" i="11"/>
  <c r="N200" i="11"/>
  <c r="N201" i="11"/>
  <c r="R208" i="11"/>
  <c r="S208" i="11"/>
  <c r="T208" i="11" s="1"/>
  <c r="U208" i="11" s="1"/>
  <c r="B208" i="11" s="1"/>
  <c r="M208" i="11"/>
  <c r="N231" i="11"/>
  <c r="Q233" i="11"/>
  <c r="W233" i="11" s="1"/>
  <c r="N241" i="11"/>
  <c r="N222" i="11"/>
  <c r="N240" i="11"/>
  <c r="Q205" i="11"/>
  <c r="Q207" i="11"/>
  <c r="Q209" i="11"/>
  <c r="W209" i="11" s="1"/>
  <c r="N215" i="11"/>
  <c r="N226" i="11"/>
  <c r="N244" i="11"/>
  <c r="S252" i="11"/>
  <c r="T252" i="11" s="1"/>
  <c r="U252" i="11" s="1"/>
  <c r="B252" i="11" s="1"/>
  <c r="R252" i="11"/>
  <c r="M252" i="11"/>
  <c r="Q252" i="11"/>
  <c r="W252" i="11" s="1"/>
  <c r="M204" i="11"/>
  <c r="Q204" i="11"/>
  <c r="W204" i="11" s="1"/>
  <c r="M205" i="11"/>
  <c r="S205" i="11"/>
  <c r="T205" i="11" s="1"/>
  <c r="U205" i="11" s="1"/>
  <c r="M207" i="11"/>
  <c r="S207" i="11"/>
  <c r="T207" i="11" s="1"/>
  <c r="U207" i="11" s="1"/>
  <c r="M209" i="11"/>
  <c r="S209" i="11"/>
  <c r="T209" i="11" s="1"/>
  <c r="U209" i="11" s="1"/>
  <c r="B209" i="11" s="1"/>
  <c r="Q210" i="11"/>
  <c r="W210" i="11" s="1"/>
  <c r="M210" i="11"/>
  <c r="R210" i="11"/>
  <c r="N214" i="11"/>
  <c r="N219" i="11"/>
  <c r="N260" i="11"/>
  <c r="N268" i="11"/>
  <c r="N272" i="11"/>
  <c r="N284" i="11"/>
  <c r="N288" i="11"/>
  <c r="Y300" i="11"/>
  <c r="R253" i="11"/>
  <c r="Q253" i="11"/>
  <c r="W253" i="11" s="1"/>
  <c r="M253" i="11"/>
  <c r="S256" i="11"/>
  <c r="T256" i="11" s="1"/>
  <c r="U256" i="11" s="1"/>
  <c r="B256" i="11" s="1"/>
  <c r="R256" i="11"/>
  <c r="Q256" i="11"/>
  <c r="W256" i="11" s="1"/>
  <c r="R257" i="11"/>
  <c r="Q257" i="11"/>
  <c r="W257" i="11" s="1"/>
  <c r="M257" i="11"/>
  <c r="N259" i="11"/>
  <c r="N263" i="11"/>
  <c r="N267" i="11"/>
  <c r="N271" i="11"/>
  <c r="N275" i="11"/>
  <c r="N283" i="11"/>
  <c r="N287" i="11"/>
  <c r="M256" i="11"/>
  <c r="N279" i="11"/>
  <c r="S280" i="11"/>
  <c r="T280" i="11" s="1"/>
  <c r="U280" i="11" s="1"/>
  <c r="B280" i="11" s="1"/>
  <c r="R280" i="11"/>
  <c r="Q280" i="11"/>
  <c r="W280" i="11" s="1"/>
  <c r="R281" i="11"/>
  <c r="Q281" i="11"/>
  <c r="W281" i="11" s="1"/>
  <c r="M281" i="11"/>
  <c r="N251" i="11"/>
  <c r="S276" i="11"/>
  <c r="T276" i="11" s="1"/>
  <c r="U276" i="11" s="1"/>
  <c r="B276" i="11" s="1"/>
  <c r="R276" i="11"/>
  <c r="Q276" i="11"/>
  <c r="W276" i="11" s="1"/>
  <c r="R277" i="11"/>
  <c r="Q277" i="11"/>
  <c r="W277" i="11" s="1"/>
  <c r="M277" i="11"/>
  <c r="M278" i="11"/>
  <c r="N24" i="10"/>
  <c r="X24" i="10"/>
  <c r="N28" i="10"/>
  <c r="X28" i="10"/>
  <c r="N26" i="10"/>
  <c r="N32" i="10"/>
  <c r="X32" i="10"/>
  <c r="N34" i="10"/>
  <c r="X34" i="10"/>
  <c r="N19" i="10"/>
  <c r="N22" i="10"/>
  <c r="X22" i="10"/>
  <c r="N27" i="10"/>
  <c r="X27" i="10"/>
  <c r="N35" i="10"/>
  <c r="X35" i="10"/>
  <c r="N48" i="10"/>
  <c r="N53" i="10"/>
  <c r="X53" i="10"/>
  <c r="X7" i="10"/>
  <c r="N7" i="10"/>
  <c r="N54" i="10"/>
  <c r="X54" i="10"/>
  <c r="N56" i="10"/>
  <c r="X56" i="10"/>
  <c r="N8" i="10"/>
  <c r="X8" i="10"/>
  <c r="N25" i="10"/>
  <c r="X25" i="10"/>
  <c r="N31" i="10"/>
  <c r="X31" i="10"/>
  <c r="N43" i="10"/>
  <c r="N46" i="10"/>
  <c r="N57" i="10"/>
  <c r="X57" i="10"/>
  <c r="N20" i="10"/>
  <c r="N30" i="10"/>
  <c r="X30" i="10"/>
  <c r="AA2" i="10"/>
  <c r="N2" i="10"/>
  <c r="N11" i="10"/>
  <c r="X11" i="10"/>
  <c r="AA3" i="10"/>
  <c r="AA4" i="10" s="1"/>
  <c r="AA5" i="10" s="1"/>
  <c r="AA6" i="10" s="1"/>
  <c r="AA7" i="10" s="1"/>
  <c r="AA8" i="10" s="1"/>
  <c r="AA9" i="10" s="1"/>
  <c r="AA10" i="10" s="1"/>
  <c r="AA11" i="10" s="1"/>
  <c r="N3" i="10"/>
  <c r="N44" i="10"/>
  <c r="N47" i="10"/>
  <c r="N50" i="10"/>
  <c r="X50" i="10"/>
  <c r="N52" i="10"/>
  <c r="X52" i="10"/>
  <c r="N58" i="10"/>
  <c r="X58" i="10"/>
  <c r="V2" i="10"/>
  <c r="C3" i="10" s="1"/>
  <c r="D3" i="10" s="1"/>
  <c r="N6" i="10"/>
  <c r="N10" i="10"/>
  <c r="N14" i="10"/>
  <c r="N15" i="10"/>
  <c r="N16" i="10"/>
  <c r="N17" i="10"/>
  <c r="M18" i="10"/>
  <c r="Q18" i="10"/>
  <c r="W18" i="10" s="1"/>
  <c r="N21" i="10"/>
  <c r="N23" i="10"/>
  <c r="N29" i="10"/>
  <c r="N33" i="10"/>
  <c r="N37" i="10"/>
  <c r="M38" i="10"/>
  <c r="Q38" i="10"/>
  <c r="B38" i="10" s="1"/>
  <c r="M39" i="10"/>
  <c r="Q39" i="10"/>
  <c r="B39" i="10" s="1"/>
  <c r="M40" i="10"/>
  <c r="Q40" i="10"/>
  <c r="B40" i="10" s="1"/>
  <c r="M41" i="10"/>
  <c r="Q41" i="10"/>
  <c r="B41" i="10" s="1"/>
  <c r="M42" i="10"/>
  <c r="Q42" i="10"/>
  <c r="W42" i="10" s="1"/>
  <c r="N45" i="10"/>
  <c r="N49" i="10"/>
  <c r="N51" i="10"/>
  <c r="N55" i="10"/>
  <c r="N59" i="10"/>
  <c r="M60" i="10"/>
  <c r="Q60" i="10"/>
  <c r="B60" i="10" s="1"/>
  <c r="M61" i="10"/>
  <c r="Q61" i="10"/>
  <c r="B61" i="10" s="1"/>
  <c r="M62" i="10"/>
  <c r="Q62" i="10"/>
  <c r="B62" i="10" s="1"/>
  <c r="N71" i="10"/>
  <c r="N75" i="10"/>
  <c r="N105" i="10"/>
  <c r="N117" i="10"/>
  <c r="N125" i="10"/>
  <c r="X6" i="10"/>
  <c r="X290" i="10" s="1"/>
  <c r="N4" i="10"/>
  <c r="Y290" i="10"/>
  <c r="Y291" i="10" s="1"/>
  <c r="W293" i="10" s="1"/>
  <c r="M12" i="10"/>
  <c r="Q12" i="10"/>
  <c r="W12" i="10" s="1"/>
  <c r="R18" i="10"/>
  <c r="R38" i="10"/>
  <c r="R39" i="10"/>
  <c r="R40" i="10"/>
  <c r="R41" i="10"/>
  <c r="R42" i="10"/>
  <c r="R60" i="10"/>
  <c r="R61" i="10"/>
  <c r="R62" i="10"/>
  <c r="N63" i="10"/>
  <c r="N64" i="10"/>
  <c r="N82" i="10"/>
  <c r="B87" i="10"/>
  <c r="N93" i="10"/>
  <c r="N123" i="10"/>
  <c r="AD291" i="10"/>
  <c r="Y300" i="10" s="1"/>
  <c r="B2" i="10"/>
  <c r="M13" i="10"/>
  <c r="N68" i="10"/>
  <c r="N78" i="10"/>
  <c r="N97" i="10"/>
  <c r="N121" i="10"/>
  <c r="N129" i="10"/>
  <c r="N74" i="10"/>
  <c r="N79" i="10"/>
  <c r="B84" i="10"/>
  <c r="B85" i="10"/>
  <c r="B86" i="10"/>
  <c r="N101" i="10"/>
  <c r="N119" i="10"/>
  <c r="N127" i="10"/>
  <c r="S83" i="10"/>
  <c r="T83" i="10" s="1"/>
  <c r="U83" i="10" s="1"/>
  <c r="B83" i="10" s="1"/>
  <c r="Q90" i="10"/>
  <c r="W90" i="10" s="1"/>
  <c r="S107" i="10"/>
  <c r="T107" i="10" s="1"/>
  <c r="U107" i="10" s="1"/>
  <c r="S108" i="10"/>
  <c r="T108" i="10" s="1"/>
  <c r="U108" i="10" s="1"/>
  <c r="S109" i="10"/>
  <c r="T109" i="10" s="1"/>
  <c r="U109" i="10" s="1"/>
  <c r="S110" i="10"/>
  <c r="T110" i="10" s="1"/>
  <c r="U110" i="10" s="1"/>
  <c r="S111" i="10"/>
  <c r="T111" i="10" s="1"/>
  <c r="U111" i="10" s="1"/>
  <c r="S112" i="10"/>
  <c r="T112" i="10" s="1"/>
  <c r="U112" i="10" s="1"/>
  <c r="S113" i="10"/>
  <c r="T113" i="10" s="1"/>
  <c r="U113" i="10" s="1"/>
  <c r="S114" i="10"/>
  <c r="T114" i="10" s="1"/>
  <c r="U114" i="10" s="1"/>
  <c r="S115" i="10"/>
  <c r="T115" i="10" s="1"/>
  <c r="U115" i="10" s="1"/>
  <c r="B115" i="10" s="1"/>
  <c r="N116" i="10"/>
  <c r="N118" i="10"/>
  <c r="N122" i="10"/>
  <c r="N126" i="10"/>
  <c r="N130" i="10"/>
  <c r="M131" i="10"/>
  <c r="Q131" i="10"/>
  <c r="B131" i="10" s="1"/>
  <c r="M132" i="10"/>
  <c r="Q132" i="10"/>
  <c r="B132" i="10" s="1"/>
  <c r="M133" i="10"/>
  <c r="Q133" i="10"/>
  <c r="B133" i="10" s="1"/>
  <c r="M134" i="10"/>
  <c r="Q134" i="10"/>
  <c r="B134" i="10" s="1"/>
  <c r="M135" i="10"/>
  <c r="Q135" i="10"/>
  <c r="B135" i="10" s="1"/>
  <c r="M136" i="10"/>
  <c r="Q136" i="10"/>
  <c r="B136" i="10" s="1"/>
  <c r="N142" i="10"/>
  <c r="N144" i="10"/>
  <c r="N146" i="10"/>
  <c r="N147" i="10"/>
  <c r="N150" i="10"/>
  <c r="N169" i="10"/>
  <c r="N177" i="10"/>
  <c r="N139" i="10"/>
  <c r="N141" i="10"/>
  <c r="N143" i="10"/>
  <c r="N145" i="10"/>
  <c r="N148" i="10"/>
  <c r="N167" i="10"/>
  <c r="N175" i="10"/>
  <c r="N72" i="10"/>
  <c r="N76" i="10"/>
  <c r="N80" i="10"/>
  <c r="M83" i="10"/>
  <c r="Q83" i="10"/>
  <c r="W83" i="10" s="1"/>
  <c r="N91" i="10"/>
  <c r="R91" i="10"/>
  <c r="R92" i="10"/>
  <c r="N94" i="10"/>
  <c r="N98" i="10"/>
  <c r="N102" i="10"/>
  <c r="R106" i="10"/>
  <c r="M107" i="10"/>
  <c r="Q107" i="10"/>
  <c r="M108" i="10"/>
  <c r="Q108" i="10"/>
  <c r="M109" i="10"/>
  <c r="Q109" i="10"/>
  <c r="M110" i="10"/>
  <c r="Q110" i="10"/>
  <c r="M111" i="10"/>
  <c r="Q111" i="10"/>
  <c r="M112" i="10"/>
  <c r="Q112" i="10"/>
  <c r="M113" i="10"/>
  <c r="Q113" i="10"/>
  <c r="M114" i="10"/>
  <c r="Q114" i="10"/>
  <c r="M115" i="10"/>
  <c r="Q115" i="10"/>
  <c r="W115" i="10" s="1"/>
  <c r="N120" i="10"/>
  <c r="N124" i="10"/>
  <c r="N128" i="10"/>
  <c r="Q137" i="10"/>
  <c r="B137" i="10" s="1"/>
  <c r="M137" i="10"/>
  <c r="R137" i="10"/>
  <c r="Q138" i="10"/>
  <c r="W138" i="10" s="1"/>
  <c r="M138" i="10"/>
  <c r="R138" i="10"/>
  <c r="N173" i="10"/>
  <c r="N191" i="10"/>
  <c r="M84" i="10"/>
  <c r="M85" i="10"/>
  <c r="M86" i="10"/>
  <c r="Q140" i="10"/>
  <c r="W140" i="10" s="1"/>
  <c r="M140" i="10"/>
  <c r="S140" i="10"/>
  <c r="T140" i="10" s="1"/>
  <c r="U140" i="10" s="1"/>
  <c r="B140" i="10" s="1"/>
  <c r="R140" i="10"/>
  <c r="N152" i="10"/>
  <c r="N171" i="10"/>
  <c r="N149" i="10"/>
  <c r="N153" i="10"/>
  <c r="S154" i="10"/>
  <c r="T154" i="10" s="1"/>
  <c r="U154" i="10" s="1"/>
  <c r="B154" i="10" s="1"/>
  <c r="N155" i="10"/>
  <c r="N156" i="10"/>
  <c r="N157" i="10"/>
  <c r="N158" i="10"/>
  <c r="N159" i="10"/>
  <c r="N160" i="10"/>
  <c r="N161" i="10"/>
  <c r="N162" i="10"/>
  <c r="M163" i="10"/>
  <c r="Q163" i="10"/>
  <c r="W163" i="10" s="1"/>
  <c r="S165" i="10"/>
  <c r="T165" i="10" s="1"/>
  <c r="U165" i="10" s="1"/>
  <c r="B165" i="10" s="1"/>
  <c r="N166" i="10"/>
  <c r="N170" i="10"/>
  <c r="N174" i="10"/>
  <c r="N178" i="10"/>
  <c r="M179" i="10"/>
  <c r="Q179" i="10"/>
  <c r="W179" i="10" s="1"/>
  <c r="S187" i="10"/>
  <c r="T187" i="10" s="1"/>
  <c r="U187" i="10" s="1"/>
  <c r="B187" i="10" s="1"/>
  <c r="N188" i="10"/>
  <c r="M189" i="10"/>
  <c r="Q189" i="10"/>
  <c r="W189" i="10" s="1"/>
  <c r="N192" i="10"/>
  <c r="N235" i="10"/>
  <c r="R163" i="10"/>
  <c r="R179" i="10"/>
  <c r="N193" i="10"/>
  <c r="N197" i="10"/>
  <c r="N201" i="10"/>
  <c r="N236" i="10"/>
  <c r="N151" i="10"/>
  <c r="M154" i="10"/>
  <c r="Q154" i="10"/>
  <c r="W154" i="10" s="1"/>
  <c r="M165" i="10"/>
  <c r="N168" i="10"/>
  <c r="N172" i="10"/>
  <c r="N176" i="10"/>
  <c r="N180" i="10"/>
  <c r="N181" i="10"/>
  <c r="N182" i="10"/>
  <c r="N183" i="10"/>
  <c r="N184" i="10"/>
  <c r="N185" i="10"/>
  <c r="M187" i="10"/>
  <c r="Q187" i="10"/>
  <c r="W187" i="10" s="1"/>
  <c r="N190" i="10"/>
  <c r="N196" i="10"/>
  <c r="N200" i="10"/>
  <c r="N210" i="10"/>
  <c r="S211" i="10"/>
  <c r="T211" i="10" s="1"/>
  <c r="U211" i="10" s="1"/>
  <c r="B211" i="10" s="1"/>
  <c r="R211" i="10"/>
  <c r="Q211" i="10"/>
  <c r="W211" i="10" s="1"/>
  <c r="M211" i="10"/>
  <c r="N212" i="10"/>
  <c r="N220" i="10"/>
  <c r="N243" i="10"/>
  <c r="N213" i="10"/>
  <c r="N221" i="10"/>
  <c r="N244" i="10"/>
  <c r="N239" i="10"/>
  <c r="N251" i="10"/>
  <c r="R210" i="10"/>
  <c r="N229" i="10"/>
  <c r="N233" i="10"/>
  <c r="N240" i="10"/>
  <c r="N242" i="10"/>
  <c r="M203" i="10"/>
  <c r="Q227" i="10"/>
  <c r="W227" i="10" s="1"/>
  <c r="M227" i="10"/>
  <c r="R227" i="10"/>
  <c r="N228" i="10"/>
  <c r="N232" i="10"/>
  <c r="M234" i="10"/>
  <c r="Q234" i="10"/>
  <c r="W234" i="10" s="1"/>
  <c r="N255" i="10"/>
  <c r="S256" i="10"/>
  <c r="T256" i="10" s="1"/>
  <c r="U256" i="10" s="1"/>
  <c r="B256" i="10" s="1"/>
  <c r="R256" i="10"/>
  <c r="Q256" i="10"/>
  <c r="M256" i="10"/>
  <c r="N216" i="10"/>
  <c r="N224" i="10"/>
  <c r="N245" i="10"/>
  <c r="N250" i="10"/>
  <c r="N252" i="10"/>
  <c r="Q277" i="10"/>
  <c r="W277" i="10" s="1"/>
  <c r="M277" i="10"/>
  <c r="S277" i="10"/>
  <c r="T277" i="10" s="1"/>
  <c r="U277" i="10" s="1"/>
  <c r="B277" i="10" s="1"/>
  <c r="R277" i="10"/>
  <c r="N287" i="10"/>
  <c r="N259" i="10"/>
  <c r="N261" i="10"/>
  <c r="N263" i="10"/>
  <c r="N265" i="10"/>
  <c r="N267" i="10"/>
  <c r="N269" i="10"/>
  <c r="N271" i="10"/>
  <c r="N273" i="10"/>
  <c r="N275" i="10"/>
  <c r="N281" i="10"/>
  <c r="N283" i="10"/>
  <c r="N285" i="10"/>
  <c r="M253" i="10"/>
  <c r="Q253" i="10"/>
  <c r="B253" i="10" s="1"/>
  <c r="M257" i="10"/>
  <c r="Q257" i="10"/>
  <c r="W257" i="10" s="1"/>
  <c r="N258" i="10"/>
  <c r="N260" i="10"/>
  <c r="N262" i="10"/>
  <c r="N264" i="10"/>
  <c r="N266" i="10"/>
  <c r="N268" i="10"/>
  <c r="N270" i="10"/>
  <c r="N272" i="10"/>
  <c r="N274" i="10"/>
  <c r="N276" i="10"/>
  <c r="N289" i="10"/>
  <c r="N246" i="10"/>
  <c r="R253" i="10"/>
  <c r="R257" i="10"/>
  <c r="Y297" i="10"/>
  <c r="Y301" i="10"/>
  <c r="N288" i="10"/>
  <c r="AC20" i="8"/>
  <c r="AC19" i="8"/>
  <c r="AC289" i="9"/>
  <c r="AC288" i="9"/>
  <c r="AC287" i="9"/>
  <c r="AC286" i="9"/>
  <c r="AC285" i="9"/>
  <c r="AC284" i="9"/>
  <c r="AC283" i="9"/>
  <c r="AC282" i="9"/>
  <c r="AC281" i="9"/>
  <c r="AC280" i="9"/>
  <c r="AC279" i="9"/>
  <c r="AC278" i="9"/>
  <c r="AC277" i="9"/>
  <c r="AC276" i="9"/>
  <c r="AC275" i="9"/>
  <c r="AC274" i="9"/>
  <c r="AC273" i="9"/>
  <c r="AC272" i="9"/>
  <c r="AC271" i="9"/>
  <c r="AC270" i="9"/>
  <c r="AC269" i="9"/>
  <c r="AC268" i="9"/>
  <c r="AC267" i="9"/>
  <c r="AC266" i="9"/>
  <c r="AC265" i="9"/>
  <c r="AC264" i="9"/>
  <c r="AC263" i="9"/>
  <c r="AC262" i="9"/>
  <c r="AC261" i="9"/>
  <c r="AC260" i="9"/>
  <c r="AC259" i="9"/>
  <c r="AC258" i="9"/>
  <c r="AC251" i="9"/>
  <c r="AC250" i="9"/>
  <c r="AC249" i="9"/>
  <c r="AC248" i="9"/>
  <c r="AC247" i="9"/>
  <c r="AC246" i="9"/>
  <c r="AC245" i="9"/>
  <c r="AC244" i="9"/>
  <c r="AC243" i="9"/>
  <c r="AC242" i="9"/>
  <c r="AC241" i="9"/>
  <c r="AC240" i="9"/>
  <c r="AC239" i="9"/>
  <c r="AC238" i="9"/>
  <c r="AC237" i="9"/>
  <c r="AC236" i="9"/>
  <c r="AC235" i="9"/>
  <c r="AC226" i="9"/>
  <c r="AC225" i="9"/>
  <c r="AC224" i="9"/>
  <c r="AC223" i="9"/>
  <c r="AC222" i="9"/>
  <c r="AC221" i="9"/>
  <c r="AC220" i="9"/>
  <c r="AC219" i="9"/>
  <c r="AC218" i="9"/>
  <c r="AC217" i="9"/>
  <c r="AC216" i="9"/>
  <c r="AC215" i="9"/>
  <c r="AC214" i="9"/>
  <c r="AC213" i="9"/>
  <c r="AC212" i="9"/>
  <c r="AC211" i="9"/>
  <c r="AC202" i="9"/>
  <c r="AC201" i="9"/>
  <c r="AC200" i="9"/>
  <c r="AC199" i="9"/>
  <c r="AC198" i="9"/>
  <c r="AC197" i="9"/>
  <c r="AC196" i="9"/>
  <c r="AC195" i="9"/>
  <c r="AC194" i="9"/>
  <c r="AC193" i="9"/>
  <c r="AC192" i="9"/>
  <c r="AC191" i="9"/>
  <c r="AC190" i="9"/>
  <c r="AC189" i="9"/>
  <c r="AC177" i="9"/>
  <c r="AC176" i="9"/>
  <c r="AC175" i="9"/>
  <c r="AC174" i="9"/>
  <c r="AC173" i="9"/>
  <c r="AC172" i="9"/>
  <c r="AC171" i="9"/>
  <c r="AC170" i="9"/>
  <c r="AC169" i="9"/>
  <c r="AC168" i="9"/>
  <c r="AC167" i="9"/>
  <c r="AC166" i="9"/>
  <c r="AC153" i="9"/>
  <c r="AC152" i="9"/>
  <c r="AC151" i="9"/>
  <c r="AC150" i="9"/>
  <c r="AC149" i="9"/>
  <c r="AC148" i="9"/>
  <c r="AC147" i="9"/>
  <c r="AC129" i="9"/>
  <c r="AC128" i="9"/>
  <c r="AC127" i="9"/>
  <c r="AC126" i="9"/>
  <c r="AC125" i="9"/>
  <c r="AC124" i="9"/>
  <c r="AC123" i="9"/>
  <c r="AC122" i="9"/>
  <c r="AC121" i="9"/>
  <c r="AC120" i="9"/>
  <c r="AC119" i="9"/>
  <c r="AC118" i="9"/>
  <c r="AC117" i="9"/>
  <c r="AC94" i="9"/>
  <c r="AC95" i="9"/>
  <c r="AC96" i="9"/>
  <c r="AC97" i="9"/>
  <c r="AC98" i="9"/>
  <c r="AC99" i="9"/>
  <c r="AC100" i="9"/>
  <c r="AC101" i="9"/>
  <c r="AC102" i="9"/>
  <c r="AC103" i="9"/>
  <c r="AC104" i="9"/>
  <c r="AC105" i="9"/>
  <c r="AC93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43" i="9"/>
  <c r="AC44" i="9"/>
  <c r="AC19" i="9"/>
  <c r="AC20" i="9"/>
  <c r="AC21" i="9"/>
  <c r="C13" i="6"/>
  <c r="C14" i="6"/>
  <c r="C15" i="6"/>
  <c r="C16" i="6"/>
  <c r="C17" i="6"/>
  <c r="C18" i="6"/>
  <c r="C19" i="6"/>
  <c r="C37" i="6"/>
  <c r="C38" i="6"/>
  <c r="C39" i="6"/>
  <c r="C40" i="6"/>
  <c r="C41" i="6"/>
  <c r="C42" i="6"/>
  <c r="C43" i="6"/>
  <c r="C60" i="6"/>
  <c r="C61" i="6"/>
  <c r="C62" i="6"/>
  <c r="C63" i="6"/>
  <c r="C64" i="6"/>
  <c r="C65" i="6"/>
  <c r="C66" i="6"/>
  <c r="C67" i="6"/>
  <c r="C68" i="6"/>
  <c r="C84" i="6"/>
  <c r="C85" i="6"/>
  <c r="C86" i="6"/>
  <c r="C87" i="6"/>
  <c r="C88" i="6"/>
  <c r="C89" i="6"/>
  <c r="C90" i="6"/>
  <c r="C91" i="6"/>
  <c r="C92" i="6"/>
  <c r="C93" i="6"/>
  <c r="C107" i="6"/>
  <c r="C108" i="6"/>
  <c r="C109" i="6"/>
  <c r="C110" i="6"/>
  <c r="C111" i="6"/>
  <c r="C112" i="6"/>
  <c r="C113" i="6"/>
  <c r="C114" i="6"/>
  <c r="C115" i="6"/>
  <c r="C116" i="6"/>
  <c r="C117" i="6"/>
  <c r="C131" i="6"/>
  <c r="C132" i="6"/>
  <c r="C133" i="6"/>
  <c r="C134" i="6"/>
  <c r="C135" i="6"/>
  <c r="C136" i="6"/>
  <c r="C137" i="6"/>
  <c r="C138" i="6"/>
  <c r="C139" i="6"/>
  <c r="C140" i="6"/>
  <c r="C141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204" i="6"/>
  <c r="C205" i="6"/>
  <c r="C206" i="6"/>
  <c r="C207" i="6"/>
  <c r="C208" i="6"/>
  <c r="C209" i="6"/>
  <c r="C210" i="6"/>
  <c r="C211" i="6"/>
  <c r="C212" i="6"/>
  <c r="C228" i="6"/>
  <c r="C229" i="6"/>
  <c r="C230" i="6"/>
  <c r="C231" i="6"/>
  <c r="C232" i="6"/>
  <c r="C233" i="6"/>
  <c r="C234" i="6"/>
  <c r="C235" i="6"/>
  <c r="C253" i="6"/>
  <c r="C254" i="6"/>
  <c r="C255" i="6"/>
  <c r="C256" i="6"/>
  <c r="C257" i="6"/>
  <c r="C258" i="6"/>
  <c r="C277" i="6"/>
  <c r="C278" i="6"/>
  <c r="C279" i="6"/>
  <c r="C280" i="6"/>
  <c r="C281" i="6"/>
  <c r="C282" i="6"/>
  <c r="C13" i="9"/>
  <c r="C14" i="9"/>
  <c r="C15" i="9"/>
  <c r="C16" i="9"/>
  <c r="C17" i="9"/>
  <c r="C18" i="9"/>
  <c r="C19" i="9"/>
  <c r="C37" i="9"/>
  <c r="C38" i="9"/>
  <c r="C39" i="9"/>
  <c r="C40" i="9"/>
  <c r="C41" i="9"/>
  <c r="C42" i="9"/>
  <c r="C43" i="9"/>
  <c r="C60" i="9"/>
  <c r="C61" i="9"/>
  <c r="C62" i="9"/>
  <c r="C63" i="9"/>
  <c r="C64" i="9"/>
  <c r="C65" i="9"/>
  <c r="C66" i="9"/>
  <c r="C67" i="9"/>
  <c r="C68" i="9"/>
  <c r="C84" i="9"/>
  <c r="C85" i="9"/>
  <c r="C86" i="9"/>
  <c r="C87" i="9"/>
  <c r="C88" i="9"/>
  <c r="C89" i="9"/>
  <c r="C90" i="9"/>
  <c r="C91" i="9"/>
  <c r="C92" i="9"/>
  <c r="C93" i="9"/>
  <c r="C107" i="9"/>
  <c r="C108" i="9"/>
  <c r="C109" i="9"/>
  <c r="C110" i="9"/>
  <c r="C111" i="9"/>
  <c r="C112" i="9"/>
  <c r="C113" i="9"/>
  <c r="C114" i="9"/>
  <c r="C115" i="9"/>
  <c r="C116" i="9"/>
  <c r="C117" i="9"/>
  <c r="C131" i="9"/>
  <c r="C132" i="9"/>
  <c r="C133" i="9"/>
  <c r="C134" i="9"/>
  <c r="C135" i="9"/>
  <c r="C136" i="9"/>
  <c r="C137" i="9"/>
  <c r="C138" i="9"/>
  <c r="C139" i="9"/>
  <c r="C140" i="9"/>
  <c r="C141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204" i="9"/>
  <c r="C205" i="9"/>
  <c r="C206" i="9"/>
  <c r="C207" i="9"/>
  <c r="C208" i="9"/>
  <c r="C209" i="9"/>
  <c r="C210" i="9"/>
  <c r="C211" i="9"/>
  <c r="C212" i="9"/>
  <c r="C228" i="9"/>
  <c r="C229" i="9"/>
  <c r="C230" i="9"/>
  <c r="C231" i="9"/>
  <c r="C232" i="9"/>
  <c r="C233" i="9"/>
  <c r="C234" i="9"/>
  <c r="C235" i="9"/>
  <c r="C253" i="9"/>
  <c r="C254" i="9"/>
  <c r="C255" i="9"/>
  <c r="C256" i="9"/>
  <c r="C257" i="9"/>
  <c r="C258" i="9"/>
  <c r="C277" i="9"/>
  <c r="C278" i="9"/>
  <c r="C279" i="9"/>
  <c r="C280" i="9"/>
  <c r="C281" i="9"/>
  <c r="C282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82" i="9"/>
  <c r="B283" i="9"/>
  <c r="B284" i="9"/>
  <c r="B285" i="9"/>
  <c r="B286" i="9"/>
  <c r="B287" i="9"/>
  <c r="B288" i="9"/>
  <c r="B289" i="9"/>
  <c r="B3" i="9"/>
  <c r="B4" i="9"/>
  <c r="B5" i="9"/>
  <c r="B6" i="9"/>
  <c r="B7" i="9"/>
  <c r="B8" i="9"/>
  <c r="B9" i="9"/>
  <c r="B10" i="9"/>
  <c r="B11" i="9"/>
  <c r="AC43" i="8"/>
  <c r="AC44" i="8"/>
  <c r="AC21" i="8"/>
  <c r="C13" i="8"/>
  <c r="C14" i="8"/>
  <c r="C15" i="8"/>
  <c r="C16" i="8"/>
  <c r="C17" i="8"/>
  <c r="C18" i="8"/>
  <c r="C19" i="8"/>
  <c r="C37" i="8"/>
  <c r="C38" i="8"/>
  <c r="C39" i="8"/>
  <c r="C40" i="8"/>
  <c r="C41" i="8"/>
  <c r="C42" i="8"/>
  <c r="C43" i="8"/>
  <c r="C60" i="8"/>
  <c r="C61" i="8"/>
  <c r="C62" i="8"/>
  <c r="C63" i="8"/>
  <c r="C64" i="8"/>
  <c r="C65" i="8"/>
  <c r="C66" i="8"/>
  <c r="C67" i="8"/>
  <c r="C68" i="8"/>
  <c r="C84" i="8"/>
  <c r="C85" i="8"/>
  <c r="C86" i="8"/>
  <c r="C87" i="8"/>
  <c r="C88" i="8"/>
  <c r="C89" i="8"/>
  <c r="C90" i="8"/>
  <c r="C91" i="8"/>
  <c r="C92" i="8"/>
  <c r="C93" i="8"/>
  <c r="C107" i="8"/>
  <c r="C108" i="8"/>
  <c r="C109" i="8"/>
  <c r="C110" i="8"/>
  <c r="C111" i="8"/>
  <c r="C112" i="8"/>
  <c r="C113" i="8"/>
  <c r="C114" i="8"/>
  <c r="C115" i="8"/>
  <c r="C116" i="8"/>
  <c r="C117" i="8"/>
  <c r="C131" i="8"/>
  <c r="C132" i="8"/>
  <c r="C133" i="8"/>
  <c r="C134" i="8"/>
  <c r="C135" i="8"/>
  <c r="C136" i="8"/>
  <c r="C137" i="8"/>
  <c r="C138" i="8"/>
  <c r="C139" i="8"/>
  <c r="C140" i="8"/>
  <c r="C141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204" i="8"/>
  <c r="C205" i="8"/>
  <c r="C206" i="8"/>
  <c r="C207" i="8"/>
  <c r="C208" i="8"/>
  <c r="C209" i="8"/>
  <c r="C210" i="8"/>
  <c r="C211" i="8"/>
  <c r="C212" i="8"/>
  <c r="C228" i="8"/>
  <c r="C229" i="8"/>
  <c r="C230" i="8"/>
  <c r="C231" i="8"/>
  <c r="C232" i="8"/>
  <c r="C233" i="8"/>
  <c r="C234" i="8"/>
  <c r="C235" i="8"/>
  <c r="C253" i="8"/>
  <c r="C254" i="8"/>
  <c r="C255" i="8"/>
  <c r="C256" i="8"/>
  <c r="C257" i="8"/>
  <c r="C258" i="8"/>
  <c r="C277" i="8"/>
  <c r="C278" i="8"/>
  <c r="C279" i="8"/>
  <c r="C280" i="8"/>
  <c r="C281" i="8"/>
  <c r="C282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82" i="8"/>
  <c r="B283" i="8"/>
  <c r="B284" i="8"/>
  <c r="B285" i="8"/>
  <c r="B286" i="8"/>
  <c r="B287" i="8"/>
  <c r="B288" i="8"/>
  <c r="B289" i="8"/>
  <c r="B3" i="8"/>
  <c r="B4" i="8"/>
  <c r="B5" i="8"/>
  <c r="B6" i="8"/>
  <c r="B7" i="8"/>
  <c r="B8" i="8"/>
  <c r="B9" i="8"/>
  <c r="B10" i="8"/>
  <c r="B11" i="8"/>
  <c r="B288" i="6"/>
  <c r="B287" i="6"/>
  <c r="B286" i="6"/>
  <c r="B285" i="6"/>
  <c r="B284" i="6"/>
  <c r="B283" i="6"/>
  <c r="B282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3" i="6"/>
  <c r="B4" i="6"/>
  <c r="B5" i="6"/>
  <c r="B6" i="6"/>
  <c r="B7" i="6"/>
  <c r="B8" i="6"/>
  <c r="B9" i="6"/>
  <c r="B10" i="6"/>
  <c r="B11" i="6"/>
  <c r="V5" i="14" l="1"/>
  <c r="C6" i="14" s="1"/>
  <c r="D6" i="14" s="1"/>
  <c r="X299" i="14"/>
  <c r="X300" i="14"/>
  <c r="X301" i="14"/>
  <c r="X297" i="14"/>
  <c r="X298" i="14"/>
  <c r="V6" i="13"/>
  <c r="C7" i="13" s="1"/>
  <c r="D7" i="13"/>
  <c r="AA301" i="13"/>
  <c r="AA297" i="13"/>
  <c r="AA298" i="13"/>
  <c r="AA299" i="13"/>
  <c r="AA300" i="13"/>
  <c r="W295" i="13"/>
  <c r="B182" i="10"/>
  <c r="B208" i="10"/>
  <c r="Y298" i="10"/>
  <c r="B231" i="10"/>
  <c r="Y299" i="10"/>
  <c r="B65" i="10"/>
  <c r="B114" i="11"/>
  <c r="Y297" i="11"/>
  <c r="B205" i="11"/>
  <c r="B206" i="11"/>
  <c r="B160" i="11"/>
  <c r="B184" i="11"/>
  <c r="B134" i="12"/>
  <c r="X290" i="11"/>
  <c r="V3" i="12"/>
  <c r="C4" i="12" s="1"/>
  <c r="D4" i="12" s="1"/>
  <c r="N277" i="12"/>
  <c r="N256" i="12"/>
  <c r="N157" i="12"/>
  <c r="N204" i="12"/>
  <c r="N165" i="12"/>
  <c r="N161" i="12"/>
  <c r="N111" i="12"/>
  <c r="N37" i="12"/>
  <c r="N115" i="12"/>
  <c r="N64" i="12"/>
  <c r="N12" i="12"/>
  <c r="AA12" i="12"/>
  <c r="AA13" i="12" s="1"/>
  <c r="AA14" i="12" s="1"/>
  <c r="AA15" i="12" s="1"/>
  <c r="AA16" i="12" s="1"/>
  <c r="AA17" i="12" s="1"/>
  <c r="AA18" i="12" s="1"/>
  <c r="AA19" i="12" s="1"/>
  <c r="AA20" i="12" s="1"/>
  <c r="AA21" i="12" s="1"/>
  <c r="AA22" i="12" s="1"/>
  <c r="AA23" i="12" s="1"/>
  <c r="AA24" i="12" s="1"/>
  <c r="AA25" i="12" s="1"/>
  <c r="AA26" i="12" s="1"/>
  <c r="AA27" i="12" s="1"/>
  <c r="AA28" i="12" s="1"/>
  <c r="AA29" i="12" s="1"/>
  <c r="AA30" i="12" s="1"/>
  <c r="AA31" i="12" s="1"/>
  <c r="AA32" i="12" s="1"/>
  <c r="AA33" i="12" s="1"/>
  <c r="AA34" i="12" s="1"/>
  <c r="AA35" i="12" s="1"/>
  <c r="AA36" i="12" s="1"/>
  <c r="AA37" i="12" s="1"/>
  <c r="AA38" i="12" s="1"/>
  <c r="AA39" i="12" s="1"/>
  <c r="AA40" i="12" s="1"/>
  <c r="AA41" i="12" s="1"/>
  <c r="AA42" i="12" s="1"/>
  <c r="AA43" i="12" s="1"/>
  <c r="AA44" i="12" s="1"/>
  <c r="AA45" i="12" s="1"/>
  <c r="AA46" i="12" s="1"/>
  <c r="AA47" i="12" s="1"/>
  <c r="AA48" i="12" s="1"/>
  <c r="AA49" i="12" s="1"/>
  <c r="AA50" i="12" s="1"/>
  <c r="AA51" i="12" s="1"/>
  <c r="AA52" i="12" s="1"/>
  <c r="AA53" i="12" s="1"/>
  <c r="AA54" i="12" s="1"/>
  <c r="AA55" i="12" s="1"/>
  <c r="AA56" i="12" s="1"/>
  <c r="AA57" i="12" s="1"/>
  <c r="AA58" i="12" s="1"/>
  <c r="AA59" i="12" s="1"/>
  <c r="AA60" i="12" s="1"/>
  <c r="AA61" i="12" s="1"/>
  <c r="AA62" i="12" s="1"/>
  <c r="AA63" i="12" s="1"/>
  <c r="AA64" i="12" s="1"/>
  <c r="AA65" i="12" s="1"/>
  <c r="AA66" i="12" s="1"/>
  <c r="AA67" i="12" s="1"/>
  <c r="AA68" i="12" s="1"/>
  <c r="AA69" i="12" s="1"/>
  <c r="AA70" i="12" s="1"/>
  <c r="AA71" i="12" s="1"/>
  <c r="AA72" i="12" s="1"/>
  <c r="AA73" i="12" s="1"/>
  <c r="AA74" i="12" s="1"/>
  <c r="AA75" i="12" s="1"/>
  <c r="AA76" i="12" s="1"/>
  <c r="AA77" i="12" s="1"/>
  <c r="AA78" i="12" s="1"/>
  <c r="AA79" i="12" s="1"/>
  <c r="AA80" i="12" s="1"/>
  <c r="AA81" i="12" s="1"/>
  <c r="AA82" i="12" s="1"/>
  <c r="AA83" i="12" s="1"/>
  <c r="AA84" i="12" s="1"/>
  <c r="AA85" i="12" s="1"/>
  <c r="AA86" i="12" s="1"/>
  <c r="AA87" i="12" s="1"/>
  <c r="AA88" i="12" s="1"/>
  <c r="AA89" i="12" s="1"/>
  <c r="AA90" i="12" s="1"/>
  <c r="AA91" i="12" s="1"/>
  <c r="AA92" i="12" s="1"/>
  <c r="AA93" i="12" s="1"/>
  <c r="AA94" i="12" s="1"/>
  <c r="AA95" i="12" s="1"/>
  <c r="AA96" i="12" s="1"/>
  <c r="AA97" i="12" s="1"/>
  <c r="AA98" i="12" s="1"/>
  <c r="AA99" i="12" s="1"/>
  <c r="AA100" i="12" s="1"/>
  <c r="AA101" i="12" s="1"/>
  <c r="AA102" i="12" s="1"/>
  <c r="AA103" i="12" s="1"/>
  <c r="AA104" i="12" s="1"/>
  <c r="AA105" i="12" s="1"/>
  <c r="AA106" i="12" s="1"/>
  <c r="AA107" i="12" s="1"/>
  <c r="AA108" i="12" s="1"/>
  <c r="AA109" i="12" s="1"/>
  <c r="AA110" i="12" s="1"/>
  <c r="AA111" i="12" s="1"/>
  <c r="AA112" i="12" s="1"/>
  <c r="AA113" i="12" s="1"/>
  <c r="AA114" i="12" s="1"/>
  <c r="AA115" i="12" s="1"/>
  <c r="AA116" i="12" s="1"/>
  <c r="AA117" i="12" s="1"/>
  <c r="AA118" i="12" s="1"/>
  <c r="AA119" i="12" s="1"/>
  <c r="AA120" i="12" s="1"/>
  <c r="AA121" i="12" s="1"/>
  <c r="AA122" i="12" s="1"/>
  <c r="AA123" i="12" s="1"/>
  <c r="AA124" i="12" s="1"/>
  <c r="AA125" i="12" s="1"/>
  <c r="AA126" i="12" s="1"/>
  <c r="AA127" i="12" s="1"/>
  <c r="AA128" i="12" s="1"/>
  <c r="AA129" i="12" s="1"/>
  <c r="AA130" i="12" s="1"/>
  <c r="AA131" i="12" s="1"/>
  <c r="AA132" i="12" s="1"/>
  <c r="AA133" i="12" s="1"/>
  <c r="AA134" i="12" s="1"/>
  <c r="AA135" i="12" s="1"/>
  <c r="AA136" i="12" s="1"/>
  <c r="AA137" i="12" s="1"/>
  <c r="AA138" i="12" s="1"/>
  <c r="AA139" i="12" s="1"/>
  <c r="AA140" i="12" s="1"/>
  <c r="AA141" i="12" s="1"/>
  <c r="AA142" i="12" s="1"/>
  <c r="AA143" i="12" s="1"/>
  <c r="AA144" i="12" s="1"/>
  <c r="AA145" i="12" s="1"/>
  <c r="AA146" i="12" s="1"/>
  <c r="AA147" i="12" s="1"/>
  <c r="AA148" i="12" s="1"/>
  <c r="AA149" i="12" s="1"/>
  <c r="AA150" i="12" s="1"/>
  <c r="AA151" i="12" s="1"/>
  <c r="AA152" i="12" s="1"/>
  <c r="AA153" i="12" s="1"/>
  <c r="AA154" i="12" s="1"/>
  <c r="AA155" i="12" s="1"/>
  <c r="AA156" i="12" s="1"/>
  <c r="AA157" i="12" s="1"/>
  <c r="AA158" i="12" s="1"/>
  <c r="AA159" i="12" s="1"/>
  <c r="AA160" i="12" s="1"/>
  <c r="AA161" i="12" s="1"/>
  <c r="AA162" i="12" s="1"/>
  <c r="AA163" i="12" s="1"/>
  <c r="AA164" i="12" s="1"/>
  <c r="AA165" i="12" s="1"/>
  <c r="AA166" i="12" s="1"/>
  <c r="AA167" i="12" s="1"/>
  <c r="AA168" i="12" s="1"/>
  <c r="AA169" i="12" s="1"/>
  <c r="AA170" i="12" s="1"/>
  <c r="AA171" i="12" s="1"/>
  <c r="AA172" i="12" s="1"/>
  <c r="AA173" i="12" s="1"/>
  <c r="AA174" i="12" s="1"/>
  <c r="AA175" i="12" s="1"/>
  <c r="AA176" i="12" s="1"/>
  <c r="AA177" i="12" s="1"/>
  <c r="AA178" i="12" s="1"/>
  <c r="AA179" i="12" s="1"/>
  <c r="AA180" i="12" s="1"/>
  <c r="AA181" i="12" s="1"/>
  <c r="AA182" i="12" s="1"/>
  <c r="AA183" i="12" s="1"/>
  <c r="AA184" i="12" s="1"/>
  <c r="AA185" i="12" s="1"/>
  <c r="AA186" i="12" s="1"/>
  <c r="AA187" i="12" s="1"/>
  <c r="AA188" i="12" s="1"/>
  <c r="AA189" i="12" s="1"/>
  <c r="AA190" i="12" s="1"/>
  <c r="AA191" i="12" s="1"/>
  <c r="AA192" i="12" s="1"/>
  <c r="AA193" i="12" s="1"/>
  <c r="AA194" i="12" s="1"/>
  <c r="AA195" i="12" s="1"/>
  <c r="AA196" i="12" s="1"/>
  <c r="AA197" i="12" s="1"/>
  <c r="AA198" i="12" s="1"/>
  <c r="AA199" i="12" s="1"/>
  <c r="AA200" i="12" s="1"/>
  <c r="AA201" i="12" s="1"/>
  <c r="AA202" i="12" s="1"/>
  <c r="AA203" i="12" s="1"/>
  <c r="AA204" i="12" s="1"/>
  <c r="AA205" i="12" s="1"/>
  <c r="AA206" i="12" s="1"/>
  <c r="AA207" i="12" s="1"/>
  <c r="AA208" i="12" s="1"/>
  <c r="AA209" i="12" s="1"/>
  <c r="AA210" i="12" s="1"/>
  <c r="AA211" i="12" s="1"/>
  <c r="AA212" i="12" s="1"/>
  <c r="AA213" i="12" s="1"/>
  <c r="AA214" i="12" s="1"/>
  <c r="AA215" i="12" s="1"/>
  <c r="AA216" i="12" s="1"/>
  <c r="AA217" i="12" s="1"/>
  <c r="AA218" i="12" s="1"/>
  <c r="AA219" i="12" s="1"/>
  <c r="AA220" i="12" s="1"/>
  <c r="AA221" i="12" s="1"/>
  <c r="AA222" i="12" s="1"/>
  <c r="AA223" i="12" s="1"/>
  <c r="AA224" i="12" s="1"/>
  <c r="AA225" i="12" s="1"/>
  <c r="AA226" i="12" s="1"/>
  <c r="AA227" i="12" s="1"/>
  <c r="AA228" i="12" s="1"/>
  <c r="AA229" i="12" s="1"/>
  <c r="AA230" i="12" s="1"/>
  <c r="AA231" i="12" s="1"/>
  <c r="AA232" i="12" s="1"/>
  <c r="AA233" i="12" s="1"/>
  <c r="AA234" i="12" s="1"/>
  <c r="AA235" i="12" s="1"/>
  <c r="AA236" i="12" s="1"/>
  <c r="AA237" i="12" s="1"/>
  <c r="AA238" i="12" s="1"/>
  <c r="AA239" i="12" s="1"/>
  <c r="AA240" i="12" s="1"/>
  <c r="AA241" i="12" s="1"/>
  <c r="AA242" i="12" s="1"/>
  <c r="AA243" i="12" s="1"/>
  <c r="AA244" i="12" s="1"/>
  <c r="AA245" i="12" s="1"/>
  <c r="AA246" i="12" s="1"/>
  <c r="AA247" i="12" s="1"/>
  <c r="AA248" i="12" s="1"/>
  <c r="AA249" i="12" s="1"/>
  <c r="AA250" i="12" s="1"/>
  <c r="AA251" i="12" s="1"/>
  <c r="AA252" i="12" s="1"/>
  <c r="AA253" i="12" s="1"/>
  <c r="AA254" i="12" s="1"/>
  <c r="AA255" i="12" s="1"/>
  <c r="AA256" i="12" s="1"/>
  <c r="AA257" i="12" s="1"/>
  <c r="AA258" i="12" s="1"/>
  <c r="AA259" i="12" s="1"/>
  <c r="AA260" i="12" s="1"/>
  <c r="AA261" i="12" s="1"/>
  <c r="AA262" i="12" s="1"/>
  <c r="AA263" i="12" s="1"/>
  <c r="AA264" i="12" s="1"/>
  <c r="AA265" i="12" s="1"/>
  <c r="AA266" i="12" s="1"/>
  <c r="AA267" i="12" s="1"/>
  <c r="AA268" i="12" s="1"/>
  <c r="AA269" i="12" s="1"/>
  <c r="AA270" i="12" s="1"/>
  <c r="AA271" i="12" s="1"/>
  <c r="AA272" i="12" s="1"/>
  <c r="AA273" i="12" s="1"/>
  <c r="AA274" i="12" s="1"/>
  <c r="AA275" i="12" s="1"/>
  <c r="AA276" i="12" s="1"/>
  <c r="AA277" i="12" s="1"/>
  <c r="AA278" i="12" s="1"/>
  <c r="AA279" i="12" s="1"/>
  <c r="AA280" i="12" s="1"/>
  <c r="AA281" i="12" s="1"/>
  <c r="AA282" i="12" s="1"/>
  <c r="AA283" i="12" s="1"/>
  <c r="AA284" i="12" s="1"/>
  <c r="AA285" i="12" s="1"/>
  <c r="AA286" i="12" s="1"/>
  <c r="AA287" i="12" s="1"/>
  <c r="AA288" i="12" s="1"/>
  <c r="AA289" i="12" s="1"/>
  <c r="N280" i="12"/>
  <c r="N233" i="12"/>
  <c r="N207" i="12"/>
  <c r="N180" i="12"/>
  <c r="N112" i="12"/>
  <c r="N92" i="12"/>
  <c r="N84" i="12"/>
  <c r="N65" i="12"/>
  <c r="N39" i="12"/>
  <c r="N107" i="12"/>
  <c r="N61" i="12"/>
  <c r="N16" i="12"/>
  <c r="N276" i="12"/>
  <c r="N254" i="12"/>
  <c r="N278" i="12"/>
  <c r="N231" i="12"/>
  <c r="N208" i="12"/>
  <c r="N210" i="12"/>
  <c r="N181" i="12"/>
  <c r="N227" i="12"/>
  <c r="N189" i="12"/>
  <c r="N91" i="12"/>
  <c r="N131" i="12"/>
  <c r="N83" i="12"/>
  <c r="N63" i="12"/>
  <c r="N13" i="12"/>
  <c r="N17" i="12"/>
  <c r="N15" i="12"/>
  <c r="X290" i="12"/>
  <c r="N279" i="12"/>
  <c r="N255" i="12"/>
  <c r="N281" i="12"/>
  <c r="N229" i="12"/>
  <c r="N206" i="12"/>
  <c r="N185" i="12"/>
  <c r="N203" i="12"/>
  <c r="N179" i="12"/>
  <c r="N155" i="12"/>
  <c r="N140" i="12"/>
  <c r="N136" i="12"/>
  <c r="N132" i="12"/>
  <c r="N116" i="12"/>
  <c r="N108" i="12"/>
  <c r="N88" i="12"/>
  <c r="N163" i="12"/>
  <c r="N156" i="12"/>
  <c r="N41" i="12"/>
  <c r="N164" i="12"/>
  <c r="N87" i="12"/>
  <c r="W290" i="12"/>
  <c r="W291" i="12" s="1"/>
  <c r="V3" i="11"/>
  <c r="C4" i="11" s="1"/>
  <c r="D4" i="11" s="1"/>
  <c r="N278" i="11"/>
  <c r="N281" i="11"/>
  <c r="N256" i="11"/>
  <c r="N207" i="11"/>
  <c r="N204" i="11"/>
  <c r="N186" i="11"/>
  <c r="N139" i="11"/>
  <c r="N228" i="11"/>
  <c r="N160" i="11"/>
  <c r="N233" i="11"/>
  <c r="N138" i="11"/>
  <c r="N115" i="11"/>
  <c r="N111" i="11"/>
  <c r="N158" i="11"/>
  <c r="N156" i="11"/>
  <c r="N89" i="11"/>
  <c r="N85" i="11"/>
  <c r="N63" i="11"/>
  <c r="N60" i="11"/>
  <c r="N36" i="11"/>
  <c r="N86" i="11"/>
  <c r="N84" i="11"/>
  <c r="N42" i="11"/>
  <c r="N16" i="11"/>
  <c r="Y298" i="11"/>
  <c r="Y299" i="11"/>
  <c r="N18" i="11"/>
  <c r="N208" i="11"/>
  <c r="N234" i="11"/>
  <c r="B159" i="11"/>
  <c r="N132" i="11"/>
  <c r="N114" i="11"/>
  <c r="N110" i="11"/>
  <c r="N133" i="11"/>
  <c r="N90" i="11"/>
  <c r="N88" i="11"/>
  <c r="AA14" i="11"/>
  <c r="AA15" i="11" s="1"/>
  <c r="AA16" i="11" s="1"/>
  <c r="AA17" i="11" s="1"/>
  <c r="AA18" i="11" s="1"/>
  <c r="AA19" i="11" s="1"/>
  <c r="AA20" i="11" s="1"/>
  <c r="AA21" i="11" s="1"/>
  <c r="AA22" i="11" s="1"/>
  <c r="AA23" i="11" s="1"/>
  <c r="AA24" i="11" s="1"/>
  <c r="AA25" i="11" s="1"/>
  <c r="AA26" i="11" s="1"/>
  <c r="AA27" i="11" s="1"/>
  <c r="AA28" i="11" s="1"/>
  <c r="AA29" i="11" s="1"/>
  <c r="AA30" i="11" s="1"/>
  <c r="AA31" i="11" s="1"/>
  <c r="AA32" i="11" s="1"/>
  <c r="AA33" i="11" s="1"/>
  <c r="AA34" i="11" s="1"/>
  <c r="AA35" i="11" s="1"/>
  <c r="AA36" i="11" s="1"/>
  <c r="AA37" i="11" s="1"/>
  <c r="AA38" i="11" s="1"/>
  <c r="AA39" i="11" s="1"/>
  <c r="AA40" i="11" s="1"/>
  <c r="AA41" i="11" s="1"/>
  <c r="AA42" i="11" s="1"/>
  <c r="AA43" i="11" s="1"/>
  <c r="AA44" i="11" s="1"/>
  <c r="AA45" i="11" s="1"/>
  <c r="AA46" i="11" s="1"/>
  <c r="AA47" i="11" s="1"/>
  <c r="AA48" i="11" s="1"/>
  <c r="AA49" i="11" s="1"/>
  <c r="AA50" i="11" s="1"/>
  <c r="AA51" i="11" s="1"/>
  <c r="AA52" i="11" s="1"/>
  <c r="AA53" i="11" s="1"/>
  <c r="AA54" i="11" s="1"/>
  <c r="AA55" i="11" s="1"/>
  <c r="AA56" i="11" s="1"/>
  <c r="AA57" i="11" s="1"/>
  <c r="AA58" i="11" s="1"/>
  <c r="AA59" i="11" s="1"/>
  <c r="AA60" i="11" s="1"/>
  <c r="AA61" i="11" s="1"/>
  <c r="AA62" i="11" s="1"/>
  <c r="AA63" i="11" s="1"/>
  <c r="AA64" i="11" s="1"/>
  <c r="AA65" i="11" s="1"/>
  <c r="AA66" i="11" s="1"/>
  <c r="AA67" i="11" s="1"/>
  <c r="AA68" i="11" s="1"/>
  <c r="AA69" i="11" s="1"/>
  <c r="AA70" i="11" s="1"/>
  <c r="AA71" i="11" s="1"/>
  <c r="AA72" i="11" s="1"/>
  <c r="AA73" i="11" s="1"/>
  <c r="AA74" i="11" s="1"/>
  <c r="AA75" i="11" s="1"/>
  <c r="AA76" i="11" s="1"/>
  <c r="AA77" i="11" s="1"/>
  <c r="AA78" i="11" s="1"/>
  <c r="AA79" i="11" s="1"/>
  <c r="AA80" i="11" s="1"/>
  <c r="AA81" i="11" s="1"/>
  <c r="AA82" i="11" s="1"/>
  <c r="AA83" i="11" s="1"/>
  <c r="AA84" i="11" s="1"/>
  <c r="AA85" i="11" s="1"/>
  <c r="AA86" i="11" s="1"/>
  <c r="AA87" i="11" s="1"/>
  <c r="AA88" i="11" s="1"/>
  <c r="AA89" i="11" s="1"/>
  <c r="AA90" i="11" s="1"/>
  <c r="AA91" i="11" s="1"/>
  <c r="AA92" i="11" s="1"/>
  <c r="AA93" i="11" s="1"/>
  <c r="AA94" i="11" s="1"/>
  <c r="AA95" i="11" s="1"/>
  <c r="AA96" i="11" s="1"/>
  <c r="AA97" i="11" s="1"/>
  <c r="AA98" i="11" s="1"/>
  <c r="AA99" i="11" s="1"/>
  <c r="AA100" i="11" s="1"/>
  <c r="AA101" i="11" s="1"/>
  <c r="AA102" i="11" s="1"/>
  <c r="AA103" i="11" s="1"/>
  <c r="AA104" i="11" s="1"/>
  <c r="AA105" i="11" s="1"/>
  <c r="AA106" i="11" s="1"/>
  <c r="AA107" i="11" s="1"/>
  <c r="AA108" i="11" s="1"/>
  <c r="AA109" i="11" s="1"/>
  <c r="AA110" i="11" s="1"/>
  <c r="AA111" i="11" s="1"/>
  <c r="AA112" i="11" s="1"/>
  <c r="AA113" i="11" s="1"/>
  <c r="AA114" i="11" s="1"/>
  <c r="AA115" i="11" s="1"/>
  <c r="AA116" i="11" s="1"/>
  <c r="AA117" i="11" s="1"/>
  <c r="AA118" i="11" s="1"/>
  <c r="AA119" i="11" s="1"/>
  <c r="AA120" i="11" s="1"/>
  <c r="AA121" i="11" s="1"/>
  <c r="AA122" i="11" s="1"/>
  <c r="AA123" i="11" s="1"/>
  <c r="AA124" i="11" s="1"/>
  <c r="AA125" i="11" s="1"/>
  <c r="AA126" i="11" s="1"/>
  <c r="AA127" i="11" s="1"/>
  <c r="AA128" i="11" s="1"/>
  <c r="AA129" i="11" s="1"/>
  <c r="AA130" i="11" s="1"/>
  <c r="AA131" i="11" s="1"/>
  <c r="AA132" i="11" s="1"/>
  <c r="AA133" i="11" s="1"/>
  <c r="AA134" i="11" s="1"/>
  <c r="AA135" i="11" s="1"/>
  <c r="AA136" i="11" s="1"/>
  <c r="AA137" i="11" s="1"/>
  <c r="AA138" i="11" s="1"/>
  <c r="AA139" i="11" s="1"/>
  <c r="AA140" i="11" s="1"/>
  <c r="AA141" i="11" s="1"/>
  <c r="AA142" i="11" s="1"/>
  <c r="AA143" i="11" s="1"/>
  <c r="AA144" i="11" s="1"/>
  <c r="AA145" i="11" s="1"/>
  <c r="AA146" i="11" s="1"/>
  <c r="AA147" i="11" s="1"/>
  <c r="AA148" i="11" s="1"/>
  <c r="AA149" i="11" s="1"/>
  <c r="AA150" i="11" s="1"/>
  <c r="AA151" i="11" s="1"/>
  <c r="AA152" i="11" s="1"/>
  <c r="AA153" i="11" s="1"/>
  <c r="AA154" i="11" s="1"/>
  <c r="AA155" i="11" s="1"/>
  <c r="AA156" i="11" s="1"/>
  <c r="AA157" i="11" s="1"/>
  <c r="AA158" i="11" s="1"/>
  <c r="AA159" i="11" s="1"/>
  <c r="AA160" i="11" s="1"/>
  <c r="AA161" i="11" s="1"/>
  <c r="AA162" i="11" s="1"/>
  <c r="AA163" i="11" s="1"/>
  <c r="AA164" i="11" s="1"/>
  <c r="AA165" i="11" s="1"/>
  <c r="AA166" i="11" s="1"/>
  <c r="AA167" i="11" s="1"/>
  <c r="AA168" i="11" s="1"/>
  <c r="AA169" i="11" s="1"/>
  <c r="AA170" i="11" s="1"/>
  <c r="AA171" i="11" s="1"/>
  <c r="AA172" i="11" s="1"/>
  <c r="AA173" i="11" s="1"/>
  <c r="AA174" i="11" s="1"/>
  <c r="AA175" i="11" s="1"/>
  <c r="AA176" i="11" s="1"/>
  <c r="AA177" i="11" s="1"/>
  <c r="AA178" i="11" s="1"/>
  <c r="AA179" i="11" s="1"/>
  <c r="AA180" i="11" s="1"/>
  <c r="AA181" i="11" s="1"/>
  <c r="AA182" i="11" s="1"/>
  <c r="AA183" i="11" s="1"/>
  <c r="AA184" i="11" s="1"/>
  <c r="AA185" i="11" s="1"/>
  <c r="AA186" i="11" s="1"/>
  <c r="AA187" i="11" s="1"/>
  <c r="AA188" i="11" s="1"/>
  <c r="AA189" i="11" s="1"/>
  <c r="AA190" i="11" s="1"/>
  <c r="AA191" i="11" s="1"/>
  <c r="AA192" i="11" s="1"/>
  <c r="AA193" i="11" s="1"/>
  <c r="AA194" i="11" s="1"/>
  <c r="AA195" i="11" s="1"/>
  <c r="AA196" i="11" s="1"/>
  <c r="AA197" i="11" s="1"/>
  <c r="AA198" i="11" s="1"/>
  <c r="AA199" i="11" s="1"/>
  <c r="AA200" i="11" s="1"/>
  <c r="AA201" i="11" s="1"/>
  <c r="AA202" i="11" s="1"/>
  <c r="AA203" i="11" s="1"/>
  <c r="AA204" i="11" s="1"/>
  <c r="AA205" i="11" s="1"/>
  <c r="AA206" i="11" s="1"/>
  <c r="AA207" i="11" s="1"/>
  <c r="AA208" i="11" s="1"/>
  <c r="AA209" i="11" s="1"/>
  <c r="AA210" i="11" s="1"/>
  <c r="AA211" i="11" s="1"/>
  <c r="AA212" i="11" s="1"/>
  <c r="AA213" i="11" s="1"/>
  <c r="AA214" i="11" s="1"/>
  <c r="AA215" i="11" s="1"/>
  <c r="AA216" i="11" s="1"/>
  <c r="AA217" i="11" s="1"/>
  <c r="AA218" i="11" s="1"/>
  <c r="AA219" i="11" s="1"/>
  <c r="AA220" i="11" s="1"/>
  <c r="AA221" i="11" s="1"/>
  <c r="AA222" i="11" s="1"/>
  <c r="AA223" i="11" s="1"/>
  <c r="AA224" i="11" s="1"/>
  <c r="AA225" i="11" s="1"/>
  <c r="AA226" i="11" s="1"/>
  <c r="AA227" i="11" s="1"/>
  <c r="AA228" i="11" s="1"/>
  <c r="AA229" i="11" s="1"/>
  <c r="AA230" i="11" s="1"/>
  <c r="AA231" i="11" s="1"/>
  <c r="AA232" i="11" s="1"/>
  <c r="AA233" i="11" s="1"/>
  <c r="AA234" i="11" s="1"/>
  <c r="AA235" i="11" s="1"/>
  <c r="AA236" i="11" s="1"/>
  <c r="AA237" i="11" s="1"/>
  <c r="AA238" i="11" s="1"/>
  <c r="AA239" i="11" s="1"/>
  <c r="AA240" i="11" s="1"/>
  <c r="AA241" i="11" s="1"/>
  <c r="AA242" i="11" s="1"/>
  <c r="AA243" i="11" s="1"/>
  <c r="AA244" i="11" s="1"/>
  <c r="AA245" i="11" s="1"/>
  <c r="AA246" i="11" s="1"/>
  <c r="AA247" i="11" s="1"/>
  <c r="AA248" i="11" s="1"/>
  <c r="AA249" i="11" s="1"/>
  <c r="AA250" i="11" s="1"/>
  <c r="AA251" i="11" s="1"/>
  <c r="AA252" i="11" s="1"/>
  <c r="AA253" i="11" s="1"/>
  <c r="AA254" i="11" s="1"/>
  <c r="AA255" i="11" s="1"/>
  <c r="AA256" i="11" s="1"/>
  <c r="AA257" i="11" s="1"/>
  <c r="AA258" i="11" s="1"/>
  <c r="AA259" i="11" s="1"/>
  <c r="AA260" i="11" s="1"/>
  <c r="AA261" i="11" s="1"/>
  <c r="AA262" i="11" s="1"/>
  <c r="AA263" i="11" s="1"/>
  <c r="AA264" i="11" s="1"/>
  <c r="AA265" i="11" s="1"/>
  <c r="AA266" i="11" s="1"/>
  <c r="AA267" i="11" s="1"/>
  <c r="AA268" i="11" s="1"/>
  <c r="AA269" i="11" s="1"/>
  <c r="AA270" i="11" s="1"/>
  <c r="AA271" i="11" s="1"/>
  <c r="AA272" i="11" s="1"/>
  <c r="AA273" i="11" s="1"/>
  <c r="AA274" i="11" s="1"/>
  <c r="AA275" i="11" s="1"/>
  <c r="AA276" i="11" s="1"/>
  <c r="AA277" i="11" s="1"/>
  <c r="AA278" i="11" s="1"/>
  <c r="AA279" i="11" s="1"/>
  <c r="AA280" i="11" s="1"/>
  <c r="AA281" i="11" s="1"/>
  <c r="AA282" i="11" s="1"/>
  <c r="AA283" i="11" s="1"/>
  <c r="AA284" i="11" s="1"/>
  <c r="AA285" i="11" s="1"/>
  <c r="AA286" i="11" s="1"/>
  <c r="AA287" i="11" s="1"/>
  <c r="AA288" i="11" s="1"/>
  <c r="AA289" i="11" s="1"/>
  <c r="N14" i="11"/>
  <c r="N62" i="11"/>
  <c r="N253" i="11"/>
  <c r="N209" i="11"/>
  <c r="N205" i="11"/>
  <c r="N252" i="11"/>
  <c r="N187" i="11"/>
  <c r="N178" i="11"/>
  <c r="N161" i="11"/>
  <c r="N159" i="11"/>
  <c r="B157" i="11"/>
  <c r="N134" i="11"/>
  <c r="N113" i="11"/>
  <c r="N109" i="11"/>
  <c r="N135" i="11"/>
  <c r="N106" i="11"/>
  <c r="N87" i="11"/>
  <c r="N65" i="11"/>
  <c r="N61" i="11"/>
  <c r="B108" i="11"/>
  <c r="AA12" i="11"/>
  <c r="AA13" i="11" s="1"/>
  <c r="N12" i="11"/>
  <c r="N83" i="11"/>
  <c r="N64" i="11"/>
  <c r="N66" i="11"/>
  <c r="B62" i="11"/>
  <c r="N277" i="11"/>
  <c r="N257" i="11"/>
  <c r="N210" i="11"/>
  <c r="B207" i="11"/>
  <c r="N188" i="11"/>
  <c r="N162" i="11"/>
  <c r="N227" i="11"/>
  <c r="N165" i="11"/>
  <c r="N206" i="11"/>
  <c r="N157" i="11"/>
  <c r="N136" i="11"/>
  <c r="N112" i="11"/>
  <c r="B158" i="11"/>
  <c r="N137" i="11"/>
  <c r="B156" i="11"/>
  <c r="B85" i="11"/>
  <c r="B63" i="11"/>
  <c r="N40" i="11"/>
  <c r="N108" i="11"/>
  <c r="N67" i="11"/>
  <c r="W290" i="11"/>
  <c r="W291" i="11" s="1"/>
  <c r="N38" i="11"/>
  <c r="N15" i="11"/>
  <c r="V3" i="10"/>
  <c r="C4" i="10" s="1"/>
  <c r="D4" i="10" s="1"/>
  <c r="N203" i="10"/>
  <c r="N187" i="10"/>
  <c r="N154" i="10"/>
  <c r="N179" i="10"/>
  <c r="N163" i="10"/>
  <c r="N138" i="10"/>
  <c r="B112" i="10"/>
  <c r="B108" i="10"/>
  <c r="N62" i="10"/>
  <c r="N60" i="10"/>
  <c r="N257" i="10"/>
  <c r="N211" i="10"/>
  <c r="N86" i="10"/>
  <c r="N115" i="10"/>
  <c r="N113" i="10"/>
  <c r="N111" i="10"/>
  <c r="N109" i="10"/>
  <c r="N107" i="10"/>
  <c r="N136" i="10"/>
  <c r="N134" i="10"/>
  <c r="N132" i="10"/>
  <c r="B111" i="10"/>
  <c r="B107" i="10"/>
  <c r="N13" i="10"/>
  <c r="W290" i="10"/>
  <c r="W291" i="10" s="1"/>
  <c r="N41" i="10"/>
  <c r="N39" i="10"/>
  <c r="N234" i="10"/>
  <c r="N227" i="10"/>
  <c r="N165" i="10"/>
  <c r="N85" i="10"/>
  <c r="N83" i="10"/>
  <c r="B114" i="10"/>
  <c r="B110" i="10"/>
  <c r="N12" i="10"/>
  <c r="AA12" i="10"/>
  <c r="AA13" i="10" s="1"/>
  <c r="AA14" i="10" s="1"/>
  <c r="AA15" i="10" s="1"/>
  <c r="AA16" i="10" s="1"/>
  <c r="AA17" i="10" s="1"/>
  <c r="AA18" i="10" s="1"/>
  <c r="AA19" i="10" s="1"/>
  <c r="AA20" i="10" s="1"/>
  <c r="AA21" i="10" s="1"/>
  <c r="AA22" i="10" s="1"/>
  <c r="AA23" i="10" s="1"/>
  <c r="AA24" i="10" s="1"/>
  <c r="AA25" i="10" s="1"/>
  <c r="AA26" i="10" s="1"/>
  <c r="AA27" i="10" s="1"/>
  <c r="AA28" i="10" s="1"/>
  <c r="AA29" i="10" s="1"/>
  <c r="AA30" i="10" s="1"/>
  <c r="AA31" i="10" s="1"/>
  <c r="AA32" i="10" s="1"/>
  <c r="AA33" i="10" s="1"/>
  <c r="AA34" i="10" s="1"/>
  <c r="AA35" i="10" s="1"/>
  <c r="AA36" i="10" s="1"/>
  <c r="AA37" i="10" s="1"/>
  <c r="AA38" i="10" s="1"/>
  <c r="AA39" i="10" s="1"/>
  <c r="AA40" i="10" s="1"/>
  <c r="AA41" i="10" s="1"/>
  <c r="AA42" i="10" s="1"/>
  <c r="AA43" i="10" s="1"/>
  <c r="AA44" i="10" s="1"/>
  <c r="AA45" i="10" s="1"/>
  <c r="AA46" i="10" s="1"/>
  <c r="AA47" i="10" s="1"/>
  <c r="AA48" i="10" s="1"/>
  <c r="AA49" i="10" s="1"/>
  <c r="AA50" i="10" s="1"/>
  <c r="AA51" i="10" s="1"/>
  <c r="AA52" i="10" s="1"/>
  <c r="AA53" i="10" s="1"/>
  <c r="AA54" i="10" s="1"/>
  <c r="AA55" i="10" s="1"/>
  <c r="AA56" i="10" s="1"/>
  <c r="AA57" i="10" s="1"/>
  <c r="AA58" i="10" s="1"/>
  <c r="AA59" i="10" s="1"/>
  <c r="AA60" i="10" s="1"/>
  <c r="AA61" i="10" s="1"/>
  <c r="AA62" i="10" s="1"/>
  <c r="AA63" i="10" s="1"/>
  <c r="AA64" i="10" s="1"/>
  <c r="AA65" i="10" s="1"/>
  <c r="AA66" i="10" s="1"/>
  <c r="AA67" i="10" s="1"/>
  <c r="AA68" i="10" s="1"/>
  <c r="AA69" i="10" s="1"/>
  <c r="AA70" i="10" s="1"/>
  <c r="AA71" i="10" s="1"/>
  <c r="AA72" i="10" s="1"/>
  <c r="AA73" i="10" s="1"/>
  <c r="AA74" i="10" s="1"/>
  <c r="AA75" i="10" s="1"/>
  <c r="AA76" i="10" s="1"/>
  <c r="AA77" i="10" s="1"/>
  <c r="AA78" i="10" s="1"/>
  <c r="AA79" i="10" s="1"/>
  <c r="AA80" i="10" s="1"/>
  <c r="AA81" i="10" s="1"/>
  <c r="AA82" i="10" s="1"/>
  <c r="AA83" i="10" s="1"/>
  <c r="AA84" i="10" s="1"/>
  <c r="AA85" i="10" s="1"/>
  <c r="AA86" i="10" s="1"/>
  <c r="AA87" i="10" s="1"/>
  <c r="AA88" i="10" s="1"/>
  <c r="AA89" i="10" s="1"/>
  <c r="AA90" i="10" s="1"/>
  <c r="AA91" i="10" s="1"/>
  <c r="AA92" i="10" s="1"/>
  <c r="AA93" i="10" s="1"/>
  <c r="AA94" i="10" s="1"/>
  <c r="AA95" i="10" s="1"/>
  <c r="AA96" i="10" s="1"/>
  <c r="AA97" i="10" s="1"/>
  <c r="AA98" i="10" s="1"/>
  <c r="AA99" i="10" s="1"/>
  <c r="AA100" i="10" s="1"/>
  <c r="AA101" i="10" s="1"/>
  <c r="AA102" i="10" s="1"/>
  <c r="AA103" i="10" s="1"/>
  <c r="AA104" i="10" s="1"/>
  <c r="AA105" i="10" s="1"/>
  <c r="AA106" i="10" s="1"/>
  <c r="AA107" i="10" s="1"/>
  <c r="AA108" i="10" s="1"/>
  <c r="AA109" i="10" s="1"/>
  <c r="AA110" i="10" s="1"/>
  <c r="AA111" i="10" s="1"/>
  <c r="AA112" i="10" s="1"/>
  <c r="AA113" i="10" s="1"/>
  <c r="AA114" i="10" s="1"/>
  <c r="AA115" i="10" s="1"/>
  <c r="AA116" i="10" s="1"/>
  <c r="AA117" i="10" s="1"/>
  <c r="AA118" i="10" s="1"/>
  <c r="AA119" i="10" s="1"/>
  <c r="AA120" i="10" s="1"/>
  <c r="AA121" i="10" s="1"/>
  <c r="AA122" i="10" s="1"/>
  <c r="AA123" i="10" s="1"/>
  <c r="AA124" i="10" s="1"/>
  <c r="AA125" i="10" s="1"/>
  <c r="AA126" i="10" s="1"/>
  <c r="AA127" i="10" s="1"/>
  <c r="AA128" i="10" s="1"/>
  <c r="AA129" i="10" s="1"/>
  <c r="AA130" i="10" s="1"/>
  <c r="AA131" i="10" s="1"/>
  <c r="AA132" i="10" s="1"/>
  <c r="AA133" i="10" s="1"/>
  <c r="AA134" i="10" s="1"/>
  <c r="AA135" i="10" s="1"/>
  <c r="AA136" i="10" s="1"/>
  <c r="AA137" i="10" s="1"/>
  <c r="AA138" i="10" s="1"/>
  <c r="AA139" i="10" s="1"/>
  <c r="AA140" i="10" s="1"/>
  <c r="AA141" i="10" s="1"/>
  <c r="AA142" i="10" s="1"/>
  <c r="AA143" i="10" s="1"/>
  <c r="AA144" i="10" s="1"/>
  <c r="AA145" i="10" s="1"/>
  <c r="AA146" i="10" s="1"/>
  <c r="AA147" i="10" s="1"/>
  <c r="AA148" i="10" s="1"/>
  <c r="AA149" i="10" s="1"/>
  <c r="AA150" i="10" s="1"/>
  <c r="AA151" i="10" s="1"/>
  <c r="AA152" i="10" s="1"/>
  <c r="AA153" i="10" s="1"/>
  <c r="AA154" i="10" s="1"/>
  <c r="AA155" i="10" s="1"/>
  <c r="AA156" i="10" s="1"/>
  <c r="AA157" i="10" s="1"/>
  <c r="AA158" i="10" s="1"/>
  <c r="AA159" i="10" s="1"/>
  <c r="AA160" i="10" s="1"/>
  <c r="AA161" i="10" s="1"/>
  <c r="AA162" i="10" s="1"/>
  <c r="AA163" i="10" s="1"/>
  <c r="AA164" i="10" s="1"/>
  <c r="AA165" i="10" s="1"/>
  <c r="AA166" i="10" s="1"/>
  <c r="AA167" i="10" s="1"/>
  <c r="AA168" i="10" s="1"/>
  <c r="AA169" i="10" s="1"/>
  <c r="AA170" i="10" s="1"/>
  <c r="AA171" i="10" s="1"/>
  <c r="AA172" i="10" s="1"/>
  <c r="AA173" i="10" s="1"/>
  <c r="AA174" i="10" s="1"/>
  <c r="AA175" i="10" s="1"/>
  <c r="AA176" i="10" s="1"/>
  <c r="AA177" i="10" s="1"/>
  <c r="AA178" i="10" s="1"/>
  <c r="AA179" i="10" s="1"/>
  <c r="AA180" i="10" s="1"/>
  <c r="AA181" i="10" s="1"/>
  <c r="AA182" i="10" s="1"/>
  <c r="AA183" i="10" s="1"/>
  <c r="AA184" i="10" s="1"/>
  <c r="AA185" i="10" s="1"/>
  <c r="AA186" i="10" s="1"/>
  <c r="AA187" i="10" s="1"/>
  <c r="AA188" i="10" s="1"/>
  <c r="AA189" i="10" s="1"/>
  <c r="AA190" i="10" s="1"/>
  <c r="AA191" i="10" s="1"/>
  <c r="AA192" i="10" s="1"/>
  <c r="AA193" i="10" s="1"/>
  <c r="AA194" i="10" s="1"/>
  <c r="AA195" i="10" s="1"/>
  <c r="AA196" i="10" s="1"/>
  <c r="AA197" i="10" s="1"/>
  <c r="AA198" i="10" s="1"/>
  <c r="AA199" i="10" s="1"/>
  <c r="AA200" i="10" s="1"/>
  <c r="AA201" i="10" s="1"/>
  <c r="AA202" i="10" s="1"/>
  <c r="AA203" i="10" s="1"/>
  <c r="AA204" i="10" s="1"/>
  <c r="AA205" i="10" s="1"/>
  <c r="AA206" i="10" s="1"/>
  <c r="AA207" i="10" s="1"/>
  <c r="AA208" i="10" s="1"/>
  <c r="AA209" i="10" s="1"/>
  <c r="AA210" i="10" s="1"/>
  <c r="AA211" i="10" s="1"/>
  <c r="AA212" i="10" s="1"/>
  <c r="AA213" i="10" s="1"/>
  <c r="AA214" i="10" s="1"/>
  <c r="AA215" i="10" s="1"/>
  <c r="AA216" i="10" s="1"/>
  <c r="AA217" i="10" s="1"/>
  <c r="AA218" i="10" s="1"/>
  <c r="AA219" i="10" s="1"/>
  <c r="AA220" i="10" s="1"/>
  <c r="AA221" i="10" s="1"/>
  <c r="AA222" i="10" s="1"/>
  <c r="AA223" i="10" s="1"/>
  <c r="AA224" i="10" s="1"/>
  <c r="AA225" i="10" s="1"/>
  <c r="AA226" i="10" s="1"/>
  <c r="AA227" i="10" s="1"/>
  <c r="AA228" i="10" s="1"/>
  <c r="AA229" i="10" s="1"/>
  <c r="AA230" i="10" s="1"/>
  <c r="AA231" i="10" s="1"/>
  <c r="AA232" i="10" s="1"/>
  <c r="AA233" i="10" s="1"/>
  <c r="AA234" i="10" s="1"/>
  <c r="AA235" i="10" s="1"/>
  <c r="AA236" i="10" s="1"/>
  <c r="AA237" i="10" s="1"/>
  <c r="AA238" i="10" s="1"/>
  <c r="AA239" i="10" s="1"/>
  <c r="AA240" i="10" s="1"/>
  <c r="AA241" i="10" s="1"/>
  <c r="AA242" i="10" s="1"/>
  <c r="AA243" i="10" s="1"/>
  <c r="AA244" i="10" s="1"/>
  <c r="AA245" i="10" s="1"/>
  <c r="AA246" i="10" s="1"/>
  <c r="AA247" i="10" s="1"/>
  <c r="AA248" i="10" s="1"/>
  <c r="AA249" i="10" s="1"/>
  <c r="AA250" i="10" s="1"/>
  <c r="AA251" i="10" s="1"/>
  <c r="AA252" i="10" s="1"/>
  <c r="AA253" i="10" s="1"/>
  <c r="AA254" i="10" s="1"/>
  <c r="AA255" i="10" s="1"/>
  <c r="AA256" i="10" s="1"/>
  <c r="AA257" i="10" s="1"/>
  <c r="AA258" i="10" s="1"/>
  <c r="AA259" i="10" s="1"/>
  <c r="AA260" i="10" s="1"/>
  <c r="AA261" i="10" s="1"/>
  <c r="AA262" i="10" s="1"/>
  <c r="AA263" i="10" s="1"/>
  <c r="AA264" i="10" s="1"/>
  <c r="AA265" i="10" s="1"/>
  <c r="AA266" i="10" s="1"/>
  <c r="AA267" i="10" s="1"/>
  <c r="AA268" i="10" s="1"/>
  <c r="AA269" i="10" s="1"/>
  <c r="AA270" i="10" s="1"/>
  <c r="AA271" i="10" s="1"/>
  <c r="AA272" i="10" s="1"/>
  <c r="AA273" i="10" s="1"/>
  <c r="AA274" i="10" s="1"/>
  <c r="AA275" i="10" s="1"/>
  <c r="AA276" i="10" s="1"/>
  <c r="AA277" i="10" s="1"/>
  <c r="AA278" i="10" s="1"/>
  <c r="AA279" i="10" s="1"/>
  <c r="AA280" i="10" s="1"/>
  <c r="AA281" i="10" s="1"/>
  <c r="AA282" i="10" s="1"/>
  <c r="AA283" i="10" s="1"/>
  <c r="AA284" i="10" s="1"/>
  <c r="AA285" i="10" s="1"/>
  <c r="AA286" i="10" s="1"/>
  <c r="AA287" i="10" s="1"/>
  <c r="AA288" i="10" s="1"/>
  <c r="AA289" i="10" s="1"/>
  <c r="N61" i="10"/>
  <c r="N18" i="10"/>
  <c r="N253" i="10"/>
  <c r="N277" i="10"/>
  <c r="N256" i="10"/>
  <c r="N189" i="10"/>
  <c r="N140" i="10"/>
  <c r="N84" i="10"/>
  <c r="N137" i="10"/>
  <c r="N114" i="10"/>
  <c r="N112" i="10"/>
  <c r="N110" i="10"/>
  <c r="N108" i="10"/>
  <c r="N135" i="10"/>
  <c r="N133" i="10"/>
  <c r="N131" i="10"/>
  <c r="B113" i="10"/>
  <c r="B109" i="10"/>
  <c r="N42" i="10"/>
  <c r="N40" i="10"/>
  <c r="N38" i="10"/>
  <c r="AC82" i="9"/>
  <c r="AC81" i="9"/>
  <c r="AD81" i="9" s="1"/>
  <c r="AC58" i="9"/>
  <c r="AD58" i="9" s="1"/>
  <c r="AC57" i="9"/>
  <c r="AD57" i="9" s="1"/>
  <c r="AC56" i="9"/>
  <c r="AC55" i="9"/>
  <c r="AD55" i="9" s="1"/>
  <c r="AC54" i="9"/>
  <c r="AC53" i="9"/>
  <c r="AD53" i="9" s="1"/>
  <c r="AC52" i="9"/>
  <c r="AC51" i="9"/>
  <c r="AD51" i="9" s="1"/>
  <c r="AC50" i="9"/>
  <c r="AC49" i="9"/>
  <c r="AD49" i="9" s="1"/>
  <c r="AC48" i="9"/>
  <c r="AC47" i="9"/>
  <c r="AD47" i="9" s="1"/>
  <c r="AC46" i="9"/>
  <c r="AD46" i="9" s="1"/>
  <c r="AC45" i="9"/>
  <c r="AD45" i="9" s="1"/>
  <c r="AC28" i="9"/>
  <c r="AC27" i="9"/>
  <c r="AD27" i="9" s="1"/>
  <c r="AC26" i="9"/>
  <c r="AD26" i="9" s="1"/>
  <c r="AC25" i="9"/>
  <c r="AD25" i="9" s="1"/>
  <c r="AC24" i="9"/>
  <c r="AC23" i="9"/>
  <c r="AD23" i="9" s="1"/>
  <c r="AC22" i="9"/>
  <c r="AC58" i="8"/>
  <c r="AD58" i="8" s="1"/>
  <c r="AC57" i="8"/>
  <c r="AD57" i="8" s="1"/>
  <c r="AC56" i="8"/>
  <c r="AD56" i="8" s="1"/>
  <c r="AC55" i="8"/>
  <c r="AD55" i="8" s="1"/>
  <c r="AC54" i="8"/>
  <c r="AD54" i="8" s="1"/>
  <c r="AC53" i="8"/>
  <c r="AD53" i="8" s="1"/>
  <c r="AC52" i="8"/>
  <c r="AD52" i="8" s="1"/>
  <c r="AC51" i="8"/>
  <c r="AD51" i="8" s="1"/>
  <c r="AC50" i="8"/>
  <c r="AD50" i="8" s="1"/>
  <c r="AC49" i="8"/>
  <c r="AC48" i="8"/>
  <c r="AC47" i="8"/>
  <c r="AD47" i="8" s="1"/>
  <c r="AC46" i="8"/>
  <c r="AD46" i="8" s="1"/>
  <c r="AC45" i="8"/>
  <c r="AD45" i="8" s="1"/>
  <c r="AC22" i="8"/>
  <c r="AD22" i="8" s="1"/>
  <c r="AC23" i="8"/>
  <c r="AD23" i="8" s="1"/>
  <c r="AC24" i="8"/>
  <c r="AD24" i="8" s="1"/>
  <c r="AC25" i="8"/>
  <c r="AD25" i="8" s="1"/>
  <c r="AC26" i="8"/>
  <c r="AD26" i="8" s="1"/>
  <c r="AC27" i="8"/>
  <c r="AD27" i="8" s="1"/>
  <c r="AC28" i="8"/>
  <c r="AD28" i="8" s="1"/>
  <c r="D293" i="9"/>
  <c r="L291" i="9"/>
  <c r="AD289" i="9"/>
  <c r="Y289" i="9"/>
  <c r="M289" i="9"/>
  <c r="K289" i="9"/>
  <c r="AD288" i="9"/>
  <c r="Y288" i="9"/>
  <c r="K288" i="9"/>
  <c r="M288" i="9" s="1"/>
  <c r="AD287" i="9"/>
  <c r="Y287" i="9"/>
  <c r="K287" i="9"/>
  <c r="M287" i="9" s="1"/>
  <c r="X287" i="9" s="1"/>
  <c r="AD286" i="9"/>
  <c r="Y286" i="9"/>
  <c r="K286" i="9"/>
  <c r="M286" i="9" s="1"/>
  <c r="X286" i="9" s="1"/>
  <c r="AD285" i="9"/>
  <c r="Y285" i="9"/>
  <c r="M285" i="9"/>
  <c r="K285" i="9"/>
  <c r="AD284" i="9"/>
  <c r="Y284" i="9"/>
  <c r="K284" i="9"/>
  <c r="M284" i="9" s="1"/>
  <c r="AD283" i="9"/>
  <c r="Y283" i="9"/>
  <c r="K283" i="9"/>
  <c r="M283" i="9" s="1"/>
  <c r="X283" i="9" s="1"/>
  <c r="AD282" i="9"/>
  <c r="Y282" i="9"/>
  <c r="K282" i="9"/>
  <c r="M282" i="9" s="1"/>
  <c r="X282" i="9" s="1"/>
  <c r="AD281" i="9"/>
  <c r="Y281" i="9"/>
  <c r="P281" i="9"/>
  <c r="K281" i="9"/>
  <c r="S281" i="9" s="1"/>
  <c r="AD280" i="9"/>
  <c r="Y280" i="9"/>
  <c r="R280" i="9"/>
  <c r="P280" i="9"/>
  <c r="K280" i="9"/>
  <c r="S280" i="9" s="1"/>
  <c r="AD279" i="9"/>
  <c r="Y279" i="9"/>
  <c r="P279" i="9"/>
  <c r="M279" i="9"/>
  <c r="N279" i="9" s="1"/>
  <c r="K279" i="9"/>
  <c r="R279" i="9" s="1"/>
  <c r="AD278" i="9"/>
  <c r="Y278" i="9"/>
  <c r="P278" i="9"/>
  <c r="K278" i="9"/>
  <c r="AD277" i="9"/>
  <c r="Y277" i="9"/>
  <c r="P277" i="9"/>
  <c r="Q277" i="9" s="1"/>
  <c r="W277" i="9" s="1"/>
  <c r="K277" i="9"/>
  <c r="AD276" i="9"/>
  <c r="Y276" i="9"/>
  <c r="P276" i="9"/>
  <c r="K276" i="9"/>
  <c r="AD275" i="9"/>
  <c r="Y275" i="9"/>
  <c r="K275" i="9"/>
  <c r="M275" i="9" s="1"/>
  <c r="AD274" i="9"/>
  <c r="Y274" i="9"/>
  <c r="K274" i="9"/>
  <c r="M274" i="9" s="1"/>
  <c r="X274" i="9" s="1"/>
  <c r="AD273" i="9"/>
  <c r="Y273" i="9"/>
  <c r="K273" i="9"/>
  <c r="M273" i="9" s="1"/>
  <c r="X273" i="9" s="1"/>
  <c r="AD272" i="9"/>
  <c r="Y272" i="9"/>
  <c r="K272" i="9"/>
  <c r="M272" i="9" s="1"/>
  <c r="AD271" i="9"/>
  <c r="Y271" i="9"/>
  <c r="K271" i="9"/>
  <c r="M271" i="9" s="1"/>
  <c r="AD270" i="9"/>
  <c r="Y270" i="9"/>
  <c r="K270" i="9"/>
  <c r="M270" i="9" s="1"/>
  <c r="X270" i="9" s="1"/>
  <c r="AD269" i="9"/>
  <c r="Y269" i="9"/>
  <c r="M269" i="9"/>
  <c r="X269" i="9" s="1"/>
  <c r="K269" i="9"/>
  <c r="AD268" i="9"/>
  <c r="Y268" i="9"/>
  <c r="M268" i="9"/>
  <c r="K268" i="9"/>
  <c r="AD267" i="9"/>
  <c r="Y267" i="9"/>
  <c r="K267" i="9"/>
  <c r="M267" i="9" s="1"/>
  <c r="AD266" i="9"/>
  <c r="Y266" i="9"/>
  <c r="K266" i="9"/>
  <c r="M266" i="9" s="1"/>
  <c r="X266" i="9" s="1"/>
  <c r="AD265" i="9"/>
  <c r="Y265" i="9"/>
  <c r="K265" i="9"/>
  <c r="M265" i="9" s="1"/>
  <c r="X265" i="9" s="1"/>
  <c r="AD264" i="9"/>
  <c r="Y264" i="9"/>
  <c r="K264" i="9"/>
  <c r="M264" i="9" s="1"/>
  <c r="AD263" i="9"/>
  <c r="Y263" i="9"/>
  <c r="K263" i="9"/>
  <c r="M263" i="9" s="1"/>
  <c r="AD262" i="9"/>
  <c r="Y262" i="9"/>
  <c r="K262" i="9"/>
  <c r="M262" i="9" s="1"/>
  <c r="X262" i="9" s="1"/>
  <c r="AD261" i="9"/>
  <c r="Y261" i="9"/>
  <c r="M261" i="9"/>
  <c r="X261" i="9" s="1"/>
  <c r="K261" i="9"/>
  <c r="AD260" i="9"/>
  <c r="Y260" i="9"/>
  <c r="M260" i="9"/>
  <c r="K260" i="9"/>
  <c r="AD259" i="9"/>
  <c r="Y259" i="9"/>
  <c r="K259" i="9"/>
  <c r="M259" i="9" s="1"/>
  <c r="X259" i="9" s="1"/>
  <c r="AD258" i="9"/>
  <c r="Y258" i="9"/>
  <c r="K258" i="9"/>
  <c r="M258" i="9" s="1"/>
  <c r="X258" i="9" s="1"/>
  <c r="AD257" i="9"/>
  <c r="Y257" i="9"/>
  <c r="P257" i="9"/>
  <c r="K257" i="9"/>
  <c r="S257" i="9" s="1"/>
  <c r="AD256" i="9"/>
  <c r="Y256" i="9"/>
  <c r="P256" i="9"/>
  <c r="K256" i="9"/>
  <c r="M256" i="9" s="1"/>
  <c r="AD255" i="9"/>
  <c r="Y255" i="9"/>
  <c r="P255" i="9"/>
  <c r="M255" i="9"/>
  <c r="K255" i="9"/>
  <c r="AD254" i="9"/>
  <c r="Y254" i="9"/>
  <c r="S254" i="9"/>
  <c r="P254" i="9"/>
  <c r="K254" i="9"/>
  <c r="AD253" i="9"/>
  <c r="Y253" i="9"/>
  <c r="P253" i="9"/>
  <c r="K253" i="9"/>
  <c r="R253" i="9" s="1"/>
  <c r="AD252" i="9"/>
  <c r="Y252" i="9"/>
  <c r="S252" i="9"/>
  <c r="R252" i="9"/>
  <c r="P252" i="9"/>
  <c r="K252" i="9"/>
  <c r="AD251" i="9"/>
  <c r="Y251" i="9"/>
  <c r="K251" i="9"/>
  <c r="M251" i="9" s="1"/>
  <c r="X251" i="9" s="1"/>
  <c r="AD250" i="9"/>
  <c r="Y250" i="9"/>
  <c r="M250" i="9"/>
  <c r="K250" i="9"/>
  <c r="AD249" i="9"/>
  <c r="Y249" i="9"/>
  <c r="K249" i="9"/>
  <c r="M249" i="9" s="1"/>
  <c r="AD248" i="9"/>
  <c r="Y248" i="9"/>
  <c r="K248" i="9"/>
  <c r="M248" i="9" s="1"/>
  <c r="X248" i="9" s="1"/>
  <c r="AD247" i="9"/>
  <c r="Y247" i="9"/>
  <c r="K247" i="9"/>
  <c r="M247" i="9" s="1"/>
  <c r="X247" i="9" s="1"/>
  <c r="AD246" i="9"/>
  <c r="Y246" i="9"/>
  <c r="K246" i="9"/>
  <c r="M246" i="9" s="1"/>
  <c r="AD245" i="9"/>
  <c r="Y245" i="9"/>
  <c r="K245" i="9"/>
  <c r="M245" i="9" s="1"/>
  <c r="AD244" i="9"/>
  <c r="Y244" i="9"/>
  <c r="K244" i="9"/>
  <c r="M244" i="9" s="1"/>
  <c r="X244" i="9" s="1"/>
  <c r="AD243" i="9"/>
  <c r="Y243" i="9"/>
  <c r="K243" i="9"/>
  <c r="M243" i="9" s="1"/>
  <c r="X243" i="9" s="1"/>
  <c r="AD242" i="9"/>
  <c r="Y242" i="9"/>
  <c r="K242" i="9"/>
  <c r="M242" i="9" s="1"/>
  <c r="AD241" i="9"/>
  <c r="Y241" i="9"/>
  <c r="K241" i="9"/>
  <c r="M241" i="9" s="1"/>
  <c r="X241" i="9" s="1"/>
  <c r="AD240" i="9"/>
  <c r="Y240" i="9"/>
  <c r="K240" i="9"/>
  <c r="M240" i="9" s="1"/>
  <c r="X240" i="9" s="1"/>
  <c r="AD239" i="9"/>
  <c r="Y239" i="9"/>
  <c r="K239" i="9"/>
  <c r="M239" i="9" s="1"/>
  <c r="X239" i="9" s="1"/>
  <c r="AD238" i="9"/>
  <c r="Y238" i="9"/>
  <c r="M238" i="9"/>
  <c r="X238" i="9" s="1"/>
  <c r="K238" i="9"/>
  <c r="AD237" i="9"/>
  <c r="Y237" i="9"/>
  <c r="M237" i="9"/>
  <c r="K237" i="9"/>
  <c r="AD236" i="9"/>
  <c r="Y236" i="9"/>
  <c r="K236" i="9"/>
  <c r="M236" i="9" s="1"/>
  <c r="X236" i="9" s="1"/>
  <c r="AD235" i="9"/>
  <c r="Y235" i="9"/>
  <c r="K235" i="9"/>
  <c r="M235" i="9" s="1"/>
  <c r="X235" i="9" s="1"/>
  <c r="AD234" i="9"/>
  <c r="Y234" i="9"/>
  <c r="P234" i="9"/>
  <c r="K234" i="9"/>
  <c r="S234" i="9" s="1"/>
  <c r="AD233" i="9"/>
  <c r="Y233" i="9"/>
  <c r="S233" i="9"/>
  <c r="R233" i="9"/>
  <c r="P233" i="9"/>
  <c r="K233" i="9"/>
  <c r="AD232" i="9"/>
  <c r="Y232" i="9"/>
  <c r="R232" i="9"/>
  <c r="P232" i="9"/>
  <c r="Q232" i="9" s="1"/>
  <c r="W232" i="9" s="1"/>
  <c r="M232" i="9"/>
  <c r="K232" i="9"/>
  <c r="S232" i="9" s="1"/>
  <c r="AD231" i="9"/>
  <c r="Y231" i="9"/>
  <c r="P231" i="9"/>
  <c r="K231" i="9"/>
  <c r="M231" i="9" s="1"/>
  <c r="AD230" i="9"/>
  <c r="Y230" i="9"/>
  <c r="P230" i="9"/>
  <c r="K230" i="9"/>
  <c r="S230" i="9" s="1"/>
  <c r="AD229" i="9"/>
  <c r="Y229" i="9"/>
  <c r="S229" i="9"/>
  <c r="R229" i="9"/>
  <c r="P229" i="9"/>
  <c r="K229" i="9"/>
  <c r="AD228" i="9"/>
  <c r="Y228" i="9"/>
  <c r="P228" i="9"/>
  <c r="M228" i="9"/>
  <c r="N228" i="9" s="1"/>
  <c r="K228" i="9"/>
  <c r="R228" i="9" s="1"/>
  <c r="AD227" i="9"/>
  <c r="Y227" i="9"/>
  <c r="P227" i="9"/>
  <c r="K227" i="9"/>
  <c r="M227" i="9" s="1"/>
  <c r="AD226" i="9"/>
  <c r="Y226" i="9"/>
  <c r="K226" i="9"/>
  <c r="M226" i="9" s="1"/>
  <c r="X226" i="9" s="1"/>
  <c r="AD225" i="9"/>
  <c r="Y225" i="9"/>
  <c r="K225" i="9"/>
  <c r="M225" i="9" s="1"/>
  <c r="X225" i="9" s="1"/>
  <c r="AD224" i="9"/>
  <c r="Y224" i="9"/>
  <c r="M224" i="9"/>
  <c r="K224" i="9"/>
  <c r="AD223" i="9"/>
  <c r="Y223" i="9"/>
  <c r="K223" i="9"/>
  <c r="M223" i="9" s="1"/>
  <c r="AD222" i="9"/>
  <c r="Y222" i="9"/>
  <c r="K222" i="9"/>
  <c r="M222" i="9" s="1"/>
  <c r="X222" i="9" s="1"/>
  <c r="AD221" i="9"/>
  <c r="Y221" i="9"/>
  <c r="K221" i="9"/>
  <c r="M221" i="9" s="1"/>
  <c r="X221" i="9" s="1"/>
  <c r="AD220" i="9"/>
  <c r="Y220" i="9"/>
  <c r="K220" i="9"/>
  <c r="M220" i="9" s="1"/>
  <c r="AD219" i="9"/>
  <c r="Y219" i="9"/>
  <c r="K219" i="9"/>
  <c r="M219" i="9" s="1"/>
  <c r="AD218" i="9"/>
  <c r="Y218" i="9"/>
  <c r="K218" i="9"/>
  <c r="M218" i="9" s="1"/>
  <c r="X218" i="9" s="1"/>
  <c r="AD217" i="9"/>
  <c r="Y217" i="9"/>
  <c r="K217" i="9"/>
  <c r="M217" i="9" s="1"/>
  <c r="X217" i="9" s="1"/>
  <c r="AD216" i="9"/>
  <c r="Y216" i="9"/>
  <c r="K216" i="9"/>
  <c r="M216" i="9" s="1"/>
  <c r="AD215" i="9"/>
  <c r="Y215" i="9"/>
  <c r="K215" i="9"/>
  <c r="M215" i="9" s="1"/>
  <c r="AD214" i="9"/>
  <c r="Y214" i="9"/>
  <c r="K214" i="9"/>
  <c r="M214" i="9" s="1"/>
  <c r="X214" i="9" s="1"/>
  <c r="AD213" i="9"/>
  <c r="Y213" i="9"/>
  <c r="M213" i="9"/>
  <c r="X213" i="9" s="1"/>
  <c r="K213" i="9"/>
  <c r="AD212" i="9"/>
  <c r="Y212" i="9"/>
  <c r="M212" i="9"/>
  <c r="K212" i="9"/>
  <c r="AD211" i="9"/>
  <c r="Y211" i="9"/>
  <c r="P211" i="9"/>
  <c r="K211" i="9"/>
  <c r="AD210" i="9"/>
  <c r="Y210" i="9"/>
  <c r="P210" i="9"/>
  <c r="K210" i="9"/>
  <c r="AD209" i="9"/>
  <c r="Y209" i="9"/>
  <c r="P209" i="9"/>
  <c r="K209" i="9"/>
  <c r="AD208" i="9"/>
  <c r="Y208" i="9"/>
  <c r="P208" i="9"/>
  <c r="K208" i="9"/>
  <c r="R208" i="9" s="1"/>
  <c r="AD207" i="9"/>
  <c r="Y207" i="9"/>
  <c r="P207" i="9"/>
  <c r="K207" i="9"/>
  <c r="R207" i="9" s="1"/>
  <c r="AD206" i="9"/>
  <c r="Y206" i="9"/>
  <c r="P206" i="9"/>
  <c r="K206" i="9"/>
  <c r="M206" i="9" s="1"/>
  <c r="AD205" i="9"/>
  <c r="Y205" i="9"/>
  <c r="P205" i="9"/>
  <c r="K205" i="9"/>
  <c r="AD204" i="9"/>
  <c r="Y204" i="9"/>
  <c r="S204" i="9"/>
  <c r="P204" i="9"/>
  <c r="Q204" i="9" s="1"/>
  <c r="W204" i="9" s="1"/>
  <c r="M204" i="9"/>
  <c r="N204" i="9" s="1"/>
  <c r="K204" i="9"/>
  <c r="R204" i="9" s="1"/>
  <c r="AD203" i="9"/>
  <c r="Y203" i="9"/>
  <c r="P203" i="9"/>
  <c r="K203" i="9"/>
  <c r="R203" i="9" s="1"/>
  <c r="AD202" i="9"/>
  <c r="Y202" i="9"/>
  <c r="K202" i="9"/>
  <c r="M202" i="9" s="1"/>
  <c r="X202" i="9" s="1"/>
  <c r="AD201" i="9"/>
  <c r="Y201" i="9"/>
  <c r="K201" i="9"/>
  <c r="M201" i="9" s="1"/>
  <c r="X201" i="9" s="1"/>
  <c r="AD200" i="9"/>
  <c r="Y200" i="9"/>
  <c r="K200" i="9"/>
  <c r="M200" i="9" s="1"/>
  <c r="X200" i="9" s="1"/>
  <c r="AD199" i="9"/>
  <c r="Y199" i="9"/>
  <c r="K199" i="9"/>
  <c r="M199" i="9" s="1"/>
  <c r="X199" i="9" s="1"/>
  <c r="AD198" i="9"/>
  <c r="Y198" i="9"/>
  <c r="M198" i="9"/>
  <c r="X198" i="9" s="1"/>
  <c r="K198" i="9"/>
  <c r="AD197" i="9"/>
  <c r="Y197" i="9"/>
  <c r="K197" i="9"/>
  <c r="M197" i="9" s="1"/>
  <c r="AD196" i="9"/>
  <c r="Y196" i="9"/>
  <c r="M196" i="9"/>
  <c r="X196" i="9" s="1"/>
  <c r="K196" i="9"/>
  <c r="AD195" i="9"/>
  <c r="Y195" i="9"/>
  <c r="K195" i="9"/>
  <c r="M195" i="9" s="1"/>
  <c r="X195" i="9" s="1"/>
  <c r="AD194" i="9"/>
  <c r="Y194" i="9"/>
  <c r="K194" i="9"/>
  <c r="M194" i="9" s="1"/>
  <c r="X194" i="9" s="1"/>
  <c r="AD193" i="9"/>
  <c r="Y193" i="9"/>
  <c r="K193" i="9"/>
  <c r="M193" i="9" s="1"/>
  <c r="AD192" i="9"/>
  <c r="Y192" i="9"/>
  <c r="K192" i="9"/>
  <c r="M192" i="9" s="1"/>
  <c r="X192" i="9" s="1"/>
  <c r="AD191" i="9"/>
  <c r="Y191" i="9"/>
  <c r="K191" i="9"/>
  <c r="M191" i="9" s="1"/>
  <c r="X191" i="9" s="1"/>
  <c r="AD190" i="9"/>
  <c r="Y190" i="9"/>
  <c r="M190" i="9"/>
  <c r="X190" i="9" s="1"/>
  <c r="K190" i="9"/>
  <c r="AD189" i="9"/>
  <c r="Y189" i="9"/>
  <c r="P189" i="9"/>
  <c r="K189" i="9"/>
  <c r="AD188" i="9"/>
  <c r="Y188" i="9"/>
  <c r="P188" i="9"/>
  <c r="K188" i="9"/>
  <c r="AD187" i="9"/>
  <c r="Y187" i="9"/>
  <c r="P187" i="9"/>
  <c r="K187" i="9"/>
  <c r="AD186" i="9"/>
  <c r="Y186" i="9"/>
  <c r="P186" i="9"/>
  <c r="K186" i="9"/>
  <c r="AD185" i="9"/>
  <c r="Y185" i="9"/>
  <c r="P185" i="9"/>
  <c r="K185" i="9"/>
  <c r="R185" i="9" s="1"/>
  <c r="AD184" i="9"/>
  <c r="Y184" i="9"/>
  <c r="P184" i="9"/>
  <c r="K184" i="9"/>
  <c r="R184" i="9" s="1"/>
  <c r="AD183" i="9"/>
  <c r="Y183" i="9"/>
  <c r="P183" i="9"/>
  <c r="K183" i="9"/>
  <c r="M183" i="9" s="1"/>
  <c r="AD182" i="9"/>
  <c r="Y182" i="9"/>
  <c r="P182" i="9"/>
  <c r="K182" i="9"/>
  <c r="AD181" i="9"/>
  <c r="Y181" i="9"/>
  <c r="P181" i="9"/>
  <c r="Q181" i="9" s="1"/>
  <c r="W181" i="9" s="1"/>
  <c r="K181" i="9"/>
  <c r="R181" i="9" s="1"/>
  <c r="AD180" i="9"/>
  <c r="Y180" i="9"/>
  <c r="P180" i="9"/>
  <c r="K180" i="9"/>
  <c r="R180" i="9" s="1"/>
  <c r="AD179" i="9"/>
  <c r="Y179" i="9"/>
  <c r="P179" i="9"/>
  <c r="K179" i="9"/>
  <c r="AD178" i="9"/>
  <c r="Y178" i="9"/>
  <c r="P178" i="9"/>
  <c r="K178" i="9"/>
  <c r="AD177" i="9"/>
  <c r="Y177" i="9"/>
  <c r="K177" i="9"/>
  <c r="M177" i="9" s="1"/>
  <c r="X177" i="9" s="1"/>
  <c r="AD176" i="9"/>
  <c r="Y176" i="9"/>
  <c r="K176" i="9"/>
  <c r="M176" i="9" s="1"/>
  <c r="X176" i="9" s="1"/>
  <c r="AD175" i="9"/>
  <c r="Y175" i="9"/>
  <c r="K175" i="9"/>
  <c r="M175" i="9" s="1"/>
  <c r="AD174" i="9"/>
  <c r="Y174" i="9"/>
  <c r="M174" i="9"/>
  <c r="X174" i="9" s="1"/>
  <c r="K174" i="9"/>
  <c r="AD173" i="9"/>
  <c r="Y173" i="9"/>
  <c r="K173" i="9"/>
  <c r="M173" i="9" s="1"/>
  <c r="X173" i="9" s="1"/>
  <c r="AD172" i="9"/>
  <c r="Y172" i="9"/>
  <c r="K172" i="9"/>
  <c r="M172" i="9" s="1"/>
  <c r="X172" i="9" s="1"/>
  <c r="AD171" i="9"/>
  <c r="Y171" i="9"/>
  <c r="K171" i="9"/>
  <c r="M171" i="9" s="1"/>
  <c r="AD170" i="9"/>
  <c r="Y170" i="9"/>
  <c r="K170" i="9"/>
  <c r="M170" i="9" s="1"/>
  <c r="X170" i="9" s="1"/>
  <c r="AD169" i="9"/>
  <c r="Y169" i="9"/>
  <c r="K169" i="9"/>
  <c r="M169" i="9" s="1"/>
  <c r="X169" i="9" s="1"/>
  <c r="AD168" i="9"/>
  <c r="Y168" i="9"/>
  <c r="K168" i="9"/>
  <c r="M168" i="9" s="1"/>
  <c r="X168" i="9" s="1"/>
  <c r="AD167" i="9"/>
  <c r="Y167" i="9"/>
  <c r="K167" i="9"/>
  <c r="M167" i="9" s="1"/>
  <c r="AD166" i="9"/>
  <c r="Y166" i="9"/>
  <c r="M166" i="9"/>
  <c r="X166" i="9" s="1"/>
  <c r="K166" i="9"/>
  <c r="AD165" i="9"/>
  <c r="Y165" i="9"/>
  <c r="P165" i="9"/>
  <c r="K165" i="9"/>
  <c r="AD164" i="9"/>
  <c r="Y164" i="9"/>
  <c r="R164" i="9"/>
  <c r="P164" i="9"/>
  <c r="K164" i="9"/>
  <c r="AD163" i="9"/>
  <c r="Y163" i="9"/>
  <c r="P163" i="9"/>
  <c r="K163" i="9"/>
  <c r="S163" i="9" s="1"/>
  <c r="AD162" i="9"/>
  <c r="Y162" i="9"/>
  <c r="P162" i="9"/>
  <c r="K162" i="9"/>
  <c r="AD161" i="9"/>
  <c r="Y161" i="9"/>
  <c r="P161" i="9"/>
  <c r="Q161" i="9" s="1"/>
  <c r="W161" i="9" s="1"/>
  <c r="K161" i="9"/>
  <c r="S161" i="9" s="1"/>
  <c r="AD160" i="9"/>
  <c r="Y160" i="9"/>
  <c r="P160" i="9"/>
  <c r="K160" i="9"/>
  <c r="S160" i="9" s="1"/>
  <c r="AD159" i="9"/>
  <c r="Y159" i="9"/>
  <c r="R159" i="9"/>
  <c r="P159" i="9"/>
  <c r="Q159" i="9" s="1"/>
  <c r="W159" i="9" s="1"/>
  <c r="K159" i="9"/>
  <c r="S159" i="9" s="1"/>
  <c r="AD158" i="9"/>
  <c r="Y158" i="9"/>
  <c r="P158" i="9"/>
  <c r="K158" i="9"/>
  <c r="AD157" i="9"/>
  <c r="Y157" i="9"/>
  <c r="P157" i="9"/>
  <c r="K157" i="9"/>
  <c r="R157" i="9" s="1"/>
  <c r="AD156" i="9"/>
  <c r="Y156" i="9"/>
  <c r="R156" i="9"/>
  <c r="P156" i="9"/>
  <c r="K156" i="9"/>
  <c r="S156" i="9" s="1"/>
  <c r="AD155" i="9"/>
  <c r="Y155" i="9"/>
  <c r="P155" i="9"/>
  <c r="K155" i="9"/>
  <c r="M155" i="9" s="1"/>
  <c r="AD154" i="9"/>
  <c r="Y154" i="9"/>
  <c r="R154" i="9"/>
  <c r="P154" i="9"/>
  <c r="K154" i="9"/>
  <c r="M154" i="9" s="1"/>
  <c r="AD153" i="9"/>
  <c r="Y153" i="9"/>
  <c r="K153" i="9"/>
  <c r="M153" i="9" s="1"/>
  <c r="X153" i="9" s="1"/>
  <c r="AD152" i="9"/>
  <c r="Y152" i="9"/>
  <c r="K152" i="9"/>
  <c r="M152" i="9" s="1"/>
  <c r="X152" i="9" s="1"/>
  <c r="AD151" i="9"/>
  <c r="Y151" i="9"/>
  <c r="K151" i="9"/>
  <c r="M151" i="9" s="1"/>
  <c r="X151" i="9" s="1"/>
  <c r="AD150" i="9"/>
  <c r="Y150" i="9"/>
  <c r="K150" i="9"/>
  <c r="M150" i="9" s="1"/>
  <c r="AD149" i="9"/>
  <c r="Y149" i="9"/>
  <c r="M149" i="9"/>
  <c r="X149" i="9" s="1"/>
  <c r="K149" i="9"/>
  <c r="AD148" i="9"/>
  <c r="Y148" i="9"/>
  <c r="K148" i="9"/>
  <c r="M148" i="9" s="1"/>
  <c r="X148" i="9" s="1"/>
  <c r="AD147" i="9"/>
  <c r="Y147" i="9"/>
  <c r="K147" i="9"/>
  <c r="M147" i="9" s="1"/>
  <c r="X147" i="9" s="1"/>
  <c r="AD146" i="9"/>
  <c r="Y146" i="9"/>
  <c r="K146" i="9"/>
  <c r="M146" i="9" s="1"/>
  <c r="N146" i="9" s="1"/>
  <c r="AD145" i="9"/>
  <c r="Y145" i="9"/>
  <c r="K145" i="9"/>
  <c r="M145" i="9" s="1"/>
  <c r="AD144" i="9"/>
  <c r="Y144" i="9"/>
  <c r="K144" i="9"/>
  <c r="M144" i="9" s="1"/>
  <c r="AD143" i="9"/>
  <c r="Y143" i="9"/>
  <c r="K143" i="9"/>
  <c r="M143" i="9" s="1"/>
  <c r="AD142" i="9"/>
  <c r="Y142" i="9"/>
  <c r="K142" i="9"/>
  <c r="M142" i="9" s="1"/>
  <c r="N142" i="9" s="1"/>
  <c r="AD141" i="9"/>
  <c r="Y141" i="9"/>
  <c r="M141" i="9"/>
  <c r="K141" i="9"/>
  <c r="AD140" i="9"/>
  <c r="Y140" i="9"/>
  <c r="R140" i="9"/>
  <c r="P140" i="9"/>
  <c r="K140" i="9"/>
  <c r="S140" i="9" s="1"/>
  <c r="AD139" i="9"/>
  <c r="Y139" i="9"/>
  <c r="P139" i="9"/>
  <c r="K139" i="9"/>
  <c r="S139" i="9" s="1"/>
  <c r="AD138" i="9"/>
  <c r="Y138" i="9"/>
  <c r="P138" i="9"/>
  <c r="K138" i="9"/>
  <c r="S138" i="9" s="1"/>
  <c r="AD137" i="9"/>
  <c r="Y137" i="9"/>
  <c r="R137" i="9"/>
  <c r="P137" i="9"/>
  <c r="K137" i="9"/>
  <c r="M137" i="9" s="1"/>
  <c r="AD136" i="9"/>
  <c r="Y136" i="9"/>
  <c r="P136" i="9"/>
  <c r="K136" i="9"/>
  <c r="AD135" i="9"/>
  <c r="Y135" i="9"/>
  <c r="P135" i="9"/>
  <c r="Q135" i="9" s="1"/>
  <c r="W135" i="9" s="1"/>
  <c r="M135" i="9"/>
  <c r="N135" i="9" s="1"/>
  <c r="K135" i="9"/>
  <c r="R135" i="9" s="1"/>
  <c r="AD134" i="9"/>
  <c r="Y134" i="9"/>
  <c r="R134" i="9"/>
  <c r="P134" i="9"/>
  <c r="K134" i="9"/>
  <c r="S134" i="9" s="1"/>
  <c r="AD133" i="9"/>
  <c r="Y133" i="9"/>
  <c r="P133" i="9"/>
  <c r="Q133" i="9" s="1"/>
  <c r="W133" i="9" s="1"/>
  <c r="M133" i="9"/>
  <c r="K133" i="9"/>
  <c r="R133" i="9" s="1"/>
  <c r="AD132" i="9"/>
  <c r="Y132" i="9"/>
  <c r="P132" i="9"/>
  <c r="K132" i="9"/>
  <c r="AD131" i="9"/>
  <c r="Y131" i="9"/>
  <c r="S131" i="9"/>
  <c r="P131" i="9"/>
  <c r="K131" i="9"/>
  <c r="R131" i="9" s="1"/>
  <c r="AD130" i="9"/>
  <c r="Y130" i="9"/>
  <c r="P130" i="9"/>
  <c r="Q130" i="9" s="1"/>
  <c r="W130" i="9" s="1"/>
  <c r="M130" i="9"/>
  <c r="K130" i="9"/>
  <c r="R130" i="9" s="1"/>
  <c r="AD129" i="9"/>
  <c r="Y129" i="9"/>
  <c r="M129" i="9"/>
  <c r="X129" i="9" s="1"/>
  <c r="K129" i="9"/>
  <c r="AD128" i="9"/>
  <c r="Y128" i="9"/>
  <c r="K128" i="9"/>
  <c r="M128" i="9" s="1"/>
  <c r="AD127" i="9"/>
  <c r="Y127" i="9"/>
  <c r="K127" i="9"/>
  <c r="M127" i="9" s="1"/>
  <c r="X127" i="9" s="1"/>
  <c r="AD126" i="9"/>
  <c r="Y126" i="9"/>
  <c r="K126" i="9"/>
  <c r="M126" i="9" s="1"/>
  <c r="X126" i="9" s="1"/>
  <c r="AD125" i="9"/>
  <c r="Y125" i="9"/>
  <c r="K125" i="9"/>
  <c r="M125" i="9" s="1"/>
  <c r="X125" i="9" s="1"/>
  <c r="AD124" i="9"/>
  <c r="Y124" i="9"/>
  <c r="K124" i="9"/>
  <c r="M124" i="9" s="1"/>
  <c r="AD123" i="9"/>
  <c r="Y123" i="9"/>
  <c r="K123" i="9"/>
  <c r="M123" i="9" s="1"/>
  <c r="X123" i="9" s="1"/>
  <c r="AD122" i="9"/>
  <c r="Y122" i="9"/>
  <c r="K122" i="9"/>
  <c r="M122" i="9" s="1"/>
  <c r="X122" i="9" s="1"/>
  <c r="AD121" i="9"/>
  <c r="Y121" i="9"/>
  <c r="M121" i="9"/>
  <c r="X121" i="9" s="1"/>
  <c r="K121" i="9"/>
  <c r="AD120" i="9"/>
  <c r="Y120" i="9"/>
  <c r="K120" i="9"/>
  <c r="M120" i="9" s="1"/>
  <c r="AD119" i="9"/>
  <c r="Y119" i="9"/>
  <c r="K119" i="9"/>
  <c r="M119" i="9" s="1"/>
  <c r="X119" i="9" s="1"/>
  <c r="AD118" i="9"/>
  <c r="Y118" i="9"/>
  <c r="K118" i="9"/>
  <c r="M118" i="9" s="1"/>
  <c r="X118" i="9" s="1"/>
  <c r="AD117" i="9"/>
  <c r="Y117" i="9"/>
  <c r="K117" i="9"/>
  <c r="M117" i="9" s="1"/>
  <c r="X117" i="9" s="1"/>
  <c r="AD116" i="9"/>
  <c r="Y116" i="9"/>
  <c r="P116" i="9"/>
  <c r="K116" i="9"/>
  <c r="R116" i="9" s="1"/>
  <c r="AD115" i="9"/>
  <c r="Y115" i="9"/>
  <c r="P115" i="9"/>
  <c r="K115" i="9"/>
  <c r="AD114" i="9"/>
  <c r="Y114" i="9"/>
  <c r="S114" i="9"/>
  <c r="P114" i="9"/>
  <c r="Q114" i="9" s="1"/>
  <c r="W114" i="9" s="1"/>
  <c r="K114" i="9"/>
  <c r="R114" i="9" s="1"/>
  <c r="AD113" i="9"/>
  <c r="Y113" i="9"/>
  <c r="P113" i="9"/>
  <c r="K113" i="9"/>
  <c r="AD112" i="9"/>
  <c r="Y112" i="9"/>
  <c r="P112" i="9"/>
  <c r="Q112" i="9" s="1"/>
  <c r="W112" i="9" s="1"/>
  <c r="M112" i="9"/>
  <c r="N112" i="9" s="1"/>
  <c r="K112" i="9"/>
  <c r="R112" i="9" s="1"/>
  <c r="AD111" i="9"/>
  <c r="Y111" i="9"/>
  <c r="P111" i="9"/>
  <c r="K111" i="9"/>
  <c r="R111" i="9" s="1"/>
  <c r="AD110" i="9"/>
  <c r="Y110" i="9"/>
  <c r="S110" i="9"/>
  <c r="P110" i="9"/>
  <c r="K110" i="9"/>
  <c r="R110" i="9" s="1"/>
  <c r="AD109" i="9"/>
  <c r="Y109" i="9"/>
  <c r="P109" i="9"/>
  <c r="K109" i="9"/>
  <c r="AD108" i="9"/>
  <c r="Y108" i="9"/>
  <c r="R108" i="9"/>
  <c r="P108" i="9"/>
  <c r="Q108" i="9" s="1"/>
  <c r="W108" i="9" s="1"/>
  <c r="M108" i="9"/>
  <c r="N108" i="9" s="1"/>
  <c r="K108" i="9"/>
  <c r="S108" i="9" s="1"/>
  <c r="AD107" i="9"/>
  <c r="Y107" i="9"/>
  <c r="P107" i="9"/>
  <c r="K107" i="9"/>
  <c r="S107" i="9" s="1"/>
  <c r="AD106" i="9"/>
  <c r="Y106" i="9"/>
  <c r="P106" i="9"/>
  <c r="Q106" i="9" s="1"/>
  <c r="W106" i="9" s="1"/>
  <c r="M106" i="9"/>
  <c r="K106" i="9"/>
  <c r="S106" i="9" s="1"/>
  <c r="AD105" i="9"/>
  <c r="Y105" i="9"/>
  <c r="K105" i="9"/>
  <c r="M105" i="9" s="1"/>
  <c r="AD104" i="9"/>
  <c r="Y104" i="9"/>
  <c r="K104" i="9"/>
  <c r="M104" i="9" s="1"/>
  <c r="X104" i="9" s="1"/>
  <c r="AD103" i="9"/>
  <c r="Y103" i="9"/>
  <c r="K103" i="9"/>
  <c r="M103" i="9" s="1"/>
  <c r="X103" i="9" s="1"/>
  <c r="AD102" i="9"/>
  <c r="Y102" i="9"/>
  <c r="K102" i="9"/>
  <c r="M102" i="9" s="1"/>
  <c r="AD101" i="9"/>
  <c r="Y101" i="9"/>
  <c r="K101" i="9"/>
  <c r="M101" i="9" s="1"/>
  <c r="X101" i="9" s="1"/>
  <c r="AD100" i="9"/>
  <c r="Y100" i="9"/>
  <c r="M100" i="9"/>
  <c r="X100" i="9" s="1"/>
  <c r="K100" i="9"/>
  <c r="AD99" i="9"/>
  <c r="Y99" i="9"/>
  <c r="K99" i="9"/>
  <c r="M99" i="9" s="1"/>
  <c r="X99" i="9" s="1"/>
  <c r="AD98" i="9"/>
  <c r="Y98" i="9"/>
  <c r="M98" i="9"/>
  <c r="K98" i="9"/>
  <c r="AD97" i="9"/>
  <c r="Y97" i="9"/>
  <c r="K97" i="9"/>
  <c r="M97" i="9" s="1"/>
  <c r="X97" i="9" s="1"/>
  <c r="AD96" i="9"/>
  <c r="Y96" i="9"/>
  <c r="K96" i="9"/>
  <c r="M96" i="9" s="1"/>
  <c r="X96" i="9" s="1"/>
  <c r="AD95" i="9"/>
  <c r="Y95" i="9"/>
  <c r="K95" i="9"/>
  <c r="M95" i="9" s="1"/>
  <c r="AD94" i="9"/>
  <c r="Y94" i="9"/>
  <c r="K94" i="9"/>
  <c r="M94" i="9" s="1"/>
  <c r="X94" i="9" s="1"/>
  <c r="AD93" i="9"/>
  <c r="Y93" i="9"/>
  <c r="K93" i="9"/>
  <c r="M93" i="9" s="1"/>
  <c r="X93" i="9" s="1"/>
  <c r="AD92" i="9"/>
  <c r="Y92" i="9"/>
  <c r="P92" i="9"/>
  <c r="Q92" i="9" s="1"/>
  <c r="W92" i="9" s="1"/>
  <c r="M92" i="9"/>
  <c r="N92" i="9" s="1"/>
  <c r="K92" i="9"/>
  <c r="R92" i="9" s="1"/>
  <c r="AD91" i="9"/>
  <c r="Y91" i="9"/>
  <c r="R91" i="9"/>
  <c r="P91" i="9"/>
  <c r="K91" i="9"/>
  <c r="AD90" i="9"/>
  <c r="Y90" i="9"/>
  <c r="P90" i="9"/>
  <c r="K90" i="9"/>
  <c r="R90" i="9" s="1"/>
  <c r="AD89" i="9"/>
  <c r="Y89" i="9"/>
  <c r="P89" i="9"/>
  <c r="K89" i="9"/>
  <c r="R89" i="9" s="1"/>
  <c r="AD88" i="9"/>
  <c r="Y88" i="9"/>
  <c r="S88" i="9"/>
  <c r="P88" i="9"/>
  <c r="Q88" i="9" s="1"/>
  <c r="W88" i="9" s="1"/>
  <c r="K88" i="9"/>
  <c r="R88" i="9" s="1"/>
  <c r="AD87" i="9"/>
  <c r="Y87" i="9"/>
  <c r="P87" i="9"/>
  <c r="K87" i="9"/>
  <c r="AD86" i="9"/>
  <c r="Y86" i="9"/>
  <c r="R86" i="9"/>
  <c r="P86" i="9"/>
  <c r="Q86" i="9" s="1"/>
  <c r="W86" i="9" s="1"/>
  <c r="M86" i="9"/>
  <c r="N86" i="9" s="1"/>
  <c r="K86" i="9"/>
  <c r="S86" i="9" s="1"/>
  <c r="AD85" i="9"/>
  <c r="Y85" i="9"/>
  <c r="R85" i="9"/>
  <c r="P85" i="9"/>
  <c r="K85" i="9"/>
  <c r="AD84" i="9"/>
  <c r="Y84" i="9"/>
  <c r="P84" i="9"/>
  <c r="K84" i="9"/>
  <c r="R84" i="9" s="1"/>
  <c r="AD83" i="9"/>
  <c r="Y83" i="9"/>
  <c r="S83" i="9"/>
  <c r="P83" i="9"/>
  <c r="Q83" i="9" s="1"/>
  <c r="W83" i="9" s="1"/>
  <c r="K83" i="9"/>
  <c r="R83" i="9" s="1"/>
  <c r="AD82" i="9"/>
  <c r="Y82" i="9"/>
  <c r="K82" i="9"/>
  <c r="M82" i="9" s="1"/>
  <c r="X82" i="9" s="1"/>
  <c r="Y81" i="9"/>
  <c r="K81" i="9"/>
  <c r="M81" i="9" s="1"/>
  <c r="X81" i="9" s="1"/>
  <c r="AD80" i="9"/>
  <c r="Y80" i="9"/>
  <c r="K80" i="9"/>
  <c r="M80" i="9" s="1"/>
  <c r="X80" i="9" s="1"/>
  <c r="AD79" i="9"/>
  <c r="Y79" i="9"/>
  <c r="K79" i="9"/>
  <c r="M79" i="9" s="1"/>
  <c r="AD78" i="9"/>
  <c r="Y78" i="9"/>
  <c r="K78" i="9"/>
  <c r="M78" i="9" s="1"/>
  <c r="X78" i="9" s="1"/>
  <c r="AD77" i="9"/>
  <c r="Y77" i="9"/>
  <c r="K77" i="9"/>
  <c r="M77" i="9" s="1"/>
  <c r="X77" i="9" s="1"/>
  <c r="AD76" i="9"/>
  <c r="Y76" i="9"/>
  <c r="K76" i="9"/>
  <c r="M76" i="9" s="1"/>
  <c r="X76" i="9" s="1"/>
  <c r="AD75" i="9"/>
  <c r="Y75" i="9"/>
  <c r="K75" i="9"/>
  <c r="M75" i="9" s="1"/>
  <c r="AD74" i="9"/>
  <c r="Y74" i="9"/>
  <c r="M74" i="9"/>
  <c r="X74" i="9" s="1"/>
  <c r="K74" i="9"/>
  <c r="AD73" i="9"/>
  <c r="Y73" i="9"/>
  <c r="K73" i="9"/>
  <c r="M73" i="9" s="1"/>
  <c r="X73" i="9" s="1"/>
  <c r="AD72" i="9"/>
  <c r="Y72" i="9"/>
  <c r="K72" i="9"/>
  <c r="M72" i="9" s="1"/>
  <c r="X72" i="9" s="1"/>
  <c r="AD71" i="9"/>
  <c r="Y71" i="9"/>
  <c r="K71" i="9"/>
  <c r="M71" i="9" s="1"/>
  <c r="AD70" i="9"/>
  <c r="Y70" i="9"/>
  <c r="K70" i="9"/>
  <c r="M70" i="9" s="1"/>
  <c r="AD69" i="9"/>
  <c r="Y69" i="9"/>
  <c r="K69" i="9"/>
  <c r="M69" i="9" s="1"/>
  <c r="N69" i="9" s="1"/>
  <c r="AD68" i="9"/>
  <c r="Y68" i="9"/>
  <c r="K68" i="9"/>
  <c r="M68" i="9" s="1"/>
  <c r="AD67" i="9"/>
  <c r="Y67" i="9"/>
  <c r="P67" i="9"/>
  <c r="K67" i="9"/>
  <c r="AD66" i="9"/>
  <c r="Y66" i="9"/>
  <c r="R66" i="9"/>
  <c r="P66" i="9"/>
  <c r="Q66" i="9" s="1"/>
  <c r="W66" i="9" s="1"/>
  <c r="M66" i="9"/>
  <c r="N66" i="9" s="1"/>
  <c r="K66" i="9"/>
  <c r="S66" i="9" s="1"/>
  <c r="AD65" i="9"/>
  <c r="Y65" i="9"/>
  <c r="P65" i="9"/>
  <c r="K65" i="9"/>
  <c r="R65" i="9" s="1"/>
  <c r="AD64" i="9"/>
  <c r="Y64" i="9"/>
  <c r="S64" i="9"/>
  <c r="P64" i="9"/>
  <c r="K64" i="9"/>
  <c r="R64" i="9" s="1"/>
  <c r="AD63" i="9"/>
  <c r="Y63" i="9"/>
  <c r="P63" i="9"/>
  <c r="K63" i="9"/>
  <c r="AD62" i="9"/>
  <c r="Y62" i="9"/>
  <c r="R62" i="9"/>
  <c r="P62" i="9"/>
  <c r="Q62" i="9" s="1"/>
  <c r="W62" i="9" s="1"/>
  <c r="K62" i="9"/>
  <c r="S62" i="9" s="1"/>
  <c r="AD61" i="9"/>
  <c r="Y61" i="9"/>
  <c r="P61" i="9"/>
  <c r="K61" i="9"/>
  <c r="AD60" i="9"/>
  <c r="Y60" i="9"/>
  <c r="P60" i="9"/>
  <c r="K60" i="9"/>
  <c r="R60" i="9" s="1"/>
  <c r="AD59" i="9"/>
  <c r="Y59" i="9"/>
  <c r="S59" i="9"/>
  <c r="P59" i="9"/>
  <c r="Q59" i="9" s="1"/>
  <c r="W59" i="9" s="1"/>
  <c r="K59" i="9"/>
  <c r="R59" i="9" s="1"/>
  <c r="Y58" i="9"/>
  <c r="M58" i="9"/>
  <c r="X58" i="9" s="1"/>
  <c r="K58" i="9"/>
  <c r="Y57" i="9"/>
  <c r="K57" i="9"/>
  <c r="M57" i="9" s="1"/>
  <c r="X57" i="9" s="1"/>
  <c r="AD56" i="9"/>
  <c r="Y56" i="9"/>
  <c r="K56" i="9"/>
  <c r="M56" i="9" s="1"/>
  <c r="X56" i="9" s="1"/>
  <c r="Y55" i="9"/>
  <c r="K55" i="9"/>
  <c r="M55" i="9" s="1"/>
  <c r="N55" i="9" s="1"/>
  <c r="AD54" i="9"/>
  <c r="Y54" i="9"/>
  <c r="M54" i="9"/>
  <c r="X54" i="9" s="1"/>
  <c r="K54" i="9"/>
  <c r="Y53" i="9"/>
  <c r="K53" i="9"/>
  <c r="M53" i="9" s="1"/>
  <c r="N53" i="9" s="1"/>
  <c r="AD52" i="9"/>
  <c r="Y52" i="9"/>
  <c r="K52" i="9"/>
  <c r="M52" i="9" s="1"/>
  <c r="X52" i="9" s="1"/>
  <c r="Y51" i="9"/>
  <c r="K51" i="9"/>
  <c r="M51" i="9" s="1"/>
  <c r="N51" i="9" s="1"/>
  <c r="AD50" i="9"/>
  <c r="Y50" i="9"/>
  <c r="M50" i="9"/>
  <c r="X50" i="9" s="1"/>
  <c r="K50" i="9"/>
  <c r="Y49" i="9"/>
  <c r="K49" i="9"/>
  <c r="M49" i="9" s="1"/>
  <c r="X49" i="9" s="1"/>
  <c r="AD48" i="9"/>
  <c r="Y48" i="9"/>
  <c r="K48" i="9"/>
  <c r="M48" i="9" s="1"/>
  <c r="X48" i="9" s="1"/>
  <c r="Y47" i="9"/>
  <c r="M47" i="9"/>
  <c r="N47" i="9" s="1"/>
  <c r="K47" i="9"/>
  <c r="Y46" i="9"/>
  <c r="M46" i="9"/>
  <c r="N46" i="9" s="1"/>
  <c r="K46" i="9"/>
  <c r="Y45" i="9"/>
  <c r="K45" i="9"/>
  <c r="M45" i="9" s="1"/>
  <c r="N45" i="9" s="1"/>
  <c r="AD44" i="9"/>
  <c r="Y44" i="9"/>
  <c r="K44" i="9"/>
  <c r="M44" i="9" s="1"/>
  <c r="X44" i="9" s="1"/>
  <c r="AD43" i="9"/>
  <c r="Y43" i="9"/>
  <c r="K43" i="9"/>
  <c r="M43" i="9" s="1"/>
  <c r="AD42" i="9"/>
  <c r="Y42" i="9"/>
  <c r="P42" i="9"/>
  <c r="M42" i="9"/>
  <c r="N42" i="9" s="1"/>
  <c r="K42" i="9"/>
  <c r="R42" i="9" s="1"/>
  <c r="AD41" i="9"/>
  <c r="Y41" i="9"/>
  <c r="P41" i="9"/>
  <c r="K41" i="9"/>
  <c r="AD40" i="9"/>
  <c r="Y40" i="9"/>
  <c r="P40" i="9"/>
  <c r="K40" i="9"/>
  <c r="M40" i="9" s="1"/>
  <c r="N40" i="9" s="1"/>
  <c r="AD39" i="9"/>
  <c r="Y39" i="9"/>
  <c r="R39" i="9"/>
  <c r="P39" i="9"/>
  <c r="Q39" i="9" s="1"/>
  <c r="W39" i="9" s="1"/>
  <c r="M39" i="9"/>
  <c r="N39" i="9" s="1"/>
  <c r="K39" i="9"/>
  <c r="S39" i="9" s="1"/>
  <c r="AD38" i="9"/>
  <c r="Y38" i="9"/>
  <c r="P38" i="9"/>
  <c r="K38" i="9"/>
  <c r="R38" i="9" s="1"/>
  <c r="AD37" i="9"/>
  <c r="Y37" i="9"/>
  <c r="S37" i="9"/>
  <c r="P37" i="9"/>
  <c r="K37" i="9"/>
  <c r="R37" i="9" s="1"/>
  <c r="AD36" i="9"/>
  <c r="Y36" i="9"/>
  <c r="P36" i="9"/>
  <c r="K36" i="9"/>
  <c r="R36" i="9" s="1"/>
  <c r="AC35" i="9"/>
  <c r="AD35" i="9" s="1"/>
  <c r="Y35" i="9"/>
  <c r="K35" i="9"/>
  <c r="M35" i="9" s="1"/>
  <c r="N35" i="9" s="1"/>
  <c r="AC34" i="9"/>
  <c r="AD34" i="9" s="1"/>
  <c r="Y34" i="9"/>
  <c r="K34" i="9"/>
  <c r="M34" i="9" s="1"/>
  <c r="X34" i="9" s="1"/>
  <c r="AC33" i="9"/>
  <c r="AD33" i="9" s="1"/>
  <c r="Y33" i="9"/>
  <c r="K33" i="9"/>
  <c r="M33" i="9" s="1"/>
  <c r="AC32" i="9"/>
  <c r="AD32" i="9" s="1"/>
  <c r="Y32" i="9"/>
  <c r="K32" i="9"/>
  <c r="M32" i="9" s="1"/>
  <c r="N32" i="9" s="1"/>
  <c r="AC31" i="9"/>
  <c r="AD31" i="9" s="1"/>
  <c r="Y31" i="9"/>
  <c r="K31" i="9"/>
  <c r="M31" i="9" s="1"/>
  <c r="AC30" i="9"/>
  <c r="AD30" i="9" s="1"/>
  <c r="Y30" i="9"/>
  <c r="K30" i="9"/>
  <c r="M30" i="9" s="1"/>
  <c r="X30" i="9" s="1"/>
  <c r="AC29" i="9"/>
  <c r="AD29" i="9" s="1"/>
  <c r="Y29" i="9"/>
  <c r="K29" i="9"/>
  <c r="M29" i="9" s="1"/>
  <c r="AD28" i="9"/>
  <c r="Y28" i="9"/>
  <c r="K28" i="9"/>
  <c r="M28" i="9" s="1"/>
  <c r="N28" i="9" s="1"/>
  <c r="Y27" i="9"/>
  <c r="K27" i="9"/>
  <c r="M27" i="9" s="1"/>
  <c r="X27" i="9" s="1"/>
  <c r="Y26" i="9"/>
  <c r="K26" i="9"/>
  <c r="M26" i="9" s="1"/>
  <c r="X26" i="9" s="1"/>
  <c r="Y25" i="9"/>
  <c r="K25" i="9"/>
  <c r="M25" i="9" s="1"/>
  <c r="N25" i="9" s="1"/>
  <c r="AD24" i="9"/>
  <c r="Y24" i="9"/>
  <c r="K24" i="9"/>
  <c r="M24" i="9" s="1"/>
  <c r="N24" i="9" s="1"/>
  <c r="Y23" i="9"/>
  <c r="K23" i="9"/>
  <c r="M23" i="9" s="1"/>
  <c r="X23" i="9" s="1"/>
  <c r="AD22" i="9"/>
  <c r="Y22" i="9"/>
  <c r="K22" i="9"/>
  <c r="M22" i="9" s="1"/>
  <c r="X22" i="9" s="1"/>
  <c r="AD21" i="9"/>
  <c r="Y21" i="9"/>
  <c r="K21" i="9"/>
  <c r="M21" i="9" s="1"/>
  <c r="AD20" i="9"/>
  <c r="Y20" i="9"/>
  <c r="K20" i="9"/>
  <c r="M20" i="9" s="1"/>
  <c r="AD19" i="9"/>
  <c r="Y19" i="9"/>
  <c r="K19" i="9"/>
  <c r="M19" i="9" s="1"/>
  <c r="X19" i="9" s="1"/>
  <c r="AD18" i="9"/>
  <c r="Y18" i="9"/>
  <c r="R18" i="9"/>
  <c r="P18" i="9"/>
  <c r="Q18" i="9" s="1"/>
  <c r="W18" i="9" s="1"/>
  <c r="K18" i="9"/>
  <c r="S18" i="9" s="1"/>
  <c r="AD17" i="9"/>
  <c r="Y17" i="9"/>
  <c r="R17" i="9"/>
  <c r="P17" i="9"/>
  <c r="Q17" i="9" s="1"/>
  <c r="W17" i="9" s="1"/>
  <c r="M17" i="9"/>
  <c r="N17" i="9" s="1"/>
  <c r="K17" i="9"/>
  <c r="S17" i="9" s="1"/>
  <c r="AD16" i="9"/>
  <c r="Y16" i="9"/>
  <c r="R16" i="9"/>
  <c r="P16" i="9"/>
  <c r="K16" i="9"/>
  <c r="S16" i="9" s="1"/>
  <c r="AD15" i="9"/>
  <c r="Y15" i="9"/>
  <c r="P15" i="9"/>
  <c r="K15" i="9"/>
  <c r="S15" i="9" s="1"/>
  <c r="AD14" i="9"/>
  <c r="Y14" i="9"/>
  <c r="P14" i="9"/>
  <c r="K14" i="9"/>
  <c r="S14" i="9" s="1"/>
  <c r="AD13" i="9"/>
  <c r="Y13" i="9"/>
  <c r="P13" i="9"/>
  <c r="K13" i="9"/>
  <c r="S13" i="9" s="1"/>
  <c r="AD12" i="9"/>
  <c r="Y12" i="9"/>
  <c r="P12" i="9"/>
  <c r="K12" i="9"/>
  <c r="S12" i="9" s="1"/>
  <c r="AC11" i="9"/>
  <c r="AD11" i="9" s="1"/>
  <c r="Y11" i="9"/>
  <c r="K11" i="9"/>
  <c r="M11" i="9" s="1"/>
  <c r="AC10" i="9"/>
  <c r="AD10" i="9" s="1"/>
  <c r="Y10" i="9"/>
  <c r="K10" i="9"/>
  <c r="M10" i="9" s="1"/>
  <c r="AC9" i="9"/>
  <c r="AD9" i="9" s="1"/>
  <c r="Y9" i="9"/>
  <c r="K9" i="9"/>
  <c r="M9" i="9" s="1"/>
  <c r="X9" i="9" s="1"/>
  <c r="AC8" i="9"/>
  <c r="AD8" i="9" s="1"/>
  <c r="Y8" i="9"/>
  <c r="K8" i="9"/>
  <c r="M8" i="9" s="1"/>
  <c r="X8" i="9" s="1"/>
  <c r="AC7" i="9"/>
  <c r="AD7" i="9" s="1"/>
  <c r="Y7" i="9"/>
  <c r="K7" i="9"/>
  <c r="M7" i="9" s="1"/>
  <c r="AC6" i="9"/>
  <c r="AD6" i="9" s="1"/>
  <c r="Y6" i="9"/>
  <c r="K6" i="9"/>
  <c r="M6" i="9" s="1"/>
  <c r="AC5" i="9"/>
  <c r="AD5" i="9" s="1"/>
  <c r="Y5" i="9"/>
  <c r="K5" i="9"/>
  <c r="M5" i="9" s="1"/>
  <c r="X5" i="9" s="1"/>
  <c r="AD4" i="9"/>
  <c r="Y4" i="9"/>
  <c r="K4" i="9"/>
  <c r="M4" i="9" s="1"/>
  <c r="AD3" i="9"/>
  <c r="Y3" i="9"/>
  <c r="K3" i="9"/>
  <c r="M3" i="9" s="1"/>
  <c r="N3" i="9" s="1"/>
  <c r="AD2" i="9"/>
  <c r="Y2" i="9"/>
  <c r="K2" i="9"/>
  <c r="M2" i="9" s="1"/>
  <c r="D2" i="9"/>
  <c r="D293" i="8"/>
  <c r="L291" i="8"/>
  <c r="AD289" i="8"/>
  <c r="Y289" i="8"/>
  <c r="K289" i="8"/>
  <c r="M289" i="8" s="1"/>
  <c r="N289" i="8" s="1"/>
  <c r="AD288" i="8"/>
  <c r="Y288" i="8"/>
  <c r="K288" i="8"/>
  <c r="M288" i="8" s="1"/>
  <c r="N288" i="8" s="1"/>
  <c r="AD287" i="8"/>
  <c r="Y287" i="8"/>
  <c r="K287" i="8"/>
  <c r="M287" i="8" s="1"/>
  <c r="AD286" i="8"/>
  <c r="Y286" i="8"/>
  <c r="K286" i="8"/>
  <c r="M286" i="8" s="1"/>
  <c r="AD285" i="8"/>
  <c r="Y285" i="8"/>
  <c r="K285" i="8"/>
  <c r="M285" i="8" s="1"/>
  <c r="N285" i="8" s="1"/>
  <c r="AD284" i="8"/>
  <c r="Y284" i="8"/>
  <c r="K284" i="8"/>
  <c r="M284" i="8" s="1"/>
  <c r="N284" i="8" s="1"/>
  <c r="AD283" i="8"/>
  <c r="Y283" i="8"/>
  <c r="K283" i="8"/>
  <c r="M283" i="8" s="1"/>
  <c r="AD282" i="8"/>
  <c r="Y282" i="8"/>
  <c r="M282" i="8"/>
  <c r="K282" i="8"/>
  <c r="AD281" i="8"/>
  <c r="Y281" i="8"/>
  <c r="S281" i="8"/>
  <c r="P281" i="8"/>
  <c r="K281" i="8"/>
  <c r="AD280" i="8"/>
  <c r="Y280" i="8"/>
  <c r="P280" i="8"/>
  <c r="K280" i="8"/>
  <c r="S280" i="8" s="1"/>
  <c r="AD279" i="8"/>
  <c r="Y279" i="8"/>
  <c r="R279" i="8"/>
  <c r="P279" i="8"/>
  <c r="K279" i="8"/>
  <c r="M279" i="8" s="1"/>
  <c r="AD278" i="8"/>
  <c r="Y278" i="8"/>
  <c r="P278" i="8"/>
  <c r="K278" i="8"/>
  <c r="AD277" i="8"/>
  <c r="Y277" i="8"/>
  <c r="P277" i="8"/>
  <c r="K277" i="8"/>
  <c r="M277" i="8" s="1"/>
  <c r="AD276" i="8"/>
  <c r="Y276" i="8"/>
  <c r="P276" i="8"/>
  <c r="K276" i="8"/>
  <c r="AD275" i="8"/>
  <c r="Y275" i="8"/>
  <c r="K275" i="8"/>
  <c r="M275" i="8" s="1"/>
  <c r="N275" i="8" s="1"/>
  <c r="AD274" i="8"/>
  <c r="Y274" i="8"/>
  <c r="K274" i="8"/>
  <c r="M274" i="8" s="1"/>
  <c r="AD273" i="8"/>
  <c r="Y273" i="8"/>
  <c r="K273" i="8"/>
  <c r="M273" i="8" s="1"/>
  <c r="AD272" i="8"/>
  <c r="Y272" i="8"/>
  <c r="K272" i="8"/>
  <c r="M272" i="8" s="1"/>
  <c r="N272" i="8" s="1"/>
  <c r="AD271" i="8"/>
  <c r="Y271" i="8"/>
  <c r="K271" i="8"/>
  <c r="M271" i="8" s="1"/>
  <c r="N271" i="8" s="1"/>
  <c r="AD270" i="8"/>
  <c r="Y270" i="8"/>
  <c r="K270" i="8"/>
  <c r="M270" i="8" s="1"/>
  <c r="AD269" i="8"/>
  <c r="Y269" i="8"/>
  <c r="K269" i="8"/>
  <c r="M269" i="8" s="1"/>
  <c r="AD268" i="8"/>
  <c r="Y268" i="8"/>
  <c r="K268" i="8"/>
  <c r="M268" i="8" s="1"/>
  <c r="N268" i="8" s="1"/>
  <c r="AD267" i="8"/>
  <c r="Y267" i="8"/>
  <c r="K267" i="8"/>
  <c r="M267" i="8" s="1"/>
  <c r="N267" i="8" s="1"/>
  <c r="AD266" i="8"/>
  <c r="Y266" i="8"/>
  <c r="K266" i="8"/>
  <c r="M266" i="8" s="1"/>
  <c r="AD265" i="8"/>
  <c r="Y265" i="8"/>
  <c r="M265" i="8"/>
  <c r="K265" i="8"/>
  <c r="AD264" i="8"/>
  <c r="Y264" i="8"/>
  <c r="M264" i="8"/>
  <c r="N264" i="8" s="1"/>
  <c r="K264" i="8"/>
  <c r="AD263" i="8"/>
  <c r="Y263" i="8"/>
  <c r="K263" i="8"/>
  <c r="M263" i="8" s="1"/>
  <c r="N263" i="8" s="1"/>
  <c r="AD262" i="8"/>
  <c r="Y262" i="8"/>
  <c r="K262" i="8"/>
  <c r="M262" i="8" s="1"/>
  <c r="AD261" i="8"/>
  <c r="Y261" i="8"/>
  <c r="K261" i="8"/>
  <c r="M261" i="8" s="1"/>
  <c r="AD260" i="8"/>
  <c r="Y260" i="8"/>
  <c r="K260" i="8"/>
  <c r="M260" i="8" s="1"/>
  <c r="N260" i="8" s="1"/>
  <c r="AD259" i="8"/>
  <c r="Y259" i="8"/>
  <c r="K259" i="8"/>
  <c r="M259" i="8" s="1"/>
  <c r="N259" i="8" s="1"/>
  <c r="AD258" i="8"/>
  <c r="Y258" i="8"/>
  <c r="K258" i="8"/>
  <c r="M258" i="8" s="1"/>
  <c r="AD257" i="8"/>
  <c r="Y257" i="8"/>
  <c r="S257" i="8"/>
  <c r="R257" i="8"/>
  <c r="P257" i="8"/>
  <c r="K257" i="8"/>
  <c r="AD256" i="8"/>
  <c r="Y256" i="8"/>
  <c r="P256" i="8"/>
  <c r="Q256" i="8" s="1"/>
  <c r="W256" i="8" s="1"/>
  <c r="M256" i="8"/>
  <c r="N256" i="8" s="1"/>
  <c r="K256" i="8"/>
  <c r="S256" i="8" s="1"/>
  <c r="AD255" i="8"/>
  <c r="Y255" i="8"/>
  <c r="P255" i="8"/>
  <c r="K255" i="8"/>
  <c r="AD254" i="8"/>
  <c r="Y254" i="8"/>
  <c r="P254" i="8"/>
  <c r="K254" i="8"/>
  <c r="AD253" i="8"/>
  <c r="Y253" i="8"/>
  <c r="S253" i="8"/>
  <c r="P253" i="8"/>
  <c r="K253" i="8"/>
  <c r="R253" i="8" s="1"/>
  <c r="AD252" i="8"/>
  <c r="Y252" i="8"/>
  <c r="R252" i="8"/>
  <c r="P252" i="8"/>
  <c r="K252" i="8"/>
  <c r="S252" i="8" s="1"/>
  <c r="AD251" i="8"/>
  <c r="Y251" i="8"/>
  <c r="M251" i="8"/>
  <c r="K251" i="8"/>
  <c r="AD250" i="8"/>
  <c r="Y250" i="8"/>
  <c r="M250" i="8"/>
  <c r="N250" i="8" s="1"/>
  <c r="K250" i="8"/>
  <c r="AD249" i="8"/>
  <c r="Y249" i="8"/>
  <c r="K249" i="8"/>
  <c r="M249" i="8" s="1"/>
  <c r="AD248" i="8"/>
  <c r="Y248" i="8"/>
  <c r="K248" i="8"/>
  <c r="M248" i="8" s="1"/>
  <c r="AD247" i="8"/>
  <c r="Y247" i="8"/>
  <c r="K247" i="8"/>
  <c r="M247" i="8" s="1"/>
  <c r="AD246" i="8"/>
  <c r="Y246" i="8"/>
  <c r="K246" i="8"/>
  <c r="M246" i="8" s="1"/>
  <c r="N246" i="8" s="1"/>
  <c r="AD245" i="8"/>
  <c r="Y245" i="8"/>
  <c r="K245" i="8"/>
  <c r="M245" i="8" s="1"/>
  <c r="AD244" i="8"/>
  <c r="Y244" i="8"/>
  <c r="M244" i="8"/>
  <c r="K244" i="8"/>
  <c r="AD243" i="8"/>
  <c r="Y243" i="8"/>
  <c r="K243" i="8"/>
  <c r="M243" i="8" s="1"/>
  <c r="AD242" i="8"/>
  <c r="Y242" i="8"/>
  <c r="K242" i="8"/>
  <c r="M242" i="8" s="1"/>
  <c r="N242" i="8" s="1"/>
  <c r="AD241" i="8"/>
  <c r="Y241" i="8"/>
  <c r="K241" i="8"/>
  <c r="M241" i="8" s="1"/>
  <c r="N241" i="8" s="1"/>
  <c r="AD240" i="8"/>
  <c r="Y240" i="8"/>
  <c r="K240" i="8"/>
  <c r="M240" i="8" s="1"/>
  <c r="N240" i="8" s="1"/>
  <c r="AD239" i="8"/>
  <c r="Y239" i="8"/>
  <c r="K239" i="8"/>
  <c r="M239" i="8" s="1"/>
  <c r="AD238" i="8"/>
  <c r="Y238" i="8"/>
  <c r="K238" i="8"/>
  <c r="M238" i="8" s="1"/>
  <c r="AD237" i="8"/>
  <c r="Y237" i="8"/>
  <c r="K237" i="8"/>
  <c r="M237" i="8" s="1"/>
  <c r="N237" i="8" s="1"/>
  <c r="AD236" i="8"/>
  <c r="Y236" i="8"/>
  <c r="K236" i="8"/>
  <c r="M236" i="8" s="1"/>
  <c r="N236" i="8" s="1"/>
  <c r="AD235" i="8"/>
  <c r="Y235" i="8"/>
  <c r="K235" i="8"/>
  <c r="M235" i="8" s="1"/>
  <c r="AD234" i="8"/>
  <c r="Y234" i="8"/>
  <c r="P234" i="8"/>
  <c r="K234" i="8"/>
  <c r="R234" i="8" s="1"/>
  <c r="AD233" i="8"/>
  <c r="Y233" i="8"/>
  <c r="R233" i="8"/>
  <c r="P233" i="8"/>
  <c r="K233" i="8"/>
  <c r="M233" i="8" s="1"/>
  <c r="N233" i="8" s="1"/>
  <c r="AD232" i="8"/>
  <c r="Y232" i="8"/>
  <c r="P232" i="8"/>
  <c r="Q232" i="8" s="1"/>
  <c r="W232" i="8" s="1"/>
  <c r="M232" i="8"/>
  <c r="N232" i="8" s="1"/>
  <c r="K232" i="8"/>
  <c r="S232" i="8" s="1"/>
  <c r="AD231" i="8"/>
  <c r="Y231" i="8"/>
  <c r="P231" i="8"/>
  <c r="K231" i="8"/>
  <c r="AD230" i="8"/>
  <c r="Y230" i="8"/>
  <c r="P230" i="8"/>
  <c r="K230" i="8"/>
  <c r="S230" i="8" s="1"/>
  <c r="AD229" i="8"/>
  <c r="Y229" i="8"/>
  <c r="P229" i="8"/>
  <c r="K229" i="8"/>
  <c r="R229" i="8" s="1"/>
  <c r="AD228" i="8"/>
  <c r="Y228" i="8"/>
  <c r="R228" i="8"/>
  <c r="P228" i="8"/>
  <c r="Q228" i="8" s="1"/>
  <c r="W228" i="8" s="1"/>
  <c r="M228" i="8"/>
  <c r="N228" i="8" s="1"/>
  <c r="K228" i="8"/>
  <c r="S228" i="8" s="1"/>
  <c r="AD227" i="8"/>
  <c r="Y227" i="8"/>
  <c r="P227" i="8"/>
  <c r="K227" i="8"/>
  <c r="S227" i="8" s="1"/>
  <c r="AD226" i="8"/>
  <c r="Y226" i="8"/>
  <c r="K226" i="8"/>
  <c r="M226" i="8" s="1"/>
  <c r="AD225" i="8"/>
  <c r="Y225" i="8"/>
  <c r="K225" i="8"/>
  <c r="M225" i="8" s="1"/>
  <c r="AD224" i="8"/>
  <c r="Y224" i="8"/>
  <c r="K224" i="8"/>
  <c r="M224" i="8" s="1"/>
  <c r="N224" i="8" s="1"/>
  <c r="AD223" i="8"/>
  <c r="Y223" i="8"/>
  <c r="K223" i="8"/>
  <c r="M223" i="8" s="1"/>
  <c r="N223" i="8" s="1"/>
  <c r="AD222" i="8"/>
  <c r="Y222" i="8"/>
  <c r="K222" i="8"/>
  <c r="M222" i="8" s="1"/>
  <c r="AD221" i="8"/>
  <c r="Y221" i="8"/>
  <c r="K221" i="8"/>
  <c r="M221" i="8" s="1"/>
  <c r="AD220" i="8"/>
  <c r="Y220" i="8"/>
  <c r="M220" i="8"/>
  <c r="N220" i="8" s="1"/>
  <c r="K220" i="8"/>
  <c r="AD219" i="8"/>
  <c r="Y219" i="8"/>
  <c r="M219" i="8"/>
  <c r="N219" i="8" s="1"/>
  <c r="K219" i="8"/>
  <c r="AD218" i="8"/>
  <c r="Y218" i="8"/>
  <c r="K218" i="8"/>
  <c r="M218" i="8" s="1"/>
  <c r="AD217" i="8"/>
  <c r="Y217" i="8"/>
  <c r="K217" i="8"/>
  <c r="M217" i="8" s="1"/>
  <c r="AD216" i="8"/>
  <c r="Y216" i="8"/>
  <c r="K216" i="8"/>
  <c r="M216" i="8" s="1"/>
  <c r="N216" i="8" s="1"/>
  <c r="AD215" i="8"/>
  <c r="Y215" i="8"/>
  <c r="K215" i="8"/>
  <c r="M215" i="8" s="1"/>
  <c r="N215" i="8" s="1"/>
  <c r="AD214" i="8"/>
  <c r="Y214" i="8"/>
  <c r="K214" i="8"/>
  <c r="M214" i="8" s="1"/>
  <c r="N214" i="8" s="1"/>
  <c r="AD213" i="8"/>
  <c r="Y213" i="8"/>
  <c r="K213" i="8"/>
  <c r="M213" i="8" s="1"/>
  <c r="AD212" i="8"/>
  <c r="Y212" i="8"/>
  <c r="K212" i="8"/>
  <c r="M212" i="8" s="1"/>
  <c r="AD211" i="8"/>
  <c r="Y211" i="8"/>
  <c r="P211" i="8"/>
  <c r="K211" i="8"/>
  <c r="R211" i="8" s="1"/>
  <c r="AD210" i="8"/>
  <c r="Y210" i="8"/>
  <c r="R210" i="8"/>
  <c r="P210" i="8"/>
  <c r="K210" i="8"/>
  <c r="M210" i="8" s="1"/>
  <c r="N210" i="8" s="1"/>
  <c r="AD209" i="8"/>
  <c r="Y209" i="8"/>
  <c r="R209" i="8"/>
  <c r="P209" i="8"/>
  <c r="Q209" i="8" s="1"/>
  <c r="W209" i="8" s="1"/>
  <c r="K209" i="8"/>
  <c r="M209" i="8" s="1"/>
  <c r="N209" i="8" s="1"/>
  <c r="AD208" i="8"/>
  <c r="Y208" i="8"/>
  <c r="P208" i="8"/>
  <c r="K208" i="8"/>
  <c r="R208" i="8" s="1"/>
  <c r="AD207" i="8"/>
  <c r="Y207" i="8"/>
  <c r="P207" i="8"/>
  <c r="Q207" i="8" s="1"/>
  <c r="M207" i="8"/>
  <c r="K207" i="8"/>
  <c r="R207" i="8" s="1"/>
  <c r="AD206" i="8"/>
  <c r="Y206" i="8"/>
  <c r="P206" i="8"/>
  <c r="K206" i="8"/>
  <c r="AD205" i="8"/>
  <c r="Y205" i="8"/>
  <c r="P205" i="8"/>
  <c r="K205" i="8"/>
  <c r="R205" i="8" s="1"/>
  <c r="AD204" i="8"/>
  <c r="Y204" i="8"/>
  <c r="R204" i="8"/>
  <c r="P204" i="8"/>
  <c r="K204" i="8"/>
  <c r="AD203" i="8"/>
  <c r="Y203" i="8"/>
  <c r="R203" i="8"/>
  <c r="P203" i="8"/>
  <c r="K203" i="8"/>
  <c r="AD202" i="8"/>
  <c r="Y202" i="8"/>
  <c r="K202" i="8"/>
  <c r="M202" i="8" s="1"/>
  <c r="AD201" i="8"/>
  <c r="Y201" i="8"/>
  <c r="M201" i="8"/>
  <c r="K201" i="8"/>
  <c r="AD200" i="8"/>
  <c r="Y200" i="8"/>
  <c r="K200" i="8"/>
  <c r="M200" i="8" s="1"/>
  <c r="N200" i="8" s="1"/>
  <c r="AD199" i="8"/>
  <c r="Y199" i="8"/>
  <c r="K199" i="8"/>
  <c r="M199" i="8" s="1"/>
  <c r="AD198" i="8"/>
  <c r="Y198" i="8"/>
  <c r="K198" i="8"/>
  <c r="M198" i="8" s="1"/>
  <c r="AD197" i="8"/>
  <c r="Y197" i="8"/>
  <c r="K197" i="8"/>
  <c r="M197" i="8" s="1"/>
  <c r="AD196" i="8"/>
  <c r="Y196" i="8"/>
  <c r="K196" i="8"/>
  <c r="M196" i="8" s="1"/>
  <c r="N196" i="8" s="1"/>
  <c r="AD195" i="8"/>
  <c r="Y195" i="8"/>
  <c r="K195" i="8"/>
  <c r="M195" i="8" s="1"/>
  <c r="AD194" i="8"/>
  <c r="Y194" i="8"/>
  <c r="K194" i="8"/>
  <c r="M194" i="8" s="1"/>
  <c r="AD193" i="8"/>
  <c r="Y193" i="8"/>
  <c r="M193" i="8"/>
  <c r="K193" i="8"/>
  <c r="AD192" i="8"/>
  <c r="Y192" i="8"/>
  <c r="K192" i="8"/>
  <c r="M192" i="8" s="1"/>
  <c r="N192" i="8" s="1"/>
  <c r="AD191" i="8"/>
  <c r="Y191" i="8"/>
  <c r="K191" i="8"/>
  <c r="M191" i="8" s="1"/>
  <c r="AD190" i="8"/>
  <c r="Y190" i="8"/>
  <c r="K190" i="8"/>
  <c r="M190" i="8" s="1"/>
  <c r="AD189" i="8"/>
  <c r="Y189" i="8"/>
  <c r="P189" i="8"/>
  <c r="Q189" i="8" s="1"/>
  <c r="W189" i="8" s="1"/>
  <c r="M189" i="8"/>
  <c r="N189" i="8" s="1"/>
  <c r="K189" i="8"/>
  <c r="R189" i="8" s="1"/>
  <c r="AD188" i="8"/>
  <c r="Y188" i="8"/>
  <c r="S188" i="8"/>
  <c r="P188" i="8"/>
  <c r="K188" i="8"/>
  <c r="R188" i="8" s="1"/>
  <c r="AD187" i="8"/>
  <c r="Y187" i="8"/>
  <c r="P187" i="8"/>
  <c r="Q187" i="8" s="1"/>
  <c r="W187" i="8" s="1"/>
  <c r="M187" i="8"/>
  <c r="K187" i="8"/>
  <c r="R187" i="8" s="1"/>
  <c r="AD186" i="8"/>
  <c r="Y186" i="8"/>
  <c r="S186" i="8"/>
  <c r="P186" i="8"/>
  <c r="K186" i="8"/>
  <c r="R186" i="8" s="1"/>
  <c r="AD185" i="8"/>
  <c r="Y185" i="8"/>
  <c r="P185" i="8"/>
  <c r="K185" i="8"/>
  <c r="AD184" i="8"/>
  <c r="Y184" i="8"/>
  <c r="P184" i="8"/>
  <c r="Q184" i="8" s="1"/>
  <c r="M184" i="8"/>
  <c r="N184" i="8" s="1"/>
  <c r="K184" i="8"/>
  <c r="R184" i="8" s="1"/>
  <c r="AD183" i="8"/>
  <c r="Y183" i="8"/>
  <c r="P183" i="8"/>
  <c r="K183" i="8"/>
  <c r="AD182" i="8"/>
  <c r="Y182" i="8"/>
  <c r="P182" i="8"/>
  <c r="K182" i="8"/>
  <c r="R182" i="8" s="1"/>
  <c r="AD181" i="8"/>
  <c r="Y181" i="8"/>
  <c r="P181" i="8"/>
  <c r="K181" i="8"/>
  <c r="AD180" i="8"/>
  <c r="Y180" i="8"/>
  <c r="P180" i="8"/>
  <c r="K180" i="8"/>
  <c r="AD179" i="8"/>
  <c r="Y179" i="8"/>
  <c r="S179" i="8"/>
  <c r="P179" i="8"/>
  <c r="K179" i="8"/>
  <c r="AD178" i="8"/>
  <c r="Y178" i="8"/>
  <c r="P178" i="8"/>
  <c r="K178" i="8"/>
  <c r="S178" i="8" s="1"/>
  <c r="AD177" i="8"/>
  <c r="Y177" i="8"/>
  <c r="M177" i="8"/>
  <c r="N177" i="8" s="1"/>
  <c r="K177" i="8"/>
  <c r="AD176" i="8"/>
  <c r="Y176" i="8"/>
  <c r="K176" i="8"/>
  <c r="M176" i="8" s="1"/>
  <c r="N176" i="8" s="1"/>
  <c r="AD175" i="8"/>
  <c r="Y175" i="8"/>
  <c r="K175" i="8"/>
  <c r="M175" i="8" s="1"/>
  <c r="AD174" i="8"/>
  <c r="Y174" i="8"/>
  <c r="K174" i="8"/>
  <c r="M174" i="8" s="1"/>
  <c r="AD173" i="8"/>
  <c r="Y173" i="8"/>
  <c r="K173" i="8"/>
  <c r="M173" i="8" s="1"/>
  <c r="N173" i="8" s="1"/>
  <c r="AD172" i="8"/>
  <c r="Y172" i="8"/>
  <c r="K172" i="8"/>
  <c r="M172" i="8" s="1"/>
  <c r="N172" i="8" s="1"/>
  <c r="AD171" i="8"/>
  <c r="Y171" i="8"/>
  <c r="K171" i="8"/>
  <c r="M171" i="8" s="1"/>
  <c r="AD170" i="8"/>
  <c r="Y170" i="8"/>
  <c r="M170" i="8"/>
  <c r="K170" i="8"/>
  <c r="AD169" i="8"/>
  <c r="Y169" i="8"/>
  <c r="M169" i="8"/>
  <c r="N169" i="8" s="1"/>
  <c r="K169" i="8"/>
  <c r="AD168" i="8"/>
  <c r="Y168" i="8"/>
  <c r="K168" i="8"/>
  <c r="M168" i="8" s="1"/>
  <c r="N168" i="8" s="1"/>
  <c r="AD167" i="8"/>
  <c r="Y167" i="8"/>
  <c r="K167" i="8"/>
  <c r="M167" i="8" s="1"/>
  <c r="AD166" i="8"/>
  <c r="Y166" i="8"/>
  <c r="K166" i="8"/>
  <c r="M166" i="8" s="1"/>
  <c r="AD165" i="8"/>
  <c r="Y165" i="8"/>
  <c r="P165" i="8"/>
  <c r="K165" i="8"/>
  <c r="S165" i="8" s="1"/>
  <c r="AD164" i="8"/>
  <c r="Y164" i="8"/>
  <c r="P164" i="8"/>
  <c r="K164" i="8"/>
  <c r="S164" i="8" s="1"/>
  <c r="AD163" i="8"/>
  <c r="Y163" i="8"/>
  <c r="S163" i="8"/>
  <c r="P163" i="8"/>
  <c r="K163" i="8"/>
  <c r="AD162" i="8"/>
  <c r="Y162" i="8"/>
  <c r="P162" i="8"/>
  <c r="K162" i="8"/>
  <c r="AD161" i="8"/>
  <c r="Y161" i="8"/>
  <c r="S161" i="8"/>
  <c r="P161" i="8"/>
  <c r="K161" i="8"/>
  <c r="R161" i="8" s="1"/>
  <c r="AD160" i="8"/>
  <c r="Y160" i="8"/>
  <c r="R160" i="8"/>
  <c r="P160" i="8"/>
  <c r="Q160" i="8" s="1"/>
  <c r="K160" i="8"/>
  <c r="M160" i="8" s="1"/>
  <c r="AD159" i="8"/>
  <c r="Y159" i="8"/>
  <c r="P159" i="8"/>
  <c r="K159" i="8"/>
  <c r="M159" i="8" s="1"/>
  <c r="AD158" i="8"/>
  <c r="Y158" i="8"/>
  <c r="P158" i="8"/>
  <c r="K158" i="8"/>
  <c r="S158" i="8" s="1"/>
  <c r="AD157" i="8"/>
  <c r="Y157" i="8"/>
  <c r="S157" i="8"/>
  <c r="R157" i="8"/>
  <c r="P157" i="8"/>
  <c r="K157" i="8"/>
  <c r="AD156" i="8"/>
  <c r="Y156" i="8"/>
  <c r="R156" i="8"/>
  <c r="P156" i="8"/>
  <c r="Q156" i="8" s="1"/>
  <c r="M156" i="8"/>
  <c r="N156" i="8" s="1"/>
  <c r="K156" i="8"/>
  <c r="S156" i="8" s="1"/>
  <c r="AD155" i="8"/>
  <c r="Y155" i="8"/>
  <c r="P155" i="8"/>
  <c r="K155" i="8"/>
  <c r="AD154" i="8"/>
  <c r="Y154" i="8"/>
  <c r="P154" i="8"/>
  <c r="Q154" i="8" s="1"/>
  <c r="W154" i="8" s="1"/>
  <c r="K154" i="8"/>
  <c r="AD153" i="8"/>
  <c r="Y153" i="8"/>
  <c r="K153" i="8"/>
  <c r="M153" i="8" s="1"/>
  <c r="N153" i="8" s="1"/>
  <c r="AD152" i="8"/>
  <c r="Y152" i="8"/>
  <c r="K152" i="8"/>
  <c r="M152" i="8" s="1"/>
  <c r="AD151" i="8"/>
  <c r="Y151" i="8"/>
  <c r="K151" i="8"/>
  <c r="M151" i="8" s="1"/>
  <c r="AD150" i="8"/>
  <c r="Y150" i="8"/>
  <c r="K150" i="8"/>
  <c r="M150" i="8" s="1"/>
  <c r="N150" i="8" s="1"/>
  <c r="AD149" i="8"/>
  <c r="Y149" i="8"/>
  <c r="K149" i="8"/>
  <c r="M149" i="8" s="1"/>
  <c r="N149" i="8" s="1"/>
  <c r="AD148" i="8"/>
  <c r="Y148" i="8"/>
  <c r="K148" i="8"/>
  <c r="M148" i="8" s="1"/>
  <c r="AD147" i="8"/>
  <c r="Y147" i="8"/>
  <c r="M147" i="8"/>
  <c r="K147" i="8"/>
  <c r="AD146" i="8"/>
  <c r="Y146" i="8"/>
  <c r="M146" i="8"/>
  <c r="N146" i="8" s="1"/>
  <c r="K146" i="8"/>
  <c r="AD145" i="8"/>
  <c r="Y145" i="8"/>
  <c r="M145" i="8"/>
  <c r="N145" i="8" s="1"/>
  <c r="K145" i="8"/>
  <c r="AD144" i="8"/>
  <c r="Y144" i="8"/>
  <c r="K144" i="8"/>
  <c r="M144" i="8" s="1"/>
  <c r="AD143" i="8"/>
  <c r="Y143" i="8"/>
  <c r="K143" i="8"/>
  <c r="M143" i="8" s="1"/>
  <c r="AD142" i="8"/>
  <c r="Y142" i="8"/>
  <c r="K142" i="8"/>
  <c r="M142" i="8" s="1"/>
  <c r="N142" i="8" s="1"/>
  <c r="AD141" i="8"/>
  <c r="Y141" i="8"/>
  <c r="K141" i="8"/>
  <c r="M141" i="8" s="1"/>
  <c r="N141" i="8" s="1"/>
  <c r="AD140" i="8"/>
  <c r="Y140" i="8"/>
  <c r="P140" i="8"/>
  <c r="Q140" i="8" s="1"/>
  <c r="W140" i="8" s="1"/>
  <c r="M140" i="8"/>
  <c r="N140" i="8" s="1"/>
  <c r="K140" i="8"/>
  <c r="S140" i="8" s="1"/>
  <c r="AD139" i="8"/>
  <c r="Y139" i="8"/>
  <c r="R139" i="8"/>
  <c r="P139" i="8"/>
  <c r="K139" i="8"/>
  <c r="S139" i="8" s="1"/>
  <c r="AD138" i="8"/>
  <c r="Y138" i="8"/>
  <c r="P138" i="8"/>
  <c r="Q138" i="8" s="1"/>
  <c r="W138" i="8" s="1"/>
  <c r="M138" i="8"/>
  <c r="N138" i="8" s="1"/>
  <c r="K138" i="8"/>
  <c r="S138" i="8" s="1"/>
  <c r="AD137" i="8"/>
  <c r="Y137" i="8"/>
  <c r="P137" i="8"/>
  <c r="Q137" i="8" s="1"/>
  <c r="K137" i="8"/>
  <c r="AD136" i="8"/>
  <c r="Y136" i="8"/>
  <c r="P136" i="8"/>
  <c r="K136" i="8"/>
  <c r="AD135" i="8"/>
  <c r="Y135" i="8"/>
  <c r="P135" i="8"/>
  <c r="K135" i="8"/>
  <c r="R135" i="8" s="1"/>
  <c r="AD134" i="8"/>
  <c r="Y134" i="8"/>
  <c r="R134" i="8"/>
  <c r="P134" i="8"/>
  <c r="Q134" i="8" s="1"/>
  <c r="M134" i="8"/>
  <c r="N134" i="8" s="1"/>
  <c r="K134" i="8"/>
  <c r="S134" i="8" s="1"/>
  <c r="AD133" i="8"/>
  <c r="Y133" i="8"/>
  <c r="P133" i="8"/>
  <c r="K133" i="8"/>
  <c r="AD132" i="8"/>
  <c r="Y132" i="8"/>
  <c r="P132" i="8"/>
  <c r="K132" i="8"/>
  <c r="S132" i="8" s="1"/>
  <c r="AD131" i="8"/>
  <c r="Y131" i="8"/>
  <c r="P131" i="8"/>
  <c r="Q131" i="8" s="1"/>
  <c r="W131" i="8" s="1"/>
  <c r="M131" i="8"/>
  <c r="N131" i="8" s="1"/>
  <c r="K131" i="8"/>
  <c r="S131" i="8" s="1"/>
  <c r="AD130" i="8"/>
  <c r="Y130" i="8"/>
  <c r="P130" i="8"/>
  <c r="K130" i="8"/>
  <c r="R130" i="8" s="1"/>
  <c r="AD129" i="8"/>
  <c r="Y129" i="8"/>
  <c r="K129" i="8"/>
  <c r="M129" i="8" s="1"/>
  <c r="AD128" i="8"/>
  <c r="Y128" i="8"/>
  <c r="K128" i="8"/>
  <c r="M128" i="8" s="1"/>
  <c r="N128" i="8" s="1"/>
  <c r="AD127" i="8"/>
  <c r="Y127" i="8"/>
  <c r="K127" i="8"/>
  <c r="M127" i="8" s="1"/>
  <c r="N127" i="8" s="1"/>
  <c r="AD126" i="8"/>
  <c r="Y126" i="8"/>
  <c r="K126" i="8"/>
  <c r="M126" i="8" s="1"/>
  <c r="AD125" i="8"/>
  <c r="Y125" i="8"/>
  <c r="K125" i="8"/>
  <c r="M125" i="8" s="1"/>
  <c r="AD124" i="8"/>
  <c r="Y124" i="8"/>
  <c r="K124" i="8"/>
  <c r="M124" i="8" s="1"/>
  <c r="N124" i="8" s="1"/>
  <c r="AD123" i="8"/>
  <c r="Y123" i="8"/>
  <c r="K123" i="8"/>
  <c r="M123" i="8" s="1"/>
  <c r="N123" i="8" s="1"/>
  <c r="AD122" i="8"/>
  <c r="Y122" i="8"/>
  <c r="K122" i="8"/>
  <c r="M122" i="8" s="1"/>
  <c r="AD121" i="8"/>
  <c r="Y121" i="8"/>
  <c r="M121" i="8"/>
  <c r="K121" i="8"/>
  <c r="AD120" i="8"/>
  <c r="Y120" i="8"/>
  <c r="M120" i="8"/>
  <c r="N120" i="8" s="1"/>
  <c r="K120" i="8"/>
  <c r="AD119" i="8"/>
  <c r="Y119" i="8"/>
  <c r="M119" i="8"/>
  <c r="N119" i="8" s="1"/>
  <c r="K119" i="8"/>
  <c r="AD118" i="8"/>
  <c r="Y118" i="8"/>
  <c r="K118" i="8"/>
  <c r="M118" i="8" s="1"/>
  <c r="AD117" i="8"/>
  <c r="Y117" i="8"/>
  <c r="K117" i="8"/>
  <c r="M117" i="8" s="1"/>
  <c r="AD116" i="8"/>
  <c r="Y116" i="8"/>
  <c r="P116" i="8"/>
  <c r="K116" i="8"/>
  <c r="AD115" i="8"/>
  <c r="Y115" i="8"/>
  <c r="P115" i="8"/>
  <c r="K115" i="8"/>
  <c r="S115" i="8" s="1"/>
  <c r="AD114" i="8"/>
  <c r="Y114" i="8"/>
  <c r="R114" i="8"/>
  <c r="P114" i="8"/>
  <c r="K114" i="8"/>
  <c r="M114" i="8" s="1"/>
  <c r="N114" i="8" s="1"/>
  <c r="AD113" i="8"/>
  <c r="Y113" i="8"/>
  <c r="P113" i="8"/>
  <c r="Q113" i="8" s="1"/>
  <c r="M113" i="8"/>
  <c r="K113" i="8"/>
  <c r="S113" i="8" s="1"/>
  <c r="AD112" i="8"/>
  <c r="Y112" i="8"/>
  <c r="P112" i="8"/>
  <c r="M112" i="8"/>
  <c r="K112" i="8"/>
  <c r="AD111" i="8"/>
  <c r="Y111" i="8"/>
  <c r="P111" i="8"/>
  <c r="K111" i="8"/>
  <c r="S111" i="8" s="1"/>
  <c r="AD110" i="8"/>
  <c r="Y110" i="8"/>
  <c r="R110" i="8"/>
  <c r="P110" i="8"/>
  <c r="Q110" i="8" s="1"/>
  <c r="K110" i="8"/>
  <c r="M110" i="8" s="1"/>
  <c r="N110" i="8" s="1"/>
  <c r="AD109" i="8"/>
  <c r="Y109" i="8"/>
  <c r="P109" i="8"/>
  <c r="K109" i="8"/>
  <c r="S109" i="8" s="1"/>
  <c r="AD108" i="8"/>
  <c r="Y108" i="8"/>
  <c r="S108" i="8"/>
  <c r="P108" i="8"/>
  <c r="K108" i="8"/>
  <c r="R108" i="8" s="1"/>
  <c r="AD107" i="8"/>
  <c r="Y107" i="8"/>
  <c r="P107" i="8"/>
  <c r="K107" i="8"/>
  <c r="R107" i="8" s="1"/>
  <c r="AD106" i="8"/>
  <c r="Y106" i="8"/>
  <c r="P106" i="8"/>
  <c r="K106" i="8"/>
  <c r="S106" i="8" s="1"/>
  <c r="AD105" i="8"/>
  <c r="Y105" i="8"/>
  <c r="K105" i="8"/>
  <c r="M105" i="8" s="1"/>
  <c r="AD104" i="8"/>
  <c r="Y104" i="8"/>
  <c r="K104" i="8"/>
  <c r="M104" i="8" s="1"/>
  <c r="N104" i="8" s="1"/>
  <c r="AD103" i="8"/>
  <c r="Y103" i="8"/>
  <c r="K103" i="8"/>
  <c r="M103" i="8" s="1"/>
  <c r="AD102" i="8"/>
  <c r="Y102" i="8"/>
  <c r="K102" i="8"/>
  <c r="M102" i="8" s="1"/>
  <c r="AD101" i="8"/>
  <c r="Y101" i="8"/>
  <c r="K101" i="8"/>
  <c r="M101" i="8" s="1"/>
  <c r="AD100" i="8"/>
  <c r="Y100" i="8"/>
  <c r="K100" i="8"/>
  <c r="M100" i="8" s="1"/>
  <c r="AD99" i="8"/>
  <c r="Y99" i="8"/>
  <c r="K99" i="8"/>
  <c r="M99" i="8" s="1"/>
  <c r="AD98" i="8"/>
  <c r="Y98" i="8"/>
  <c r="K98" i="8"/>
  <c r="M98" i="8" s="1"/>
  <c r="AD97" i="8"/>
  <c r="Y97" i="8"/>
  <c r="K97" i="8"/>
  <c r="M97" i="8" s="1"/>
  <c r="N97" i="8" s="1"/>
  <c r="AD96" i="8"/>
  <c r="Y96" i="8"/>
  <c r="K96" i="8"/>
  <c r="M96" i="8" s="1"/>
  <c r="AD95" i="8"/>
  <c r="Y95" i="8"/>
  <c r="K95" i="8"/>
  <c r="M95" i="8" s="1"/>
  <c r="AD94" i="8"/>
  <c r="Y94" i="8"/>
  <c r="K94" i="8"/>
  <c r="M94" i="8" s="1"/>
  <c r="AD93" i="8"/>
  <c r="Y93" i="8"/>
  <c r="K93" i="8"/>
  <c r="M93" i="8" s="1"/>
  <c r="N93" i="8" s="1"/>
  <c r="AD92" i="8"/>
  <c r="Y92" i="8"/>
  <c r="P92" i="8"/>
  <c r="K92" i="8"/>
  <c r="S92" i="8" s="1"/>
  <c r="AD91" i="8"/>
  <c r="Y91" i="8"/>
  <c r="P91" i="8"/>
  <c r="K91" i="8"/>
  <c r="R91" i="8" s="1"/>
  <c r="AD90" i="8"/>
  <c r="Y90" i="8"/>
  <c r="P90" i="8"/>
  <c r="K90" i="8"/>
  <c r="R90" i="8" s="1"/>
  <c r="AD89" i="8"/>
  <c r="Y89" i="8"/>
  <c r="P89" i="8"/>
  <c r="K89" i="8"/>
  <c r="R89" i="8" s="1"/>
  <c r="AD88" i="8"/>
  <c r="Y88" i="8"/>
  <c r="P88" i="8"/>
  <c r="K88" i="8"/>
  <c r="AD87" i="8"/>
  <c r="Y87" i="8"/>
  <c r="R87" i="8"/>
  <c r="P87" i="8"/>
  <c r="K87" i="8"/>
  <c r="M87" i="8" s="1"/>
  <c r="AD86" i="8"/>
  <c r="Y86" i="8"/>
  <c r="P86" i="8"/>
  <c r="K86" i="8"/>
  <c r="S86" i="8" s="1"/>
  <c r="AD85" i="8"/>
  <c r="Y85" i="8"/>
  <c r="P85" i="8"/>
  <c r="K85" i="8"/>
  <c r="R85" i="8" s="1"/>
  <c r="AD84" i="8"/>
  <c r="Y84" i="8"/>
  <c r="S84" i="8"/>
  <c r="P84" i="8"/>
  <c r="K84" i="8"/>
  <c r="AD83" i="8"/>
  <c r="Y83" i="8"/>
  <c r="P83" i="8"/>
  <c r="K83" i="8"/>
  <c r="AD82" i="8"/>
  <c r="Y82" i="8"/>
  <c r="K82" i="8"/>
  <c r="M82" i="8" s="1"/>
  <c r="AD81" i="8"/>
  <c r="Y81" i="8"/>
  <c r="K81" i="8"/>
  <c r="M81" i="8" s="1"/>
  <c r="AD80" i="8"/>
  <c r="Y80" i="8"/>
  <c r="K80" i="8"/>
  <c r="M80" i="8" s="1"/>
  <c r="AD79" i="8"/>
  <c r="Y79" i="8"/>
  <c r="K79" i="8"/>
  <c r="M79" i="8" s="1"/>
  <c r="AD78" i="8"/>
  <c r="Y78" i="8"/>
  <c r="K78" i="8"/>
  <c r="M78" i="8" s="1"/>
  <c r="AD77" i="8"/>
  <c r="Y77" i="8"/>
  <c r="M77" i="8"/>
  <c r="N77" i="8" s="1"/>
  <c r="K77" i="8"/>
  <c r="AD76" i="8"/>
  <c r="Y76" i="8"/>
  <c r="K76" i="8"/>
  <c r="M76" i="8" s="1"/>
  <c r="AD75" i="8"/>
  <c r="Y75" i="8"/>
  <c r="K75" i="8"/>
  <c r="M75" i="8" s="1"/>
  <c r="AD74" i="8"/>
  <c r="Y74" i="8"/>
  <c r="K74" i="8"/>
  <c r="M74" i="8" s="1"/>
  <c r="AD73" i="8"/>
  <c r="Y73" i="8"/>
  <c r="K73" i="8"/>
  <c r="M73" i="8" s="1"/>
  <c r="AD72" i="8"/>
  <c r="Y72" i="8"/>
  <c r="K72" i="8"/>
  <c r="M72" i="8" s="1"/>
  <c r="N72" i="8" s="1"/>
  <c r="AD71" i="8"/>
  <c r="Y71" i="8"/>
  <c r="K71" i="8"/>
  <c r="M71" i="8" s="1"/>
  <c r="AD70" i="8"/>
  <c r="Y70" i="8"/>
  <c r="M70" i="8"/>
  <c r="K70" i="8"/>
  <c r="AD69" i="8"/>
  <c r="Y69" i="8"/>
  <c r="M69" i="8"/>
  <c r="N69" i="8" s="1"/>
  <c r="K69" i="8"/>
  <c r="AD68" i="8"/>
  <c r="Y68" i="8"/>
  <c r="K68" i="8"/>
  <c r="M68" i="8" s="1"/>
  <c r="AD67" i="8"/>
  <c r="Y67" i="8"/>
  <c r="R67" i="8"/>
  <c r="P67" i="8"/>
  <c r="K67" i="8"/>
  <c r="M67" i="8" s="1"/>
  <c r="N67" i="8" s="1"/>
  <c r="AD66" i="8"/>
  <c r="Y66" i="8"/>
  <c r="P66" i="8"/>
  <c r="K66" i="8"/>
  <c r="S66" i="8" s="1"/>
  <c r="AD65" i="8"/>
  <c r="Y65" i="8"/>
  <c r="P65" i="8"/>
  <c r="K65" i="8"/>
  <c r="R65" i="8" s="1"/>
  <c r="AD64" i="8"/>
  <c r="Y64" i="8"/>
  <c r="S64" i="8"/>
  <c r="P64" i="8"/>
  <c r="K64" i="8"/>
  <c r="AD63" i="8"/>
  <c r="Y63" i="8"/>
  <c r="P63" i="8"/>
  <c r="K63" i="8"/>
  <c r="R63" i="8" s="1"/>
  <c r="AD62" i="8"/>
  <c r="Y62" i="8"/>
  <c r="P62" i="8"/>
  <c r="K62" i="8"/>
  <c r="S62" i="8" s="1"/>
  <c r="AD61" i="8"/>
  <c r="Y61" i="8"/>
  <c r="P61" i="8"/>
  <c r="K61" i="8"/>
  <c r="R61" i="8" s="1"/>
  <c r="AD60" i="8"/>
  <c r="Y60" i="8"/>
  <c r="P60" i="8"/>
  <c r="K60" i="8"/>
  <c r="AD59" i="8"/>
  <c r="Y59" i="8"/>
  <c r="P59" i="8"/>
  <c r="K59" i="8"/>
  <c r="S59" i="8" s="1"/>
  <c r="Y58" i="8"/>
  <c r="K58" i="8"/>
  <c r="M58" i="8" s="1"/>
  <c r="X58" i="8" s="1"/>
  <c r="Y57" i="8"/>
  <c r="M57" i="8"/>
  <c r="N57" i="8" s="1"/>
  <c r="K57" i="8"/>
  <c r="Y56" i="8"/>
  <c r="K56" i="8"/>
  <c r="M56" i="8" s="1"/>
  <c r="N56" i="8" s="1"/>
  <c r="Y55" i="8"/>
  <c r="K55" i="8"/>
  <c r="M55" i="8" s="1"/>
  <c r="X55" i="8" s="1"/>
  <c r="Y54" i="8"/>
  <c r="K54" i="8"/>
  <c r="M54" i="8" s="1"/>
  <c r="X54" i="8" s="1"/>
  <c r="Y53" i="8"/>
  <c r="K53" i="8"/>
  <c r="M53" i="8" s="1"/>
  <c r="N53" i="8" s="1"/>
  <c r="Y52" i="8"/>
  <c r="K52" i="8"/>
  <c r="M52" i="8" s="1"/>
  <c r="X52" i="8" s="1"/>
  <c r="Y51" i="8"/>
  <c r="K51" i="8"/>
  <c r="M51" i="8" s="1"/>
  <c r="X51" i="8" s="1"/>
  <c r="Y50" i="8"/>
  <c r="K50" i="8"/>
  <c r="M50" i="8" s="1"/>
  <c r="X50" i="8" s="1"/>
  <c r="AD49" i="8"/>
  <c r="Y49" i="8"/>
  <c r="M49" i="8"/>
  <c r="N49" i="8" s="1"/>
  <c r="K49" i="8"/>
  <c r="AD48" i="8"/>
  <c r="Y48" i="8"/>
  <c r="K48" i="8"/>
  <c r="M48" i="8" s="1"/>
  <c r="N48" i="8" s="1"/>
  <c r="Y47" i="8"/>
  <c r="K47" i="8"/>
  <c r="M47" i="8" s="1"/>
  <c r="X47" i="8" s="1"/>
  <c r="Y46" i="8"/>
  <c r="K46" i="8"/>
  <c r="M46" i="8" s="1"/>
  <c r="X46" i="8" s="1"/>
  <c r="Y45" i="8"/>
  <c r="K45" i="8"/>
  <c r="M45" i="8" s="1"/>
  <c r="N45" i="8" s="1"/>
  <c r="AD44" i="8"/>
  <c r="Y44" i="8"/>
  <c r="K44" i="8"/>
  <c r="M44" i="8" s="1"/>
  <c r="X44" i="8" s="1"/>
  <c r="AD43" i="8"/>
  <c r="Y43" i="8"/>
  <c r="K43" i="8"/>
  <c r="M43" i="8" s="1"/>
  <c r="X43" i="8" s="1"/>
  <c r="AD42" i="8"/>
  <c r="Y42" i="8"/>
  <c r="S42" i="8"/>
  <c r="P42" i="8"/>
  <c r="K42" i="8"/>
  <c r="R42" i="8" s="1"/>
  <c r="AD41" i="8"/>
  <c r="Y41" i="8"/>
  <c r="R41" i="8"/>
  <c r="P41" i="8"/>
  <c r="Q41" i="8" s="1"/>
  <c r="W41" i="8" s="1"/>
  <c r="K41" i="8"/>
  <c r="M41" i="8" s="1"/>
  <c r="AD40" i="8"/>
  <c r="Y40" i="8"/>
  <c r="P40" i="8"/>
  <c r="K40" i="8"/>
  <c r="S40" i="8" s="1"/>
  <c r="AD39" i="8"/>
  <c r="Y39" i="8"/>
  <c r="P39" i="8"/>
  <c r="K39" i="8"/>
  <c r="R39" i="8" s="1"/>
  <c r="AD38" i="8"/>
  <c r="Y38" i="8"/>
  <c r="S38" i="8"/>
  <c r="R38" i="8"/>
  <c r="P38" i="8"/>
  <c r="K38" i="8"/>
  <c r="AD37" i="8"/>
  <c r="Y37" i="8"/>
  <c r="S37" i="8"/>
  <c r="P37" i="8"/>
  <c r="K37" i="8"/>
  <c r="R37" i="8" s="1"/>
  <c r="AD36" i="8"/>
  <c r="Y36" i="8"/>
  <c r="S36" i="8"/>
  <c r="R36" i="8"/>
  <c r="P36" i="8"/>
  <c r="K36" i="8"/>
  <c r="AC35" i="8"/>
  <c r="AD35" i="8" s="1"/>
  <c r="Y35" i="8"/>
  <c r="K35" i="8"/>
  <c r="M35" i="8" s="1"/>
  <c r="AC34" i="8"/>
  <c r="AD34" i="8" s="1"/>
  <c r="Y34" i="8"/>
  <c r="K34" i="8"/>
  <c r="M34" i="8" s="1"/>
  <c r="N34" i="8" s="1"/>
  <c r="AC33" i="8"/>
  <c r="AD33" i="8" s="1"/>
  <c r="Y33" i="8"/>
  <c r="K33" i="8"/>
  <c r="M33" i="8" s="1"/>
  <c r="AC32" i="8"/>
  <c r="AD32" i="8" s="1"/>
  <c r="Y32" i="8"/>
  <c r="K32" i="8"/>
  <c r="M32" i="8" s="1"/>
  <c r="AC31" i="8"/>
  <c r="AD31" i="8" s="1"/>
  <c r="Y31" i="8"/>
  <c r="K31" i="8"/>
  <c r="M31" i="8" s="1"/>
  <c r="AC30" i="8"/>
  <c r="AD30" i="8" s="1"/>
  <c r="Y30" i="8"/>
  <c r="M30" i="8"/>
  <c r="K30" i="8"/>
  <c r="AC29" i="8"/>
  <c r="AD29" i="8" s="1"/>
  <c r="Y29" i="8"/>
  <c r="K29" i="8"/>
  <c r="M29" i="8" s="1"/>
  <c r="Y28" i="8"/>
  <c r="K28" i="8"/>
  <c r="M28" i="8" s="1"/>
  <c r="N28" i="8" s="1"/>
  <c r="Y27" i="8"/>
  <c r="K27" i="8"/>
  <c r="M27" i="8" s="1"/>
  <c r="X27" i="8" s="1"/>
  <c r="Y26" i="8"/>
  <c r="K26" i="8"/>
  <c r="M26" i="8" s="1"/>
  <c r="X26" i="8" s="1"/>
  <c r="Y25" i="8"/>
  <c r="K25" i="8"/>
  <c r="M25" i="8" s="1"/>
  <c r="X25" i="8" s="1"/>
  <c r="Y24" i="8"/>
  <c r="K24" i="8"/>
  <c r="M24" i="8" s="1"/>
  <c r="X24" i="8" s="1"/>
  <c r="Y23" i="8"/>
  <c r="K23" i="8"/>
  <c r="M23" i="8" s="1"/>
  <c r="X23" i="8" s="1"/>
  <c r="Y22" i="8"/>
  <c r="K22" i="8"/>
  <c r="M22" i="8" s="1"/>
  <c r="X22" i="8" s="1"/>
  <c r="AD21" i="8"/>
  <c r="Y21" i="8"/>
  <c r="K21" i="8"/>
  <c r="M21" i="8" s="1"/>
  <c r="X21" i="8" s="1"/>
  <c r="AD20" i="8"/>
  <c r="Y20" i="8"/>
  <c r="K20" i="8"/>
  <c r="M20" i="8" s="1"/>
  <c r="AD19" i="8"/>
  <c r="Y19" i="8"/>
  <c r="K19" i="8"/>
  <c r="M19" i="8" s="1"/>
  <c r="X19" i="8" s="1"/>
  <c r="AD18" i="8"/>
  <c r="Y18" i="8"/>
  <c r="P18" i="8"/>
  <c r="Q18" i="8" s="1"/>
  <c r="W18" i="8" s="1"/>
  <c r="M18" i="8"/>
  <c r="K18" i="8"/>
  <c r="S18" i="8" s="1"/>
  <c r="AD17" i="8"/>
  <c r="Y17" i="8"/>
  <c r="P17" i="8"/>
  <c r="K17" i="8"/>
  <c r="R17" i="8" s="1"/>
  <c r="AD16" i="8"/>
  <c r="Y16" i="8"/>
  <c r="P16" i="8"/>
  <c r="K16" i="8"/>
  <c r="S16" i="8" s="1"/>
  <c r="AD15" i="8"/>
  <c r="Y15" i="8"/>
  <c r="S15" i="8"/>
  <c r="P15" i="8"/>
  <c r="K15" i="8"/>
  <c r="R15" i="8" s="1"/>
  <c r="AD14" i="8"/>
  <c r="Y14" i="8"/>
  <c r="S14" i="8"/>
  <c r="P14" i="8"/>
  <c r="K14" i="8"/>
  <c r="R14" i="8" s="1"/>
  <c r="AD13" i="8"/>
  <c r="Y13" i="8"/>
  <c r="R13" i="8"/>
  <c r="P13" i="8"/>
  <c r="K13" i="8"/>
  <c r="S13" i="8" s="1"/>
  <c r="AD12" i="8"/>
  <c r="Y12" i="8"/>
  <c r="S12" i="8"/>
  <c r="P12" i="8"/>
  <c r="K12" i="8"/>
  <c r="R12" i="8" s="1"/>
  <c r="AC11" i="8"/>
  <c r="AD11" i="8" s="1"/>
  <c r="Y11" i="8"/>
  <c r="K11" i="8"/>
  <c r="M11" i="8" s="1"/>
  <c r="AC10" i="8"/>
  <c r="AD10" i="8" s="1"/>
  <c r="Y10" i="8"/>
  <c r="M10" i="8"/>
  <c r="N10" i="8" s="1"/>
  <c r="K10" i="8"/>
  <c r="AC9" i="8"/>
  <c r="AD9" i="8" s="1"/>
  <c r="Y9" i="8"/>
  <c r="K9" i="8"/>
  <c r="M9" i="8" s="1"/>
  <c r="AC8" i="8"/>
  <c r="AD8" i="8" s="1"/>
  <c r="Y8" i="8"/>
  <c r="K8" i="8"/>
  <c r="M8" i="8" s="1"/>
  <c r="AC7" i="8"/>
  <c r="AD7" i="8" s="1"/>
  <c r="Y7" i="8"/>
  <c r="K7" i="8"/>
  <c r="M7" i="8" s="1"/>
  <c r="AC6" i="8"/>
  <c r="AD6" i="8" s="1"/>
  <c r="Y6" i="8"/>
  <c r="K6" i="8"/>
  <c r="M6" i="8" s="1"/>
  <c r="AC5" i="8"/>
  <c r="AD5" i="8" s="1"/>
  <c r="Y5" i="8"/>
  <c r="K5" i="8"/>
  <c r="M5" i="8" s="1"/>
  <c r="AD4" i="8"/>
  <c r="Y4" i="8"/>
  <c r="K4" i="8"/>
  <c r="M4" i="8" s="1"/>
  <c r="AD3" i="8"/>
  <c r="Y3" i="8"/>
  <c r="K3" i="8"/>
  <c r="M3" i="8" s="1"/>
  <c r="AD2" i="8"/>
  <c r="Y2" i="8"/>
  <c r="K2" i="8"/>
  <c r="M2" i="8" s="1"/>
  <c r="D2" i="8"/>
  <c r="AD3" i="6"/>
  <c r="AD12" i="6"/>
  <c r="AD13" i="6"/>
  <c r="AD14" i="6"/>
  <c r="AD15" i="6"/>
  <c r="AD16" i="6"/>
  <c r="AD17" i="6"/>
  <c r="AD18" i="6"/>
  <c r="AD19" i="6"/>
  <c r="AD20" i="6"/>
  <c r="AD21" i="6"/>
  <c r="AD26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D205" i="6"/>
  <c r="AD206" i="6"/>
  <c r="AD207" i="6"/>
  <c r="AD208" i="6"/>
  <c r="AD209" i="6"/>
  <c r="AD210" i="6"/>
  <c r="AD211" i="6"/>
  <c r="AD212" i="6"/>
  <c r="AD213" i="6"/>
  <c r="AD214" i="6"/>
  <c r="AD215" i="6"/>
  <c r="AD216" i="6"/>
  <c r="AD217" i="6"/>
  <c r="AD218" i="6"/>
  <c r="AD219" i="6"/>
  <c r="AD220" i="6"/>
  <c r="AD221" i="6"/>
  <c r="AD222" i="6"/>
  <c r="AD223" i="6"/>
  <c r="AD224" i="6"/>
  <c r="AD225" i="6"/>
  <c r="AD226" i="6"/>
  <c r="AD227" i="6"/>
  <c r="AD228" i="6"/>
  <c r="AD229" i="6"/>
  <c r="AD230" i="6"/>
  <c r="AD231" i="6"/>
  <c r="AD232" i="6"/>
  <c r="AD233" i="6"/>
  <c r="AD234" i="6"/>
  <c r="AD235" i="6"/>
  <c r="AD236" i="6"/>
  <c r="AD237" i="6"/>
  <c r="AD238" i="6"/>
  <c r="AD239" i="6"/>
  <c r="AD240" i="6"/>
  <c r="AD241" i="6"/>
  <c r="AD242" i="6"/>
  <c r="AD243" i="6"/>
  <c r="AD244" i="6"/>
  <c r="AD245" i="6"/>
  <c r="AD246" i="6"/>
  <c r="AD247" i="6"/>
  <c r="AD248" i="6"/>
  <c r="AD249" i="6"/>
  <c r="AD250" i="6"/>
  <c r="AD251" i="6"/>
  <c r="AD252" i="6"/>
  <c r="AD253" i="6"/>
  <c r="AD254" i="6"/>
  <c r="AD255" i="6"/>
  <c r="AD256" i="6"/>
  <c r="AD257" i="6"/>
  <c r="AD258" i="6"/>
  <c r="AD259" i="6"/>
  <c r="AD260" i="6"/>
  <c r="AD261" i="6"/>
  <c r="AD262" i="6"/>
  <c r="AD263" i="6"/>
  <c r="AD264" i="6"/>
  <c r="AD265" i="6"/>
  <c r="AD266" i="6"/>
  <c r="AD267" i="6"/>
  <c r="AD268" i="6"/>
  <c r="AD269" i="6"/>
  <c r="AD270" i="6"/>
  <c r="AD271" i="6"/>
  <c r="AD272" i="6"/>
  <c r="AD273" i="6"/>
  <c r="AD274" i="6"/>
  <c r="AD275" i="6"/>
  <c r="AD276" i="6"/>
  <c r="AD277" i="6"/>
  <c r="AD278" i="6"/>
  <c r="AD279" i="6"/>
  <c r="AD280" i="6"/>
  <c r="AD281" i="6"/>
  <c r="AD282" i="6"/>
  <c r="AD283" i="6"/>
  <c r="AD284" i="6"/>
  <c r="AD285" i="6"/>
  <c r="AD286" i="6"/>
  <c r="AD287" i="6"/>
  <c r="AD288" i="6"/>
  <c r="AD289" i="6"/>
  <c r="AD2" i="6"/>
  <c r="AD4" i="6"/>
  <c r="V6" i="14" l="1"/>
  <c r="C7" i="14" s="1"/>
  <c r="D7" i="14" s="1"/>
  <c r="X299" i="13"/>
  <c r="X300" i="13"/>
  <c r="X301" i="13"/>
  <c r="X297" i="13"/>
  <c r="X298" i="13"/>
  <c r="V7" i="13"/>
  <c r="C8" i="13" s="1"/>
  <c r="D8" i="13" s="1"/>
  <c r="S17" i="8"/>
  <c r="S63" i="8"/>
  <c r="S130" i="8"/>
  <c r="S135" i="8"/>
  <c r="S182" i="8"/>
  <c r="S205" i="8"/>
  <c r="S229" i="8"/>
  <c r="S234" i="8"/>
  <c r="M17" i="8"/>
  <c r="M63" i="8"/>
  <c r="S67" i="8"/>
  <c r="S87" i="8"/>
  <c r="M109" i="8"/>
  <c r="S114" i="8"/>
  <c r="M130" i="8"/>
  <c r="N130" i="8" s="1"/>
  <c r="M135" i="8"/>
  <c r="N135" i="8" s="1"/>
  <c r="Q181" i="8"/>
  <c r="M182" i="8"/>
  <c r="N182" i="8" s="1"/>
  <c r="M205" i="8"/>
  <c r="N205" i="8" s="1"/>
  <c r="S210" i="8"/>
  <c r="M211" i="8"/>
  <c r="M227" i="8"/>
  <c r="N227" i="8" s="1"/>
  <c r="M229" i="8"/>
  <c r="N229" i="8" s="1"/>
  <c r="S233" i="8"/>
  <c r="M234" i="8"/>
  <c r="N234" i="8" s="1"/>
  <c r="S279" i="8"/>
  <c r="Q17" i="8"/>
  <c r="W17" i="8" s="1"/>
  <c r="R18" i="8"/>
  <c r="S41" i="8"/>
  <c r="Q63" i="8"/>
  <c r="R66" i="8"/>
  <c r="R86" i="8"/>
  <c r="Q109" i="8"/>
  <c r="S110" i="8"/>
  <c r="R113" i="8"/>
  <c r="Q130" i="8"/>
  <c r="W130" i="8" s="1"/>
  <c r="R131" i="8"/>
  <c r="Q135" i="8"/>
  <c r="R138" i="8"/>
  <c r="M139" i="8"/>
  <c r="N139" i="8" s="1"/>
  <c r="R140" i="8"/>
  <c r="S160" i="8"/>
  <c r="Q182" i="8"/>
  <c r="S184" i="8"/>
  <c r="M186" i="8"/>
  <c r="S187" i="8"/>
  <c r="M188" i="8"/>
  <c r="N188" i="8" s="1"/>
  <c r="S189" i="8"/>
  <c r="Q205" i="8"/>
  <c r="S207" i="8"/>
  <c r="S209" i="8"/>
  <c r="Q211" i="8"/>
  <c r="W211" i="8" s="1"/>
  <c r="Q227" i="8"/>
  <c r="W227" i="8" s="1"/>
  <c r="Q229" i="8"/>
  <c r="W229" i="8" s="1"/>
  <c r="R232" i="8"/>
  <c r="Q234" i="8"/>
  <c r="W234" i="8" s="1"/>
  <c r="R256" i="8"/>
  <c r="R280" i="8"/>
  <c r="S39" i="8"/>
  <c r="Q67" i="8"/>
  <c r="W67" i="8" s="1"/>
  <c r="Q87" i="8"/>
  <c r="M108" i="8"/>
  <c r="N108" i="8" s="1"/>
  <c r="R109" i="8"/>
  <c r="Q114" i="8"/>
  <c r="Q139" i="8"/>
  <c r="W139" i="8" s="1"/>
  <c r="Q186" i="8"/>
  <c r="W186" i="8" s="1"/>
  <c r="Q188" i="8"/>
  <c r="W188" i="8" s="1"/>
  <c r="Q210" i="8"/>
  <c r="W210" i="8" s="1"/>
  <c r="S211" i="8"/>
  <c r="R227" i="8"/>
  <c r="Q233" i="8"/>
  <c r="W233" i="8" s="1"/>
  <c r="Q279" i="8"/>
  <c r="W279" i="8" s="1"/>
  <c r="Q16" i="9"/>
  <c r="W16" i="9" s="1"/>
  <c r="M18" i="9"/>
  <c r="N18" i="9" s="1"/>
  <c r="S36" i="9"/>
  <c r="M37" i="9"/>
  <c r="N37" i="9" s="1"/>
  <c r="S38" i="9"/>
  <c r="R40" i="9"/>
  <c r="M59" i="9"/>
  <c r="N59" i="9" s="1"/>
  <c r="S60" i="9"/>
  <c r="M62" i="9"/>
  <c r="N62" i="9" s="1"/>
  <c r="Q64" i="9"/>
  <c r="W64" i="9" s="1"/>
  <c r="M83" i="9"/>
  <c r="S84" i="9"/>
  <c r="M88" i="9"/>
  <c r="S92" i="9"/>
  <c r="R107" i="9"/>
  <c r="Q110" i="9"/>
  <c r="W110" i="9" s="1"/>
  <c r="S112" i="9"/>
  <c r="M114" i="9"/>
  <c r="N114" i="9" s="1"/>
  <c r="Q131" i="9"/>
  <c r="W131" i="9" s="1"/>
  <c r="S133" i="9"/>
  <c r="Q137" i="9"/>
  <c r="W137" i="9" s="1"/>
  <c r="R139" i="9"/>
  <c r="Q154" i="9"/>
  <c r="W154" i="9" s="1"/>
  <c r="R155" i="9"/>
  <c r="S157" i="9"/>
  <c r="M159" i="9"/>
  <c r="R160" i="9"/>
  <c r="M161" i="9"/>
  <c r="N161" i="9" s="1"/>
  <c r="M181" i="9"/>
  <c r="N181" i="9" s="1"/>
  <c r="R183" i="9"/>
  <c r="S185" i="9"/>
  <c r="S203" i="9"/>
  <c r="T203" i="9" s="1"/>
  <c r="U203" i="9" s="1"/>
  <c r="B203" i="9" s="1"/>
  <c r="R206" i="9"/>
  <c r="S208" i="9"/>
  <c r="R227" i="9"/>
  <c r="S228" i="9"/>
  <c r="T228" i="9" s="1"/>
  <c r="U228" i="9" s="1"/>
  <c r="B228" i="9" s="1"/>
  <c r="S253" i="9"/>
  <c r="R256" i="9"/>
  <c r="S279" i="9"/>
  <c r="S40" i="9"/>
  <c r="T40" i="9" s="1"/>
  <c r="U40" i="9" s="1"/>
  <c r="B40" i="9" s="1"/>
  <c r="S155" i="9"/>
  <c r="S183" i="9"/>
  <c r="S206" i="9"/>
  <c r="T206" i="9" s="1"/>
  <c r="S227" i="9"/>
  <c r="S256" i="9"/>
  <c r="M15" i="9"/>
  <c r="M36" i="9"/>
  <c r="N36" i="9" s="1"/>
  <c r="M38" i="9"/>
  <c r="N38" i="9" s="1"/>
  <c r="M60" i="9"/>
  <c r="N60" i="9" s="1"/>
  <c r="M84" i="9"/>
  <c r="M107" i="9"/>
  <c r="N107" i="9" s="1"/>
  <c r="S137" i="9"/>
  <c r="T137" i="9" s="1"/>
  <c r="S154" i="9"/>
  <c r="M157" i="9"/>
  <c r="N157" i="9" s="1"/>
  <c r="R161" i="9"/>
  <c r="S181" i="9"/>
  <c r="T181" i="9" s="1"/>
  <c r="M185" i="9"/>
  <c r="N185" i="9" s="1"/>
  <c r="M203" i="9"/>
  <c r="N203" i="9" s="1"/>
  <c r="M208" i="9"/>
  <c r="N208" i="9" s="1"/>
  <c r="Q228" i="9"/>
  <c r="W228" i="9" s="1"/>
  <c r="R234" i="9"/>
  <c r="R257" i="9"/>
  <c r="Q279" i="9"/>
  <c r="W279" i="9" s="1"/>
  <c r="Q15" i="9"/>
  <c r="W15" i="9" s="1"/>
  <c r="M16" i="9"/>
  <c r="N16" i="9" s="1"/>
  <c r="Q40" i="9"/>
  <c r="W40" i="9" s="1"/>
  <c r="S42" i="9"/>
  <c r="Q60" i="9"/>
  <c r="W60" i="9" s="1"/>
  <c r="M64" i="9"/>
  <c r="N64" i="9" s="1"/>
  <c r="Q84" i="9"/>
  <c r="W84" i="9" s="1"/>
  <c r="Q107" i="9"/>
  <c r="W107" i="9" s="1"/>
  <c r="M110" i="9"/>
  <c r="N110" i="9" s="1"/>
  <c r="S130" i="9"/>
  <c r="M131" i="9"/>
  <c r="N131" i="9" s="1"/>
  <c r="S135" i="9"/>
  <c r="T135" i="9" s="1"/>
  <c r="U135" i="9" s="1"/>
  <c r="B135" i="9" s="1"/>
  <c r="R138" i="9"/>
  <c r="Q155" i="9"/>
  <c r="W155" i="9" s="1"/>
  <c r="Q157" i="9"/>
  <c r="W157" i="9" s="1"/>
  <c r="Q183" i="9"/>
  <c r="W183" i="9" s="1"/>
  <c r="Q185" i="9"/>
  <c r="W185" i="9" s="1"/>
  <c r="Q203" i="9"/>
  <c r="W203" i="9" s="1"/>
  <c r="Q206" i="9"/>
  <c r="W206" i="9" s="1"/>
  <c r="Q208" i="9"/>
  <c r="W208" i="9" s="1"/>
  <c r="Q227" i="9"/>
  <c r="W227" i="9" s="1"/>
  <c r="Q256" i="9"/>
  <c r="W256" i="9" s="1"/>
  <c r="AA301" i="12"/>
  <c r="AA297" i="12"/>
  <c r="AA299" i="12"/>
  <c r="AA300" i="12"/>
  <c r="AA298" i="12"/>
  <c r="W295" i="12"/>
  <c r="V4" i="12"/>
  <c r="C5" i="12" s="1"/>
  <c r="D5" i="12" s="1"/>
  <c r="V4" i="11"/>
  <c r="C5" i="11" s="1"/>
  <c r="D5" i="11" s="1"/>
  <c r="AA301" i="11"/>
  <c r="AA297" i="11"/>
  <c r="AA298" i="11"/>
  <c r="AA300" i="11"/>
  <c r="AA299" i="11"/>
  <c r="W295" i="11"/>
  <c r="V4" i="10"/>
  <c r="C5" i="10" s="1"/>
  <c r="D5" i="10" s="1"/>
  <c r="AA301" i="10"/>
  <c r="AA297" i="10"/>
  <c r="AA298" i="10"/>
  <c r="AA299" i="10"/>
  <c r="AA300" i="10"/>
  <c r="W295" i="10"/>
  <c r="N20" i="8"/>
  <c r="X20" i="8"/>
  <c r="N212" i="9"/>
  <c r="X212" i="9"/>
  <c r="N224" i="9"/>
  <c r="X224" i="9"/>
  <c r="N242" i="9"/>
  <c r="X242" i="9"/>
  <c r="N245" i="9"/>
  <c r="X245" i="9"/>
  <c r="N267" i="9"/>
  <c r="X267" i="9"/>
  <c r="N275" i="9"/>
  <c r="X275" i="9"/>
  <c r="N284" i="9"/>
  <c r="X284" i="9"/>
  <c r="V2" i="9"/>
  <c r="N95" i="9"/>
  <c r="X95" i="9"/>
  <c r="N102" i="9"/>
  <c r="X102" i="9"/>
  <c r="N120" i="9"/>
  <c r="X120" i="9"/>
  <c r="N128" i="9"/>
  <c r="X128" i="9"/>
  <c r="N171" i="9"/>
  <c r="X171" i="9"/>
  <c r="N197" i="9"/>
  <c r="X197" i="9"/>
  <c r="N215" i="9"/>
  <c r="X215" i="9"/>
  <c r="N246" i="9"/>
  <c r="X246" i="9"/>
  <c r="N260" i="9"/>
  <c r="X260" i="9"/>
  <c r="N268" i="9"/>
  <c r="X268" i="9"/>
  <c r="N285" i="9"/>
  <c r="X285" i="9"/>
  <c r="N288" i="9"/>
  <c r="X288" i="9"/>
  <c r="N20" i="9"/>
  <c r="X20" i="9"/>
  <c r="N150" i="9"/>
  <c r="X150" i="9"/>
  <c r="N216" i="9"/>
  <c r="X216" i="9"/>
  <c r="N219" i="9"/>
  <c r="X219" i="9"/>
  <c r="N237" i="9"/>
  <c r="X237" i="9"/>
  <c r="N249" i="9"/>
  <c r="X249" i="9"/>
  <c r="N263" i="9"/>
  <c r="X263" i="9"/>
  <c r="N271" i="9"/>
  <c r="X271" i="9"/>
  <c r="N289" i="9"/>
  <c r="X289" i="9"/>
  <c r="N98" i="9"/>
  <c r="X98" i="9"/>
  <c r="N124" i="9"/>
  <c r="X124" i="9"/>
  <c r="N167" i="9"/>
  <c r="X167" i="9"/>
  <c r="N175" i="9"/>
  <c r="X175" i="9"/>
  <c r="N193" i="9"/>
  <c r="X193" i="9"/>
  <c r="N220" i="9"/>
  <c r="X220" i="9"/>
  <c r="N223" i="9"/>
  <c r="X223" i="9"/>
  <c r="N250" i="9"/>
  <c r="X250" i="9"/>
  <c r="N264" i="9"/>
  <c r="X264" i="9"/>
  <c r="N272" i="9"/>
  <c r="X272" i="9"/>
  <c r="N75" i="9"/>
  <c r="X75" i="9"/>
  <c r="B2" i="9"/>
  <c r="N71" i="9"/>
  <c r="X71" i="9"/>
  <c r="N79" i="9"/>
  <c r="X79" i="9"/>
  <c r="N43" i="9"/>
  <c r="X43" i="9"/>
  <c r="N21" i="9"/>
  <c r="X21" i="9"/>
  <c r="N105" i="9"/>
  <c r="X105" i="9"/>
  <c r="B2" i="8"/>
  <c r="V2" i="8"/>
  <c r="N81" i="8"/>
  <c r="X28" i="8"/>
  <c r="T234" i="8"/>
  <c r="U234" i="8" s="1"/>
  <c r="B234" i="8" s="1"/>
  <c r="Q257" i="8"/>
  <c r="W257" i="8" s="1"/>
  <c r="T257" i="8"/>
  <c r="U257" i="8" s="1"/>
  <c r="B257" i="8" s="1"/>
  <c r="X48" i="8"/>
  <c r="X56" i="8"/>
  <c r="X45" i="8"/>
  <c r="X49" i="8"/>
  <c r="X53" i="8"/>
  <c r="X57" i="8"/>
  <c r="X46" i="9"/>
  <c r="T112" i="9"/>
  <c r="U112" i="9" s="1"/>
  <c r="B112" i="9" s="1"/>
  <c r="T155" i="9"/>
  <c r="U155" i="9" s="1"/>
  <c r="B155" i="9" s="1"/>
  <c r="X24" i="9"/>
  <c r="X28" i="9"/>
  <c r="X25" i="9"/>
  <c r="X45" i="9"/>
  <c r="X53" i="9"/>
  <c r="X47" i="9"/>
  <c r="X51" i="9"/>
  <c r="X55" i="9"/>
  <c r="Q85" i="9"/>
  <c r="W85" i="9" s="1"/>
  <c r="Q90" i="9"/>
  <c r="W90" i="9" s="1"/>
  <c r="T204" i="9"/>
  <c r="T37" i="9"/>
  <c r="U37" i="9" s="1"/>
  <c r="B37" i="9" s="1"/>
  <c r="T140" i="9"/>
  <c r="U140" i="9" s="1"/>
  <c r="B140" i="9" s="1"/>
  <c r="T160" i="9"/>
  <c r="U160" i="9" s="1"/>
  <c r="B160" i="9" s="1"/>
  <c r="T14" i="9"/>
  <c r="U14" i="9" s="1"/>
  <c r="T17" i="9"/>
  <c r="U17" i="9" s="1"/>
  <c r="B17" i="9" s="1"/>
  <c r="T18" i="9"/>
  <c r="U18" i="9" s="1"/>
  <c r="B18" i="9" s="1"/>
  <c r="T86" i="9"/>
  <c r="U86" i="9" s="1"/>
  <c r="B86" i="9" s="1"/>
  <c r="T107" i="9"/>
  <c r="U107" i="9" s="1"/>
  <c r="B107" i="9" s="1"/>
  <c r="T161" i="9"/>
  <c r="U161" i="9" s="1"/>
  <c r="B161" i="9" s="1"/>
  <c r="Q252" i="9"/>
  <c r="W252" i="9" s="1"/>
  <c r="T252" i="9"/>
  <c r="U252" i="9" s="1"/>
  <c r="B252" i="9" s="1"/>
  <c r="Q280" i="9"/>
  <c r="W280" i="9" s="1"/>
  <c r="T280" i="9"/>
  <c r="U280" i="9" s="1"/>
  <c r="B280" i="9" s="1"/>
  <c r="U204" i="9"/>
  <c r="B204" i="9" s="1"/>
  <c r="T106" i="9"/>
  <c r="U106" i="9" s="1"/>
  <c r="B106" i="9" s="1"/>
  <c r="T39" i="9"/>
  <c r="U39" i="9" s="1"/>
  <c r="B39" i="9" s="1"/>
  <c r="T154" i="9"/>
  <c r="T227" i="9"/>
  <c r="T64" i="9"/>
  <c r="Q234" i="9"/>
  <c r="W234" i="9" s="1"/>
  <c r="T234" i="9"/>
  <c r="T279" i="9"/>
  <c r="U279" i="9" s="1"/>
  <c r="B279" i="9" s="1"/>
  <c r="T83" i="9"/>
  <c r="T139" i="9"/>
  <c r="U139" i="9" s="1"/>
  <c r="B139" i="9" s="1"/>
  <c r="T159" i="9"/>
  <c r="U159" i="9" s="1"/>
  <c r="B159" i="9" s="1"/>
  <c r="T13" i="9"/>
  <c r="U13" i="9" s="1"/>
  <c r="T16" i="9"/>
  <c r="U16" i="9" s="1"/>
  <c r="N34" i="9"/>
  <c r="T36" i="9"/>
  <c r="T60" i="9"/>
  <c r="U60" i="9" s="1"/>
  <c r="B60" i="9" s="1"/>
  <c r="T66" i="9"/>
  <c r="U66" i="9" s="1"/>
  <c r="B66" i="9" s="1"/>
  <c r="T108" i="9"/>
  <c r="U108" i="9" s="1"/>
  <c r="B108" i="9" s="1"/>
  <c r="T130" i="9"/>
  <c r="U130" i="9" s="1"/>
  <c r="B130" i="9" s="1"/>
  <c r="T131" i="9"/>
  <c r="U131" i="9" s="1"/>
  <c r="B131" i="9" s="1"/>
  <c r="T156" i="9"/>
  <c r="U156" i="9" s="1"/>
  <c r="B156" i="9" s="1"/>
  <c r="T208" i="9"/>
  <c r="U208" i="9" s="1"/>
  <c r="B208" i="9" s="1"/>
  <c r="Q229" i="9"/>
  <c r="W229" i="9" s="1"/>
  <c r="T229" i="9"/>
  <c r="U229" i="9" s="1"/>
  <c r="B229" i="9" s="1"/>
  <c r="T232" i="9"/>
  <c r="U232" i="9" s="1"/>
  <c r="B232" i="9" s="1"/>
  <c r="Q233" i="9"/>
  <c r="W233" i="9" s="1"/>
  <c r="T233" i="9"/>
  <c r="U233" i="9" s="1"/>
  <c r="B233" i="9" s="1"/>
  <c r="Q253" i="9"/>
  <c r="W253" i="9" s="1"/>
  <c r="T253" i="9"/>
  <c r="U253" i="9" s="1"/>
  <c r="B253" i="9" s="1"/>
  <c r="T256" i="9"/>
  <c r="U256" i="9" s="1"/>
  <c r="B256" i="9" s="1"/>
  <c r="B13" i="9"/>
  <c r="B16" i="9"/>
  <c r="N30" i="9"/>
  <c r="X6" i="9"/>
  <c r="N6" i="9"/>
  <c r="X10" i="9"/>
  <c r="N10" i="9"/>
  <c r="X33" i="9"/>
  <c r="N33" i="9"/>
  <c r="X29" i="9"/>
  <c r="N29" i="9"/>
  <c r="T183" i="9"/>
  <c r="T163" i="9"/>
  <c r="T230" i="9"/>
  <c r="U230" i="9" s="1"/>
  <c r="B230" i="9" s="1"/>
  <c r="T254" i="9"/>
  <c r="U254" i="9" s="1"/>
  <c r="B254" i="9" s="1"/>
  <c r="Q257" i="9"/>
  <c r="W257" i="9" s="1"/>
  <c r="T257" i="9"/>
  <c r="T15" i="9"/>
  <c r="T42" i="9"/>
  <c r="T84" i="9"/>
  <c r="T88" i="9"/>
  <c r="Q89" i="9"/>
  <c r="W89" i="9" s="1"/>
  <c r="T134" i="9"/>
  <c r="U134" i="9" s="1"/>
  <c r="T185" i="9"/>
  <c r="Q207" i="9"/>
  <c r="W207" i="9" s="1"/>
  <c r="N5" i="9"/>
  <c r="N9" i="9"/>
  <c r="T12" i="9"/>
  <c r="T38" i="9"/>
  <c r="U38" i="9" s="1"/>
  <c r="B38" i="9" s="1"/>
  <c r="T59" i="9"/>
  <c r="T62" i="9"/>
  <c r="U62" i="9" s="1"/>
  <c r="B62" i="9" s="1"/>
  <c r="Q91" i="9"/>
  <c r="W91" i="9" s="1"/>
  <c r="T92" i="9"/>
  <c r="T110" i="9"/>
  <c r="T114" i="9"/>
  <c r="T133" i="9"/>
  <c r="T138" i="9"/>
  <c r="T157" i="9"/>
  <c r="Q184" i="9"/>
  <c r="W184" i="9" s="1"/>
  <c r="T281" i="9"/>
  <c r="T139" i="8"/>
  <c r="U139" i="8" s="1"/>
  <c r="B139" i="8" s="1"/>
  <c r="T227" i="8"/>
  <c r="U227" i="8" s="1"/>
  <c r="B227" i="8" s="1"/>
  <c r="T232" i="8"/>
  <c r="U232" i="8" s="1"/>
  <c r="B232" i="8" s="1"/>
  <c r="T134" i="8"/>
  <c r="U134" i="8" s="1"/>
  <c r="B134" i="8" s="1"/>
  <c r="Q203" i="8"/>
  <c r="W203" i="8" s="1"/>
  <c r="Q12" i="8"/>
  <c r="W12" i="8" s="1"/>
  <c r="T12" i="8"/>
  <c r="T86" i="8"/>
  <c r="U86" i="8" s="1"/>
  <c r="T140" i="8"/>
  <c r="U140" i="8" s="1"/>
  <c r="B140" i="8" s="1"/>
  <c r="T184" i="8"/>
  <c r="U184" i="8" s="1"/>
  <c r="B184" i="8" s="1"/>
  <c r="T230" i="8"/>
  <c r="U230" i="8" s="1"/>
  <c r="Q36" i="8"/>
  <c r="W36" i="8" s="1"/>
  <c r="T36" i="8"/>
  <c r="U36" i="8" s="1"/>
  <c r="B36" i="8" s="1"/>
  <c r="T64" i="8"/>
  <c r="U64" i="8" s="1"/>
  <c r="T67" i="8"/>
  <c r="T211" i="8"/>
  <c r="U211" i="8" s="1"/>
  <c r="B211" i="8" s="1"/>
  <c r="T228" i="8"/>
  <c r="U228" i="8" s="1"/>
  <c r="B228" i="8" s="1"/>
  <c r="T256" i="8"/>
  <c r="U256" i="8" s="1"/>
  <c r="B256" i="8" s="1"/>
  <c r="Q161" i="8"/>
  <c r="W161" i="8" s="1"/>
  <c r="T92" i="8"/>
  <c r="U92" i="8" s="1"/>
  <c r="B92" i="8" s="1"/>
  <c r="T210" i="8"/>
  <c r="U210" i="8" s="1"/>
  <c r="B210" i="8" s="1"/>
  <c r="T130" i="8"/>
  <c r="U130" i="8" s="1"/>
  <c r="B130" i="8" s="1"/>
  <c r="T15" i="8"/>
  <c r="U15" i="8" s="1"/>
  <c r="T84" i="8"/>
  <c r="U84" i="8" s="1"/>
  <c r="T87" i="8"/>
  <c r="T131" i="8"/>
  <c r="T138" i="8"/>
  <c r="T161" i="8"/>
  <c r="T229" i="8"/>
  <c r="T281" i="8"/>
  <c r="U12" i="8"/>
  <c r="B12" i="8" s="1"/>
  <c r="T59" i="8"/>
  <c r="T66" i="8"/>
  <c r="U66" i="8" s="1"/>
  <c r="B66" i="8" s="1"/>
  <c r="T160" i="8"/>
  <c r="U160" i="8" s="1"/>
  <c r="B160" i="8" s="1"/>
  <c r="T207" i="8"/>
  <c r="Q252" i="8"/>
  <c r="W252" i="8" s="1"/>
  <c r="T252" i="8"/>
  <c r="Q37" i="8"/>
  <c r="W37" i="8" s="1"/>
  <c r="T37" i="8"/>
  <c r="U37" i="8" s="1"/>
  <c r="B37" i="8" s="1"/>
  <c r="T40" i="8"/>
  <c r="U40" i="8" s="1"/>
  <c r="B40" i="8" s="1"/>
  <c r="T109" i="8"/>
  <c r="U109" i="8" s="1"/>
  <c r="B109" i="8" s="1"/>
  <c r="T115" i="8"/>
  <c r="U67" i="8"/>
  <c r="B67" i="8" s="1"/>
  <c r="T39" i="8"/>
  <c r="U39" i="8" s="1"/>
  <c r="B39" i="8" s="1"/>
  <c r="T111" i="8"/>
  <c r="U111" i="8" s="1"/>
  <c r="T158" i="8"/>
  <c r="U158" i="8" s="1"/>
  <c r="Q14" i="8"/>
  <c r="W14" i="8" s="1"/>
  <c r="T14" i="8"/>
  <c r="U14" i="8" s="1"/>
  <c r="B14" i="8" s="1"/>
  <c r="T17" i="8"/>
  <c r="Q42" i="8"/>
  <c r="W42" i="8" s="1"/>
  <c r="T42" i="8"/>
  <c r="T63" i="8"/>
  <c r="T113" i="8"/>
  <c r="T114" i="8"/>
  <c r="T135" i="8"/>
  <c r="T165" i="8"/>
  <c r="T178" i="8"/>
  <c r="T179" i="8"/>
  <c r="T186" i="8"/>
  <c r="T187" i="8"/>
  <c r="T188" i="8"/>
  <c r="T189" i="8"/>
  <c r="Q253" i="8"/>
  <c r="W253" i="8" s="1"/>
  <c r="T253" i="8"/>
  <c r="T279" i="8"/>
  <c r="U279" i="8" s="1"/>
  <c r="B279" i="8" s="1"/>
  <c r="Q280" i="8"/>
  <c r="W280" i="8" s="1"/>
  <c r="T280" i="8"/>
  <c r="Q13" i="8"/>
  <c r="W13" i="8" s="1"/>
  <c r="T13" i="8"/>
  <c r="T16" i="8"/>
  <c r="T18" i="8"/>
  <c r="Q38" i="8"/>
  <c r="W38" i="8" s="1"/>
  <c r="T38" i="8"/>
  <c r="T41" i="8"/>
  <c r="T62" i="8"/>
  <c r="U62" i="8" s="1"/>
  <c r="T110" i="8"/>
  <c r="T132" i="8"/>
  <c r="U132" i="8" s="1"/>
  <c r="T156" i="8"/>
  <c r="Q157" i="8"/>
  <c r="T157" i="8"/>
  <c r="T163" i="8"/>
  <c r="T182" i="8"/>
  <c r="Q204" i="8"/>
  <c r="W204" i="8" s="1"/>
  <c r="T205" i="8"/>
  <c r="Q208" i="8"/>
  <c r="T209" i="8"/>
  <c r="T233" i="8"/>
  <c r="AA2" i="9"/>
  <c r="N2" i="9"/>
  <c r="N19" i="9"/>
  <c r="N23" i="9"/>
  <c r="N7" i="9"/>
  <c r="X7" i="9"/>
  <c r="N11" i="9"/>
  <c r="X11" i="9"/>
  <c r="N27" i="9"/>
  <c r="N31" i="9"/>
  <c r="X31" i="9"/>
  <c r="X32" i="9"/>
  <c r="Q41" i="9"/>
  <c r="W41" i="9" s="1"/>
  <c r="M41" i="9"/>
  <c r="S63" i="9"/>
  <c r="T63" i="9" s="1"/>
  <c r="Q63" i="9"/>
  <c r="W63" i="9" s="1"/>
  <c r="M63" i="9"/>
  <c r="N84" i="9"/>
  <c r="N151" i="9"/>
  <c r="N201" i="9"/>
  <c r="Y290" i="9"/>
  <c r="Y291" i="9" s="1"/>
  <c r="W293" i="9" s="1"/>
  <c r="N4" i="9"/>
  <c r="N8" i="9"/>
  <c r="M12" i="9"/>
  <c r="Q12" i="9"/>
  <c r="W12" i="9" s="1"/>
  <c r="M13" i="9"/>
  <c r="Q13" i="9"/>
  <c r="W13" i="9" s="1"/>
  <c r="M14" i="9"/>
  <c r="Q14" i="9"/>
  <c r="W14" i="9" s="1"/>
  <c r="N15" i="9"/>
  <c r="R15" i="9"/>
  <c r="N22" i="9"/>
  <c r="N26" i="9"/>
  <c r="Q36" i="9"/>
  <c r="W36" i="9" s="1"/>
  <c r="Q37" i="9"/>
  <c r="W37" i="9" s="1"/>
  <c r="Q38" i="9"/>
  <c r="W38" i="9" s="1"/>
  <c r="S41" i="9"/>
  <c r="T41" i="9" s="1"/>
  <c r="N49" i="9"/>
  <c r="N50" i="9"/>
  <c r="N57" i="9"/>
  <c r="N58" i="9"/>
  <c r="S67" i="9"/>
  <c r="T67" i="9" s="1"/>
  <c r="Q67" i="9"/>
  <c r="W67" i="9" s="1"/>
  <c r="M67" i="9"/>
  <c r="R67" i="9"/>
  <c r="N68" i="9"/>
  <c r="N76" i="9"/>
  <c r="N77" i="9"/>
  <c r="N106" i="9"/>
  <c r="Q116" i="9"/>
  <c r="W116" i="9" s="1"/>
  <c r="M116" i="9"/>
  <c r="S116" i="9"/>
  <c r="T116" i="9" s="1"/>
  <c r="N117" i="9"/>
  <c r="N118" i="9"/>
  <c r="N143" i="9"/>
  <c r="N144" i="9"/>
  <c r="R41" i="9"/>
  <c r="N44" i="9"/>
  <c r="N56" i="9"/>
  <c r="R63" i="9"/>
  <c r="N97" i="9"/>
  <c r="S109" i="9"/>
  <c r="T109" i="9" s="1"/>
  <c r="Q109" i="9"/>
  <c r="W109" i="9" s="1"/>
  <c r="M109" i="9"/>
  <c r="N130" i="9"/>
  <c r="N152" i="9"/>
  <c r="R12" i="9"/>
  <c r="R13" i="9"/>
  <c r="R14" i="9"/>
  <c r="N52" i="9"/>
  <c r="N70" i="9"/>
  <c r="N88" i="9"/>
  <c r="N93" i="9"/>
  <c r="N103" i="9"/>
  <c r="N104" i="9"/>
  <c r="N125" i="9"/>
  <c r="N126" i="9"/>
  <c r="Q136" i="9"/>
  <c r="W136" i="9" s="1"/>
  <c r="M136" i="9"/>
  <c r="S136" i="9"/>
  <c r="T136" i="9" s="1"/>
  <c r="U136" i="9" s="1"/>
  <c r="B136" i="9" s="1"/>
  <c r="R136" i="9"/>
  <c r="N154" i="9"/>
  <c r="N159" i="9"/>
  <c r="Q65" i="9"/>
  <c r="W65" i="9" s="1"/>
  <c r="M65" i="9"/>
  <c r="S65" i="9"/>
  <c r="T65" i="9" s="1"/>
  <c r="U65" i="9" s="1"/>
  <c r="B65" i="9" s="1"/>
  <c r="N96" i="9"/>
  <c r="AD291" i="9"/>
  <c r="Y300" i="9" s="1"/>
  <c r="X35" i="9"/>
  <c r="Q42" i="9"/>
  <c r="W42" i="9" s="1"/>
  <c r="N48" i="9"/>
  <c r="N54" i="9"/>
  <c r="Q61" i="9"/>
  <c r="W61" i="9" s="1"/>
  <c r="M61" i="9"/>
  <c r="S61" i="9"/>
  <c r="T61" i="9" s="1"/>
  <c r="R61" i="9"/>
  <c r="N72" i="9"/>
  <c r="N73" i="9"/>
  <c r="N80" i="9"/>
  <c r="N81" i="9"/>
  <c r="N83" i="9"/>
  <c r="S87" i="9"/>
  <c r="T87" i="9" s="1"/>
  <c r="R87" i="9"/>
  <c r="Q87" i="9"/>
  <c r="W87" i="9" s="1"/>
  <c r="M87" i="9"/>
  <c r="N99" i="9"/>
  <c r="N101" i="9"/>
  <c r="R109" i="9"/>
  <c r="Q111" i="9"/>
  <c r="W111" i="9" s="1"/>
  <c r="M111" i="9"/>
  <c r="S111" i="9"/>
  <c r="T111" i="9" s="1"/>
  <c r="N172" i="9"/>
  <c r="N173" i="9"/>
  <c r="S85" i="9"/>
  <c r="T85" i="9" s="1"/>
  <c r="S89" i="9"/>
  <c r="T89" i="9" s="1"/>
  <c r="S90" i="9"/>
  <c r="T90" i="9" s="1"/>
  <c r="S91" i="9"/>
  <c r="T91" i="9" s="1"/>
  <c r="R106" i="9"/>
  <c r="S113" i="9"/>
  <c r="T113" i="9" s="1"/>
  <c r="Q113" i="9"/>
  <c r="W113" i="9" s="1"/>
  <c r="M113" i="9"/>
  <c r="R113" i="9"/>
  <c r="Q115" i="9"/>
  <c r="W115" i="9" s="1"/>
  <c r="M115" i="9"/>
  <c r="S115" i="9"/>
  <c r="T115" i="9" s="1"/>
  <c r="R115" i="9"/>
  <c r="N119" i="9"/>
  <c r="N127" i="9"/>
  <c r="N133" i="9"/>
  <c r="Q158" i="9"/>
  <c r="W158" i="9" s="1"/>
  <c r="M158" i="9"/>
  <c r="S158" i="9"/>
  <c r="T158" i="9" s="1"/>
  <c r="U158" i="9" s="1"/>
  <c r="B158" i="9" s="1"/>
  <c r="R158" i="9"/>
  <c r="Q180" i="9"/>
  <c r="W180" i="9" s="1"/>
  <c r="M180" i="9"/>
  <c r="S180" i="9"/>
  <c r="T180" i="9" s="1"/>
  <c r="U180" i="9" s="1"/>
  <c r="B180" i="9" s="1"/>
  <c r="S209" i="9"/>
  <c r="T209" i="9" s="1"/>
  <c r="R209" i="9"/>
  <c r="Q209" i="9"/>
  <c r="W209" i="9" s="1"/>
  <c r="M209" i="9"/>
  <c r="N100" i="9"/>
  <c r="N121" i="9"/>
  <c r="N129" i="9"/>
  <c r="Q132" i="9"/>
  <c r="W132" i="9" s="1"/>
  <c r="M132" i="9"/>
  <c r="S132" i="9"/>
  <c r="T132" i="9" s="1"/>
  <c r="R132" i="9"/>
  <c r="N147" i="9"/>
  <c r="N148" i="9"/>
  <c r="N155" i="9"/>
  <c r="S186" i="9"/>
  <c r="T186" i="9" s="1"/>
  <c r="R186" i="9"/>
  <c r="Q186" i="9"/>
  <c r="W186" i="9" s="1"/>
  <c r="M186" i="9"/>
  <c r="N240" i="9"/>
  <c r="N74" i="9"/>
  <c r="N78" i="9"/>
  <c r="N82" i="9"/>
  <c r="M85" i="9"/>
  <c r="M89" i="9"/>
  <c r="M90" i="9"/>
  <c r="M91" i="9"/>
  <c r="N94" i="9"/>
  <c r="N122" i="9"/>
  <c r="N123" i="9"/>
  <c r="N137" i="9"/>
  <c r="Q164" i="9"/>
  <c r="W164" i="9" s="1"/>
  <c r="M164" i="9"/>
  <c r="S164" i="9"/>
  <c r="T164" i="9" s="1"/>
  <c r="N232" i="9"/>
  <c r="N235" i="9"/>
  <c r="Q162" i="9"/>
  <c r="W162" i="9" s="1"/>
  <c r="M162" i="9"/>
  <c r="R162" i="9"/>
  <c r="N168" i="9"/>
  <c r="N176" i="9"/>
  <c r="Q178" i="9"/>
  <c r="W178" i="9" s="1"/>
  <c r="M178" i="9"/>
  <c r="S178" i="9"/>
  <c r="T178" i="9" s="1"/>
  <c r="R178" i="9"/>
  <c r="S182" i="9"/>
  <c r="T182" i="9" s="1"/>
  <c r="R182" i="9"/>
  <c r="Q182" i="9"/>
  <c r="W182" i="9" s="1"/>
  <c r="M182" i="9"/>
  <c r="S188" i="9"/>
  <c r="T188" i="9" s="1"/>
  <c r="R188" i="9"/>
  <c r="Q188" i="9"/>
  <c r="W188" i="9" s="1"/>
  <c r="M188" i="9"/>
  <c r="S205" i="9"/>
  <c r="T205" i="9" s="1"/>
  <c r="U205" i="9" s="1"/>
  <c r="B205" i="9" s="1"/>
  <c r="R205" i="9"/>
  <c r="Q205" i="9"/>
  <c r="W205" i="9" s="1"/>
  <c r="M205" i="9"/>
  <c r="S211" i="9"/>
  <c r="T211" i="9" s="1"/>
  <c r="R211" i="9"/>
  <c r="Q211" i="9"/>
  <c r="W211" i="9" s="1"/>
  <c r="M211" i="9"/>
  <c r="N217" i="9"/>
  <c r="N221" i="9"/>
  <c r="N286" i="9"/>
  <c r="M134" i="9"/>
  <c r="Q134" i="9"/>
  <c r="W134" i="9" s="1"/>
  <c r="M138" i="9"/>
  <c r="Q138" i="9"/>
  <c r="W138" i="9" s="1"/>
  <c r="M139" i="9"/>
  <c r="Q139" i="9"/>
  <c r="W139" i="9" s="1"/>
  <c r="M140" i="9"/>
  <c r="Q140" i="9"/>
  <c r="W140" i="9" s="1"/>
  <c r="N141" i="9"/>
  <c r="N145" i="9"/>
  <c r="N149" i="9"/>
  <c r="N153" i="9"/>
  <c r="M156" i="9"/>
  <c r="Q156" i="9"/>
  <c r="W156" i="9" s="1"/>
  <c r="M160" i="9"/>
  <c r="Q160" i="9"/>
  <c r="W160" i="9" s="1"/>
  <c r="S162" i="9"/>
  <c r="T162" i="9" s="1"/>
  <c r="Q163" i="9"/>
  <c r="W163" i="9" s="1"/>
  <c r="M163" i="9"/>
  <c r="R163" i="9"/>
  <c r="N169" i="9"/>
  <c r="N170" i="9"/>
  <c r="N177" i="9"/>
  <c r="S187" i="9"/>
  <c r="T187" i="9" s="1"/>
  <c r="R187" i="9"/>
  <c r="Q187" i="9"/>
  <c r="W187" i="9" s="1"/>
  <c r="M187" i="9"/>
  <c r="N194" i="9"/>
  <c r="N195" i="9"/>
  <c r="N202" i="9"/>
  <c r="S210" i="9"/>
  <c r="T210" i="9" s="1"/>
  <c r="R210" i="9"/>
  <c r="Q210" i="9"/>
  <c r="W210" i="9" s="1"/>
  <c r="M210" i="9"/>
  <c r="N265" i="9"/>
  <c r="N282" i="9"/>
  <c r="Q165" i="9"/>
  <c r="W165" i="9" s="1"/>
  <c r="M165" i="9"/>
  <c r="S165" i="9"/>
  <c r="T165" i="9" s="1"/>
  <c r="R165" i="9"/>
  <c r="N166" i="9"/>
  <c r="N174" i="9"/>
  <c r="Q179" i="9"/>
  <c r="W179" i="9" s="1"/>
  <c r="M179" i="9"/>
  <c r="S179" i="9"/>
  <c r="T179" i="9" s="1"/>
  <c r="R179" i="9"/>
  <c r="N183" i="9"/>
  <c r="S189" i="9"/>
  <c r="T189" i="9" s="1"/>
  <c r="R189" i="9"/>
  <c r="Q189" i="9"/>
  <c r="W189" i="9" s="1"/>
  <c r="M189" i="9"/>
  <c r="N190" i="9"/>
  <c r="N191" i="9"/>
  <c r="N198" i="9"/>
  <c r="N199" i="9"/>
  <c r="N206" i="9"/>
  <c r="N225" i="9"/>
  <c r="N259" i="9"/>
  <c r="S184" i="9"/>
  <c r="T184" i="9" s="1"/>
  <c r="S207" i="9"/>
  <c r="T207" i="9" s="1"/>
  <c r="N214" i="9"/>
  <c r="N222" i="9"/>
  <c r="R230" i="9"/>
  <c r="Q230" i="9"/>
  <c r="W230" i="9" s="1"/>
  <c r="M230" i="9"/>
  <c r="S231" i="9"/>
  <c r="T231" i="9" s="1"/>
  <c r="R231" i="9"/>
  <c r="Q231" i="9"/>
  <c r="W231" i="9" s="1"/>
  <c r="N243" i="9"/>
  <c r="N251" i="9"/>
  <c r="N262" i="9"/>
  <c r="N273" i="9"/>
  <c r="S277" i="9"/>
  <c r="T277" i="9" s="1"/>
  <c r="R277" i="9"/>
  <c r="M277" i="9"/>
  <c r="N287" i="9"/>
  <c r="N231" i="9"/>
  <c r="N236" i="9"/>
  <c r="N238" i="9"/>
  <c r="N239" i="9"/>
  <c r="N256" i="9"/>
  <c r="N270" i="9"/>
  <c r="M184" i="9"/>
  <c r="N192" i="9"/>
  <c r="N196" i="9"/>
  <c r="N200" i="9"/>
  <c r="M207" i="9"/>
  <c r="N213" i="9"/>
  <c r="N218" i="9"/>
  <c r="N226" i="9"/>
  <c r="N227" i="9"/>
  <c r="N248" i="9"/>
  <c r="R254" i="9"/>
  <c r="Q254" i="9"/>
  <c r="W254" i="9" s="1"/>
  <c r="M254" i="9"/>
  <c r="S255" i="9"/>
  <c r="T255" i="9" s="1"/>
  <c r="U255" i="9" s="1"/>
  <c r="B255" i="9" s="1"/>
  <c r="R255" i="9"/>
  <c r="Q255" i="9"/>
  <c r="W255" i="9" s="1"/>
  <c r="M229" i="9"/>
  <c r="M233" i="9"/>
  <c r="M234" i="9"/>
  <c r="N241" i="9"/>
  <c r="N255" i="9"/>
  <c r="N258" i="9"/>
  <c r="N261" i="9"/>
  <c r="N266" i="9"/>
  <c r="N269" i="9"/>
  <c r="N274" i="9"/>
  <c r="S276" i="9"/>
  <c r="T276" i="9" s="1"/>
  <c r="R276" i="9"/>
  <c r="Q276" i="9"/>
  <c r="W276" i="9" s="1"/>
  <c r="S278" i="9"/>
  <c r="T278" i="9" s="1"/>
  <c r="U278" i="9" s="1"/>
  <c r="B278" i="9" s="1"/>
  <c r="R278" i="9"/>
  <c r="Q278" i="9"/>
  <c r="W278" i="9" s="1"/>
  <c r="N283" i="9"/>
  <c r="N244" i="9"/>
  <c r="N247" i="9"/>
  <c r="M276" i="9"/>
  <c r="M278" i="9"/>
  <c r="R281" i="9"/>
  <c r="Q281" i="9"/>
  <c r="W281" i="9" s="1"/>
  <c r="M281" i="9"/>
  <c r="M252" i="9"/>
  <c r="M253" i="9"/>
  <c r="M257" i="9"/>
  <c r="M280" i="9"/>
  <c r="N3" i="8"/>
  <c r="N4" i="8"/>
  <c r="N5" i="8"/>
  <c r="X5" i="8"/>
  <c r="X11" i="8"/>
  <c r="N11" i="8"/>
  <c r="N25" i="8"/>
  <c r="N27" i="8"/>
  <c r="N51" i="8"/>
  <c r="N58" i="8"/>
  <c r="X7" i="8"/>
  <c r="N7" i="8"/>
  <c r="N8" i="8"/>
  <c r="X8" i="8"/>
  <c r="X9" i="8"/>
  <c r="N9" i="8"/>
  <c r="N19" i="8"/>
  <c r="N55" i="8"/>
  <c r="N71" i="8"/>
  <c r="N21" i="8"/>
  <c r="N22" i="8"/>
  <c r="N23" i="8"/>
  <c r="X31" i="8"/>
  <c r="N31" i="8"/>
  <c r="N32" i="8"/>
  <c r="X32" i="8"/>
  <c r="X33" i="8"/>
  <c r="N33" i="8"/>
  <c r="N46" i="8"/>
  <c r="N47" i="8"/>
  <c r="N78" i="8"/>
  <c r="N79" i="8"/>
  <c r="N94" i="8"/>
  <c r="N95" i="8"/>
  <c r="N2" i="8"/>
  <c r="AA2" i="8"/>
  <c r="AA3" i="8" s="1"/>
  <c r="AA4" i="8" s="1"/>
  <c r="AA5" i="8" s="1"/>
  <c r="AA6" i="8" s="1"/>
  <c r="AA7" i="8" s="1"/>
  <c r="AA8" i="8" s="1"/>
  <c r="AA9" i="8" s="1"/>
  <c r="AA10" i="8" s="1"/>
  <c r="AA11" i="8" s="1"/>
  <c r="N50" i="8"/>
  <c r="N74" i="8"/>
  <c r="N82" i="8"/>
  <c r="N98" i="8"/>
  <c r="N99" i="8"/>
  <c r="N26" i="8"/>
  <c r="N29" i="8"/>
  <c r="X29" i="8"/>
  <c r="X35" i="8"/>
  <c r="N35" i="8"/>
  <c r="N43" i="8"/>
  <c r="X10" i="8"/>
  <c r="R59" i="8"/>
  <c r="Q61" i="8"/>
  <c r="Q89" i="8"/>
  <c r="W89" i="8" s="1"/>
  <c r="R116" i="8"/>
  <c r="Q116" i="8"/>
  <c r="W116" i="8" s="1"/>
  <c r="M116" i="8"/>
  <c r="S116" i="8"/>
  <c r="T116" i="8" s="1"/>
  <c r="R136" i="8"/>
  <c r="Q136" i="8"/>
  <c r="M136" i="8"/>
  <c r="S136" i="8"/>
  <c r="T136" i="8" s="1"/>
  <c r="U136" i="8" s="1"/>
  <c r="N17" i="8"/>
  <c r="N18" i="8"/>
  <c r="N30" i="8"/>
  <c r="M40" i="8"/>
  <c r="Q40" i="8"/>
  <c r="W40" i="8" s="1"/>
  <c r="N41" i="8"/>
  <c r="N52" i="8"/>
  <c r="N54" i="8"/>
  <c r="Q60" i="8"/>
  <c r="W60" i="8" s="1"/>
  <c r="M60" i="8"/>
  <c r="R60" i="8"/>
  <c r="M61" i="8"/>
  <c r="S61" i="8"/>
  <c r="T61" i="8" s="1"/>
  <c r="M62" i="8"/>
  <c r="Q62" i="8"/>
  <c r="N68" i="8"/>
  <c r="N70" i="8"/>
  <c r="N73" i="8"/>
  <c r="N87" i="8"/>
  <c r="Q88" i="8"/>
  <c r="M88" i="8"/>
  <c r="R88" i="8"/>
  <c r="M89" i="8"/>
  <c r="S89" i="8"/>
  <c r="T89" i="8" s="1"/>
  <c r="M90" i="8"/>
  <c r="S90" i="8"/>
  <c r="T90" i="8" s="1"/>
  <c r="M91" i="8"/>
  <c r="S91" i="8"/>
  <c r="T91" i="8" s="1"/>
  <c r="M92" i="8"/>
  <c r="Q92" i="8"/>
  <c r="W92" i="8" s="1"/>
  <c r="N100" i="8"/>
  <c r="N101" i="8"/>
  <c r="Q107" i="8"/>
  <c r="W107" i="8" s="1"/>
  <c r="M107" i="8"/>
  <c r="S107" i="8"/>
  <c r="T107" i="8" s="1"/>
  <c r="U107" i="8" s="1"/>
  <c r="B107" i="8" s="1"/>
  <c r="N109" i="8"/>
  <c r="N112" i="8"/>
  <c r="N113" i="8"/>
  <c r="N125" i="8"/>
  <c r="N143" i="8"/>
  <c r="N152" i="8"/>
  <c r="S154" i="8"/>
  <c r="T154" i="8" s="1"/>
  <c r="R154" i="8"/>
  <c r="M154" i="8"/>
  <c r="N159" i="8"/>
  <c r="R162" i="8"/>
  <c r="Q162" i="8"/>
  <c r="W162" i="8" s="1"/>
  <c r="M162" i="8"/>
  <c r="S162" i="8"/>
  <c r="T162" i="8" s="1"/>
  <c r="N171" i="8"/>
  <c r="X6" i="8"/>
  <c r="X30" i="8"/>
  <c r="N75" i="8"/>
  <c r="Q90" i="8"/>
  <c r="W90" i="8" s="1"/>
  <c r="Q91" i="8"/>
  <c r="W91" i="8" s="1"/>
  <c r="N122" i="8"/>
  <c r="N197" i="8"/>
  <c r="N6" i="8"/>
  <c r="N24" i="8"/>
  <c r="Q15" i="8"/>
  <c r="R16" i="8"/>
  <c r="Q65" i="8"/>
  <c r="N80" i="8"/>
  <c r="Q83" i="8"/>
  <c r="W83" i="8" s="1"/>
  <c r="M83" i="8"/>
  <c r="R83" i="8"/>
  <c r="Q85" i="8"/>
  <c r="S88" i="8"/>
  <c r="T88" i="8" s="1"/>
  <c r="R92" i="8"/>
  <c r="N96" i="8"/>
  <c r="N102" i="8"/>
  <c r="N105" i="8"/>
  <c r="T108" i="8"/>
  <c r="S137" i="8"/>
  <c r="T137" i="8" s="1"/>
  <c r="R137" i="8"/>
  <c r="M137" i="8"/>
  <c r="T164" i="8"/>
  <c r="S181" i="8"/>
  <c r="T181" i="8" s="1"/>
  <c r="R181" i="8"/>
  <c r="M181" i="8"/>
  <c r="X34" i="8"/>
  <c r="Q59" i="8"/>
  <c r="W59" i="8" s="1"/>
  <c r="M59" i="8"/>
  <c r="N174" i="8"/>
  <c r="R180" i="8"/>
  <c r="Q180" i="8"/>
  <c r="W180" i="8" s="1"/>
  <c r="M180" i="8"/>
  <c r="S180" i="8"/>
  <c r="T180" i="8" s="1"/>
  <c r="U180" i="8" s="1"/>
  <c r="B180" i="8" s="1"/>
  <c r="AD291" i="8"/>
  <c r="Y300" i="8" s="1"/>
  <c r="M16" i="8"/>
  <c r="Q16" i="8"/>
  <c r="W16" i="8" s="1"/>
  <c r="M15" i="8"/>
  <c r="M39" i="8"/>
  <c r="Q39" i="8"/>
  <c r="R40" i="8"/>
  <c r="S60" i="8"/>
  <c r="T60" i="8" s="1"/>
  <c r="R62" i="8"/>
  <c r="Y290" i="8"/>
  <c r="Y291" i="8" s="1"/>
  <c r="W293" i="8" s="1"/>
  <c r="M12" i="8"/>
  <c r="M13" i="8"/>
  <c r="M14" i="8"/>
  <c r="M36" i="8"/>
  <c r="M37" i="8"/>
  <c r="M38" i="8"/>
  <c r="M42" i="8"/>
  <c r="N44" i="8"/>
  <c r="N63" i="8"/>
  <c r="Q64" i="8"/>
  <c r="M64" i="8"/>
  <c r="R64" i="8"/>
  <c r="M65" i="8"/>
  <c r="S65" i="8"/>
  <c r="T65" i="8" s="1"/>
  <c r="M66" i="8"/>
  <c r="Q66" i="8"/>
  <c r="W66" i="8" s="1"/>
  <c r="N76" i="8"/>
  <c r="S83" i="8"/>
  <c r="T83" i="8" s="1"/>
  <c r="Q84" i="8"/>
  <c r="M84" i="8"/>
  <c r="R84" i="8"/>
  <c r="M85" i="8"/>
  <c r="S85" i="8"/>
  <c r="T85" i="8" s="1"/>
  <c r="U85" i="8" s="1"/>
  <c r="M86" i="8"/>
  <c r="Q86" i="8"/>
  <c r="N103" i="8"/>
  <c r="T106" i="8"/>
  <c r="N117" i="8"/>
  <c r="N121" i="8"/>
  <c r="N147" i="8"/>
  <c r="N166" i="8"/>
  <c r="Q106" i="8"/>
  <c r="W106" i="8" s="1"/>
  <c r="M106" i="8"/>
  <c r="R106" i="8"/>
  <c r="Q108" i="8"/>
  <c r="R111" i="8"/>
  <c r="Q111" i="8"/>
  <c r="M111" i="8"/>
  <c r="S112" i="8"/>
  <c r="T112" i="8" s="1"/>
  <c r="U112" i="8" s="1"/>
  <c r="R112" i="8"/>
  <c r="Q112" i="8"/>
  <c r="N126" i="8"/>
  <c r="R163" i="8"/>
  <c r="Q163" i="8"/>
  <c r="W163" i="8" s="1"/>
  <c r="M163" i="8"/>
  <c r="N129" i="8"/>
  <c r="R132" i="8"/>
  <c r="Q132" i="8"/>
  <c r="M132" i="8"/>
  <c r="S133" i="8"/>
  <c r="T133" i="8" s="1"/>
  <c r="R133" i="8"/>
  <c r="Q133" i="8"/>
  <c r="N148" i="8"/>
  <c r="N151" i="8"/>
  <c r="S155" i="8"/>
  <c r="T155" i="8" s="1"/>
  <c r="U155" i="8" s="1"/>
  <c r="B155" i="8" s="1"/>
  <c r="R155" i="8"/>
  <c r="Q155" i="8"/>
  <c r="W155" i="8" s="1"/>
  <c r="R164" i="8"/>
  <c r="Q164" i="8"/>
  <c r="W164" i="8" s="1"/>
  <c r="M164" i="8"/>
  <c r="N167" i="8"/>
  <c r="N170" i="8"/>
  <c r="N175" i="8"/>
  <c r="R178" i="8"/>
  <c r="Q178" i="8"/>
  <c r="W178" i="8" s="1"/>
  <c r="M178" i="8"/>
  <c r="N190" i="8"/>
  <c r="R115" i="8"/>
  <c r="Q115" i="8"/>
  <c r="W115" i="8" s="1"/>
  <c r="M115" i="8"/>
  <c r="N118" i="8"/>
  <c r="M133" i="8"/>
  <c r="N144" i="8"/>
  <c r="M155" i="8"/>
  <c r="R158" i="8"/>
  <c r="Q158" i="8"/>
  <c r="M158" i="8"/>
  <c r="S159" i="8"/>
  <c r="T159" i="8" s="1"/>
  <c r="U159" i="8" s="1"/>
  <c r="R159" i="8"/>
  <c r="Q159" i="8"/>
  <c r="N160" i="8"/>
  <c r="R165" i="8"/>
  <c r="Q165" i="8"/>
  <c r="W165" i="8" s="1"/>
  <c r="M165" i="8"/>
  <c r="R179" i="8"/>
  <c r="Q179" i="8"/>
  <c r="W179" i="8" s="1"/>
  <c r="M179" i="8"/>
  <c r="N198" i="8"/>
  <c r="N186" i="8"/>
  <c r="N213" i="8"/>
  <c r="N217" i="8"/>
  <c r="N239" i="8"/>
  <c r="S183" i="8"/>
  <c r="T183" i="8" s="1"/>
  <c r="U183" i="8" s="1"/>
  <c r="Q183" i="8"/>
  <c r="N193" i="8"/>
  <c r="N194" i="8"/>
  <c r="N201" i="8"/>
  <c r="N202" i="8"/>
  <c r="N207" i="8"/>
  <c r="N221" i="8"/>
  <c r="N226" i="8"/>
  <c r="M157" i="8"/>
  <c r="M161" i="8"/>
  <c r="M183" i="8"/>
  <c r="R183" i="8"/>
  <c r="Q185" i="8"/>
  <c r="W185" i="8" s="1"/>
  <c r="M185" i="8"/>
  <c r="S185" i="8"/>
  <c r="T185" i="8" s="1"/>
  <c r="U185" i="8" s="1"/>
  <c r="B185" i="8" s="1"/>
  <c r="R185" i="8"/>
  <c r="N187" i="8"/>
  <c r="S206" i="8"/>
  <c r="T206" i="8" s="1"/>
  <c r="R206" i="8"/>
  <c r="Q206" i="8"/>
  <c r="M206" i="8"/>
  <c r="N247" i="8"/>
  <c r="S255" i="8"/>
  <c r="T255" i="8" s="1"/>
  <c r="R255" i="8"/>
  <c r="M255" i="8"/>
  <c r="Q255" i="8"/>
  <c r="W255" i="8" s="1"/>
  <c r="S203" i="8"/>
  <c r="T203" i="8" s="1"/>
  <c r="S204" i="8"/>
  <c r="T204" i="8" s="1"/>
  <c r="S208" i="8"/>
  <c r="T208" i="8" s="1"/>
  <c r="N222" i="8"/>
  <c r="N235" i="8"/>
  <c r="N251" i="8"/>
  <c r="N261" i="8"/>
  <c r="N269" i="8"/>
  <c r="N277" i="8"/>
  <c r="N279" i="8"/>
  <c r="N286" i="8"/>
  <c r="N218" i="8"/>
  <c r="N225" i="8"/>
  <c r="R230" i="8"/>
  <c r="Q230" i="8"/>
  <c r="M230" i="8"/>
  <c r="S231" i="8"/>
  <c r="T231" i="8" s="1"/>
  <c r="U231" i="8" s="1"/>
  <c r="R231" i="8"/>
  <c r="Q231" i="8"/>
  <c r="N238" i="8"/>
  <c r="N243" i="8"/>
  <c r="N248" i="8"/>
  <c r="R254" i="8"/>
  <c r="Q254" i="8"/>
  <c r="W254" i="8" s="1"/>
  <c r="M254" i="8"/>
  <c r="S254" i="8"/>
  <c r="T254" i="8" s="1"/>
  <c r="U254" i="8" s="1"/>
  <c r="B254" i="8" s="1"/>
  <c r="N191" i="8"/>
  <c r="N195" i="8"/>
  <c r="N199" i="8"/>
  <c r="M203" i="8"/>
  <c r="M204" i="8"/>
  <c r="M208" i="8"/>
  <c r="N211" i="8"/>
  <c r="N212" i="8"/>
  <c r="M231" i="8"/>
  <c r="N249" i="8"/>
  <c r="N258" i="8"/>
  <c r="N266" i="8"/>
  <c r="N274" i="8"/>
  <c r="S276" i="8"/>
  <c r="T276" i="8" s="1"/>
  <c r="R276" i="8"/>
  <c r="Q276" i="8"/>
  <c r="W276" i="8" s="1"/>
  <c r="S278" i="8"/>
  <c r="T278" i="8" s="1"/>
  <c r="R278" i="8"/>
  <c r="Q278" i="8"/>
  <c r="W278" i="8" s="1"/>
  <c r="N283" i="8"/>
  <c r="N245" i="8"/>
  <c r="M276" i="8"/>
  <c r="M278" i="8"/>
  <c r="R281" i="8"/>
  <c r="Q281" i="8"/>
  <c r="W281" i="8" s="1"/>
  <c r="M281" i="8"/>
  <c r="N244" i="8"/>
  <c r="N262" i="8"/>
  <c r="N265" i="8"/>
  <c r="N270" i="8"/>
  <c r="N273" i="8"/>
  <c r="S277" i="8"/>
  <c r="T277" i="8" s="1"/>
  <c r="R277" i="8"/>
  <c r="Q277" i="8"/>
  <c r="W277" i="8" s="1"/>
  <c r="N282" i="8"/>
  <c r="N287" i="8"/>
  <c r="M252" i="8"/>
  <c r="M253" i="8"/>
  <c r="M257" i="8"/>
  <c r="M280" i="8"/>
  <c r="F1" i="7"/>
  <c r="K1" i="7"/>
  <c r="C1" i="7"/>
  <c r="V7" i="14" l="1"/>
  <c r="C8" i="14" s="1"/>
  <c r="D8" i="14" s="1"/>
  <c r="V8" i="13"/>
  <c r="C9" i="13" s="1"/>
  <c r="D9" i="13" s="1"/>
  <c r="V5" i="12"/>
  <c r="C6" i="12" s="1"/>
  <c r="D6" i="12" s="1"/>
  <c r="X299" i="12"/>
  <c r="X298" i="12"/>
  <c r="X301" i="12"/>
  <c r="X297" i="12"/>
  <c r="X300" i="12"/>
  <c r="V5" i="11"/>
  <c r="C6" i="11" s="1"/>
  <c r="D6" i="11" s="1"/>
  <c r="X299" i="11"/>
  <c r="X300" i="11"/>
  <c r="X301" i="11"/>
  <c r="X298" i="11"/>
  <c r="X297" i="11"/>
  <c r="X299" i="10"/>
  <c r="X300" i="10"/>
  <c r="X301" i="10"/>
  <c r="X297" i="10"/>
  <c r="X298" i="10"/>
  <c r="V5" i="10"/>
  <c r="C6" i="10" s="1"/>
  <c r="D6" i="10" s="1"/>
  <c r="B85" i="8"/>
  <c r="B231" i="8"/>
  <c r="B112" i="8"/>
  <c r="B134" i="9"/>
  <c r="B111" i="8"/>
  <c r="B64" i="8"/>
  <c r="B159" i="8"/>
  <c r="B136" i="8"/>
  <c r="B62" i="8"/>
  <c r="B84" i="8"/>
  <c r="B86" i="8"/>
  <c r="B132" i="8"/>
  <c r="B183" i="8"/>
  <c r="B158" i="8"/>
  <c r="B230" i="8"/>
  <c r="Y297" i="9"/>
  <c r="B14" i="9"/>
  <c r="Y301" i="9"/>
  <c r="U184" i="9"/>
  <c r="B184" i="9" s="1"/>
  <c r="U165" i="9"/>
  <c r="B165" i="9" s="1"/>
  <c r="U210" i="9"/>
  <c r="B210" i="9" s="1"/>
  <c r="U186" i="9"/>
  <c r="B186" i="9" s="1"/>
  <c r="U113" i="9"/>
  <c r="B113" i="9" s="1"/>
  <c r="U89" i="9"/>
  <c r="B89" i="9" s="1"/>
  <c r="U111" i="9"/>
  <c r="B111" i="9" s="1"/>
  <c r="U109" i="9"/>
  <c r="B109" i="9" s="1"/>
  <c r="U206" i="9"/>
  <c r="B206" i="9" s="1"/>
  <c r="U137" i="9"/>
  <c r="B137" i="9" s="1"/>
  <c r="U92" i="9"/>
  <c r="B92" i="9" s="1"/>
  <c r="U88" i="9"/>
  <c r="B88" i="9" s="1"/>
  <c r="U15" i="9"/>
  <c r="B15" i="9" s="1"/>
  <c r="U183" i="9"/>
  <c r="B183" i="9" s="1"/>
  <c r="U234" i="9"/>
  <c r="B234" i="9" s="1"/>
  <c r="U154" i="9"/>
  <c r="B154" i="9" s="1"/>
  <c r="U276" i="9"/>
  <c r="B276" i="9" s="1"/>
  <c r="U231" i="9"/>
  <c r="B231" i="9" s="1"/>
  <c r="U211" i="9"/>
  <c r="B211" i="9" s="1"/>
  <c r="U188" i="9"/>
  <c r="B188" i="9" s="1"/>
  <c r="U182" i="9"/>
  <c r="B182" i="9" s="1"/>
  <c r="U164" i="9"/>
  <c r="B164" i="9" s="1"/>
  <c r="U132" i="9"/>
  <c r="B132" i="9" s="1"/>
  <c r="U85" i="9"/>
  <c r="B85" i="9" s="1"/>
  <c r="U87" i="9"/>
  <c r="B87" i="9" s="1"/>
  <c r="U61" i="9"/>
  <c r="B61" i="9" s="1"/>
  <c r="U133" i="9"/>
  <c r="B133" i="9" s="1"/>
  <c r="U12" i="9"/>
  <c r="B12" i="9" s="1"/>
  <c r="U185" i="9"/>
  <c r="B185" i="9" s="1"/>
  <c r="U84" i="9"/>
  <c r="B84" i="9" s="1"/>
  <c r="U83" i="9"/>
  <c r="B83" i="9" s="1"/>
  <c r="U277" i="9"/>
  <c r="B277" i="9" s="1"/>
  <c r="U179" i="9"/>
  <c r="B179" i="9" s="1"/>
  <c r="U162" i="9"/>
  <c r="B162" i="9" s="1"/>
  <c r="U209" i="9"/>
  <c r="B209" i="9" s="1"/>
  <c r="U115" i="9"/>
  <c r="B115" i="9" s="1"/>
  <c r="U91" i="9"/>
  <c r="B91" i="9" s="1"/>
  <c r="U67" i="9"/>
  <c r="B67" i="9" s="1"/>
  <c r="U63" i="9"/>
  <c r="B63" i="9" s="1"/>
  <c r="U157" i="9"/>
  <c r="B157" i="9" s="1"/>
  <c r="U114" i="9"/>
  <c r="B114" i="9" s="1"/>
  <c r="U42" i="9"/>
  <c r="B42" i="9" s="1"/>
  <c r="U257" i="9"/>
  <c r="B257" i="9" s="1"/>
  <c r="U181" i="9"/>
  <c r="B181" i="9" s="1"/>
  <c r="U227" i="9"/>
  <c r="B227" i="9" s="1"/>
  <c r="U207" i="9"/>
  <c r="B207" i="9" s="1"/>
  <c r="U189" i="9"/>
  <c r="B189" i="9" s="1"/>
  <c r="U187" i="9"/>
  <c r="B187" i="9" s="1"/>
  <c r="U178" i="9"/>
  <c r="B178" i="9" s="1"/>
  <c r="U90" i="9"/>
  <c r="B90" i="9" s="1"/>
  <c r="U116" i="9"/>
  <c r="B116" i="9" s="1"/>
  <c r="U41" i="9"/>
  <c r="B41" i="9" s="1"/>
  <c r="U281" i="9"/>
  <c r="B281" i="9" s="1"/>
  <c r="U138" i="9"/>
  <c r="B138" i="9" s="1"/>
  <c r="U110" i="9"/>
  <c r="B110" i="9" s="1"/>
  <c r="U59" i="9"/>
  <c r="B59" i="9" s="1"/>
  <c r="U163" i="9"/>
  <c r="B163" i="9" s="1"/>
  <c r="U36" i="9"/>
  <c r="B36" i="9" s="1"/>
  <c r="U64" i="9"/>
  <c r="B64" i="9" s="1"/>
  <c r="B15" i="8"/>
  <c r="W15" i="8"/>
  <c r="Y297" i="8"/>
  <c r="W39" i="8"/>
  <c r="U278" i="8"/>
  <c r="B278" i="8" s="1"/>
  <c r="U206" i="8"/>
  <c r="B206" i="8" s="1"/>
  <c r="U205" i="8"/>
  <c r="B205" i="8" s="1"/>
  <c r="U157" i="8"/>
  <c r="B157" i="8" s="1"/>
  <c r="U110" i="8"/>
  <c r="B110" i="8" s="1"/>
  <c r="U186" i="8"/>
  <c r="B186" i="8" s="1"/>
  <c r="U135" i="8"/>
  <c r="B135" i="8" s="1"/>
  <c r="U42" i="8"/>
  <c r="B42" i="8" s="1"/>
  <c r="U207" i="8"/>
  <c r="B207" i="8" s="1"/>
  <c r="U229" i="8"/>
  <c r="B229" i="8" s="1"/>
  <c r="U87" i="8"/>
  <c r="B87" i="8" s="1"/>
  <c r="U277" i="8"/>
  <c r="B277" i="8" s="1"/>
  <c r="U208" i="8"/>
  <c r="B208" i="8" s="1"/>
  <c r="U106" i="8"/>
  <c r="B106" i="8" s="1"/>
  <c r="U181" i="8"/>
  <c r="B181" i="8" s="1"/>
  <c r="U137" i="8"/>
  <c r="B137" i="8" s="1"/>
  <c r="U154" i="8"/>
  <c r="B154" i="8" s="1"/>
  <c r="U90" i="8"/>
  <c r="B90" i="8" s="1"/>
  <c r="U233" i="8"/>
  <c r="B233" i="8" s="1"/>
  <c r="U18" i="8"/>
  <c r="B18" i="8" s="1"/>
  <c r="U189" i="8"/>
  <c r="B189" i="8" s="1"/>
  <c r="U179" i="8"/>
  <c r="B179" i="8" s="1"/>
  <c r="U114" i="8"/>
  <c r="B114" i="8" s="1"/>
  <c r="U115" i="8"/>
  <c r="B115" i="8" s="1"/>
  <c r="U59" i="8"/>
  <c r="B59" i="8" s="1"/>
  <c r="U161" i="8"/>
  <c r="B161" i="8" s="1"/>
  <c r="U204" i="8"/>
  <c r="B204" i="8" s="1"/>
  <c r="U133" i="8"/>
  <c r="B133" i="8" s="1"/>
  <c r="U83" i="8"/>
  <c r="B83" i="8" s="1"/>
  <c r="U65" i="8"/>
  <c r="B65" i="8" s="1"/>
  <c r="U60" i="8"/>
  <c r="B60" i="8" s="1"/>
  <c r="U164" i="8"/>
  <c r="B164" i="8" s="1"/>
  <c r="U108" i="8"/>
  <c r="B108" i="8" s="1"/>
  <c r="U162" i="8"/>
  <c r="B162" i="8" s="1"/>
  <c r="U61" i="8"/>
  <c r="B61" i="8" s="1"/>
  <c r="U209" i="8"/>
  <c r="B209" i="8" s="1"/>
  <c r="U182" i="8"/>
  <c r="B182" i="8" s="1"/>
  <c r="U156" i="8"/>
  <c r="B156" i="8" s="1"/>
  <c r="U41" i="8"/>
  <c r="B41" i="8" s="1"/>
  <c r="U16" i="8"/>
  <c r="B16" i="8" s="1"/>
  <c r="U280" i="8"/>
  <c r="B280" i="8" s="1"/>
  <c r="U253" i="8"/>
  <c r="B253" i="8" s="1"/>
  <c r="U188" i="8"/>
  <c r="B188" i="8" s="1"/>
  <c r="U178" i="8"/>
  <c r="B178" i="8" s="1"/>
  <c r="U113" i="8"/>
  <c r="B113" i="8" s="1"/>
  <c r="U17" i="8"/>
  <c r="B17" i="8" s="1"/>
  <c r="U252" i="8"/>
  <c r="B252" i="8" s="1"/>
  <c r="U138" i="8"/>
  <c r="B138" i="8" s="1"/>
  <c r="U276" i="8"/>
  <c r="B276" i="8" s="1"/>
  <c r="U203" i="8"/>
  <c r="B203" i="8" s="1"/>
  <c r="U255" i="8"/>
  <c r="B255" i="8" s="1"/>
  <c r="U88" i="8"/>
  <c r="B88" i="8" s="1"/>
  <c r="U91" i="8"/>
  <c r="B91" i="8" s="1"/>
  <c r="U89" i="8"/>
  <c r="B89" i="8" s="1"/>
  <c r="U116" i="8"/>
  <c r="B116" i="8" s="1"/>
  <c r="U163" i="8"/>
  <c r="B163" i="8" s="1"/>
  <c r="U38" i="8"/>
  <c r="B38" i="8" s="1"/>
  <c r="U13" i="8"/>
  <c r="B13" i="8" s="1"/>
  <c r="U187" i="8"/>
  <c r="B187" i="8" s="1"/>
  <c r="U165" i="8"/>
  <c r="B165" i="8" s="1"/>
  <c r="U63" i="8"/>
  <c r="B63" i="8" s="1"/>
  <c r="U281" i="8"/>
  <c r="B281" i="8" s="1"/>
  <c r="U131" i="8"/>
  <c r="B131" i="8" s="1"/>
  <c r="Y301" i="8"/>
  <c r="N257" i="9"/>
  <c r="N278" i="9"/>
  <c r="N156" i="9"/>
  <c r="N139" i="9"/>
  <c r="N164" i="9"/>
  <c r="N90" i="9"/>
  <c r="N109" i="9"/>
  <c r="N252" i="9"/>
  <c r="N233" i="9"/>
  <c r="N254" i="9"/>
  <c r="N207" i="9"/>
  <c r="N184" i="9"/>
  <c r="N189" i="9"/>
  <c r="N179" i="9"/>
  <c r="N165" i="9"/>
  <c r="N163" i="9"/>
  <c r="N160" i="9"/>
  <c r="N140" i="9"/>
  <c r="N138" i="9"/>
  <c r="N211" i="9"/>
  <c r="N205" i="9"/>
  <c r="N178" i="9"/>
  <c r="N85" i="9"/>
  <c r="N180" i="9"/>
  <c r="N113" i="9"/>
  <c r="N116" i="9"/>
  <c r="AA3" i="9"/>
  <c r="AA4" i="9" s="1"/>
  <c r="AA5" i="9" s="1"/>
  <c r="AA6" i="9" s="1"/>
  <c r="AA7" i="9" s="1"/>
  <c r="AA8" i="9" s="1"/>
  <c r="AA9" i="9" s="1"/>
  <c r="AA10" i="9" s="1"/>
  <c r="AA11" i="9" s="1"/>
  <c r="AA12" i="9" s="1"/>
  <c r="AA13" i="9" s="1"/>
  <c r="AA14" i="9" s="1"/>
  <c r="AA15" i="9" s="1"/>
  <c r="AA16" i="9" s="1"/>
  <c r="AA17" i="9" s="1"/>
  <c r="AA18" i="9" s="1"/>
  <c r="AA19" i="9" s="1"/>
  <c r="AA20" i="9" s="1"/>
  <c r="AA21" i="9" s="1"/>
  <c r="AA22" i="9" s="1"/>
  <c r="AA23" i="9" s="1"/>
  <c r="AA24" i="9" s="1"/>
  <c r="AA25" i="9" s="1"/>
  <c r="AA26" i="9" s="1"/>
  <c r="AA27" i="9" s="1"/>
  <c r="AA28" i="9" s="1"/>
  <c r="AA29" i="9" s="1"/>
  <c r="AA30" i="9" s="1"/>
  <c r="AA31" i="9" s="1"/>
  <c r="AA32" i="9" s="1"/>
  <c r="AA33" i="9" s="1"/>
  <c r="AA34" i="9" s="1"/>
  <c r="AA35" i="9" s="1"/>
  <c r="AA36" i="9" s="1"/>
  <c r="AA37" i="9" s="1"/>
  <c r="AA38" i="9" s="1"/>
  <c r="AA39" i="9" s="1"/>
  <c r="AA40" i="9" s="1"/>
  <c r="AA41" i="9" s="1"/>
  <c r="AA42" i="9" s="1"/>
  <c r="AA43" i="9" s="1"/>
  <c r="AA44" i="9" s="1"/>
  <c r="AA45" i="9" s="1"/>
  <c r="AA46" i="9" s="1"/>
  <c r="AA47" i="9" s="1"/>
  <c r="AA48" i="9" s="1"/>
  <c r="AA49" i="9" s="1"/>
  <c r="AA50" i="9" s="1"/>
  <c r="AA51" i="9" s="1"/>
  <c r="AA52" i="9" s="1"/>
  <c r="AA53" i="9" s="1"/>
  <c r="AA54" i="9" s="1"/>
  <c r="AA55" i="9" s="1"/>
  <c r="AA56" i="9" s="1"/>
  <c r="AA57" i="9" s="1"/>
  <c r="AA58" i="9" s="1"/>
  <c r="AA59" i="9" s="1"/>
  <c r="AA60" i="9" s="1"/>
  <c r="AA61" i="9" s="1"/>
  <c r="AA62" i="9" s="1"/>
  <c r="AA63" i="9" s="1"/>
  <c r="AA64" i="9" s="1"/>
  <c r="AA65" i="9" s="1"/>
  <c r="AA66" i="9" s="1"/>
  <c r="AA67" i="9" s="1"/>
  <c r="AA68" i="9" s="1"/>
  <c r="AA69" i="9" s="1"/>
  <c r="AA70" i="9" s="1"/>
  <c r="AA71" i="9" s="1"/>
  <c r="AA72" i="9" s="1"/>
  <c r="AA73" i="9" s="1"/>
  <c r="AA74" i="9" s="1"/>
  <c r="AA75" i="9" s="1"/>
  <c r="AA76" i="9" s="1"/>
  <c r="AA77" i="9" s="1"/>
  <c r="AA78" i="9" s="1"/>
  <c r="AA79" i="9" s="1"/>
  <c r="AA80" i="9" s="1"/>
  <c r="AA81" i="9" s="1"/>
  <c r="AA82" i="9" s="1"/>
  <c r="AA83" i="9" s="1"/>
  <c r="AA84" i="9" s="1"/>
  <c r="AA85" i="9" s="1"/>
  <c r="AA86" i="9" s="1"/>
  <c r="AA87" i="9" s="1"/>
  <c r="AA88" i="9" s="1"/>
  <c r="AA89" i="9" s="1"/>
  <c r="AA90" i="9" s="1"/>
  <c r="AA91" i="9" s="1"/>
  <c r="AA92" i="9" s="1"/>
  <c r="AA93" i="9" s="1"/>
  <c r="AA94" i="9" s="1"/>
  <c r="AA95" i="9" s="1"/>
  <c r="AA96" i="9" s="1"/>
  <c r="AA97" i="9" s="1"/>
  <c r="AA98" i="9" s="1"/>
  <c r="AA99" i="9" s="1"/>
  <c r="AA100" i="9" s="1"/>
  <c r="AA101" i="9" s="1"/>
  <c r="AA102" i="9" s="1"/>
  <c r="AA103" i="9" s="1"/>
  <c r="AA104" i="9" s="1"/>
  <c r="AA105" i="9" s="1"/>
  <c r="AA106" i="9" s="1"/>
  <c r="AA107" i="9" s="1"/>
  <c r="AA108" i="9" s="1"/>
  <c r="AA109" i="9" s="1"/>
  <c r="AA110" i="9" s="1"/>
  <c r="AA111" i="9" s="1"/>
  <c r="AA112" i="9" s="1"/>
  <c r="AA113" i="9" s="1"/>
  <c r="AA114" i="9" s="1"/>
  <c r="AA115" i="9" s="1"/>
  <c r="AA116" i="9" s="1"/>
  <c r="AA117" i="9" s="1"/>
  <c r="AA118" i="9" s="1"/>
  <c r="AA119" i="9" s="1"/>
  <c r="AA120" i="9" s="1"/>
  <c r="AA121" i="9" s="1"/>
  <c r="AA122" i="9" s="1"/>
  <c r="AA123" i="9" s="1"/>
  <c r="AA124" i="9" s="1"/>
  <c r="AA125" i="9" s="1"/>
  <c r="AA126" i="9" s="1"/>
  <c r="AA127" i="9" s="1"/>
  <c r="AA128" i="9" s="1"/>
  <c r="AA129" i="9" s="1"/>
  <c r="AA130" i="9" s="1"/>
  <c r="AA131" i="9" s="1"/>
  <c r="AA132" i="9" s="1"/>
  <c r="AA133" i="9" s="1"/>
  <c r="AA134" i="9" s="1"/>
  <c r="AA135" i="9" s="1"/>
  <c r="AA136" i="9" s="1"/>
  <c r="AA137" i="9" s="1"/>
  <c r="AA138" i="9" s="1"/>
  <c r="AA139" i="9" s="1"/>
  <c r="AA140" i="9" s="1"/>
  <c r="AA141" i="9" s="1"/>
  <c r="AA142" i="9" s="1"/>
  <c r="AA143" i="9" s="1"/>
  <c r="AA144" i="9" s="1"/>
  <c r="AA145" i="9" s="1"/>
  <c r="AA146" i="9" s="1"/>
  <c r="AA147" i="9" s="1"/>
  <c r="AA148" i="9" s="1"/>
  <c r="AA149" i="9" s="1"/>
  <c r="AA150" i="9" s="1"/>
  <c r="AA151" i="9" s="1"/>
  <c r="AA152" i="9" s="1"/>
  <c r="AA153" i="9" s="1"/>
  <c r="AA154" i="9" s="1"/>
  <c r="AA155" i="9" s="1"/>
  <c r="AA156" i="9" s="1"/>
  <c r="AA157" i="9" s="1"/>
  <c r="AA158" i="9" s="1"/>
  <c r="AA159" i="9" s="1"/>
  <c r="AA160" i="9" s="1"/>
  <c r="AA161" i="9" s="1"/>
  <c r="AA162" i="9" s="1"/>
  <c r="AA163" i="9" s="1"/>
  <c r="AA164" i="9" s="1"/>
  <c r="AA165" i="9" s="1"/>
  <c r="AA166" i="9" s="1"/>
  <c r="AA167" i="9" s="1"/>
  <c r="AA168" i="9" s="1"/>
  <c r="AA169" i="9" s="1"/>
  <c r="AA170" i="9" s="1"/>
  <c r="AA171" i="9" s="1"/>
  <c r="AA172" i="9" s="1"/>
  <c r="AA173" i="9" s="1"/>
  <c r="AA174" i="9" s="1"/>
  <c r="AA175" i="9" s="1"/>
  <c r="AA176" i="9" s="1"/>
  <c r="AA177" i="9" s="1"/>
  <c r="AA178" i="9" s="1"/>
  <c r="AA179" i="9" s="1"/>
  <c r="AA180" i="9" s="1"/>
  <c r="AA181" i="9" s="1"/>
  <c r="AA182" i="9" s="1"/>
  <c r="AA183" i="9" s="1"/>
  <c r="AA184" i="9" s="1"/>
  <c r="AA185" i="9" s="1"/>
  <c r="AA186" i="9" s="1"/>
  <c r="AA187" i="9" s="1"/>
  <c r="AA188" i="9" s="1"/>
  <c r="AA189" i="9" s="1"/>
  <c r="AA190" i="9" s="1"/>
  <c r="AA191" i="9" s="1"/>
  <c r="AA192" i="9" s="1"/>
  <c r="AA193" i="9" s="1"/>
  <c r="AA194" i="9" s="1"/>
  <c r="AA195" i="9" s="1"/>
  <c r="AA196" i="9" s="1"/>
  <c r="AA197" i="9" s="1"/>
  <c r="AA198" i="9" s="1"/>
  <c r="AA199" i="9" s="1"/>
  <c r="AA200" i="9" s="1"/>
  <c r="AA201" i="9" s="1"/>
  <c r="AA202" i="9" s="1"/>
  <c r="AA203" i="9" s="1"/>
  <c r="AA204" i="9" s="1"/>
  <c r="AA205" i="9" s="1"/>
  <c r="AA206" i="9" s="1"/>
  <c r="AA207" i="9" s="1"/>
  <c r="AA208" i="9" s="1"/>
  <c r="AA209" i="9" s="1"/>
  <c r="AA210" i="9" s="1"/>
  <c r="AA211" i="9" s="1"/>
  <c r="AA212" i="9" s="1"/>
  <c r="AA213" i="9" s="1"/>
  <c r="AA214" i="9" s="1"/>
  <c r="AA215" i="9" s="1"/>
  <c r="AA216" i="9" s="1"/>
  <c r="AA217" i="9" s="1"/>
  <c r="AA218" i="9" s="1"/>
  <c r="AA219" i="9" s="1"/>
  <c r="AA220" i="9" s="1"/>
  <c r="AA221" i="9" s="1"/>
  <c r="AA222" i="9" s="1"/>
  <c r="AA223" i="9" s="1"/>
  <c r="AA224" i="9" s="1"/>
  <c r="AA225" i="9" s="1"/>
  <c r="AA226" i="9" s="1"/>
  <c r="AA227" i="9" s="1"/>
  <c r="AA228" i="9" s="1"/>
  <c r="AA229" i="9" s="1"/>
  <c r="AA230" i="9" s="1"/>
  <c r="AA231" i="9" s="1"/>
  <c r="AA232" i="9" s="1"/>
  <c r="AA233" i="9" s="1"/>
  <c r="AA234" i="9" s="1"/>
  <c r="AA235" i="9" s="1"/>
  <c r="AA236" i="9" s="1"/>
  <c r="AA237" i="9" s="1"/>
  <c r="AA238" i="9" s="1"/>
  <c r="AA239" i="9" s="1"/>
  <c r="AA240" i="9" s="1"/>
  <c r="AA241" i="9" s="1"/>
  <c r="AA242" i="9" s="1"/>
  <c r="AA243" i="9" s="1"/>
  <c r="AA244" i="9" s="1"/>
  <c r="AA245" i="9" s="1"/>
  <c r="AA246" i="9" s="1"/>
  <c r="AA247" i="9" s="1"/>
  <c r="AA248" i="9" s="1"/>
  <c r="AA249" i="9" s="1"/>
  <c r="AA250" i="9" s="1"/>
  <c r="AA251" i="9" s="1"/>
  <c r="AA252" i="9" s="1"/>
  <c r="AA253" i="9" s="1"/>
  <c r="AA254" i="9" s="1"/>
  <c r="AA255" i="9" s="1"/>
  <c r="AA256" i="9" s="1"/>
  <c r="AA257" i="9" s="1"/>
  <c r="AA258" i="9" s="1"/>
  <c r="AA259" i="9" s="1"/>
  <c r="AA260" i="9" s="1"/>
  <c r="AA261" i="9" s="1"/>
  <c r="AA262" i="9" s="1"/>
  <c r="AA263" i="9" s="1"/>
  <c r="AA264" i="9" s="1"/>
  <c r="AA265" i="9" s="1"/>
  <c r="AA266" i="9" s="1"/>
  <c r="AA267" i="9" s="1"/>
  <c r="AA268" i="9" s="1"/>
  <c r="AA269" i="9" s="1"/>
  <c r="AA270" i="9" s="1"/>
  <c r="AA271" i="9" s="1"/>
  <c r="AA272" i="9" s="1"/>
  <c r="AA273" i="9" s="1"/>
  <c r="AA274" i="9" s="1"/>
  <c r="AA275" i="9" s="1"/>
  <c r="AA276" i="9" s="1"/>
  <c r="AA277" i="9" s="1"/>
  <c r="AA278" i="9" s="1"/>
  <c r="AA279" i="9" s="1"/>
  <c r="AA280" i="9" s="1"/>
  <c r="AA281" i="9" s="1"/>
  <c r="AA282" i="9" s="1"/>
  <c r="AA283" i="9" s="1"/>
  <c r="AA284" i="9" s="1"/>
  <c r="AA285" i="9" s="1"/>
  <c r="AA286" i="9" s="1"/>
  <c r="AA287" i="9" s="1"/>
  <c r="AA288" i="9" s="1"/>
  <c r="AA289" i="9" s="1"/>
  <c r="C3" i="9"/>
  <c r="D3" i="9" s="1"/>
  <c r="V3" i="9" s="1"/>
  <c r="N134" i="9"/>
  <c r="N188" i="9"/>
  <c r="N65" i="9"/>
  <c r="W290" i="9"/>
  <c r="N280" i="9"/>
  <c r="N229" i="9"/>
  <c r="N210" i="9"/>
  <c r="N91" i="9"/>
  <c r="N158" i="9"/>
  <c r="N115" i="9"/>
  <c r="Y299" i="9"/>
  <c r="Y298" i="9"/>
  <c r="N136" i="9"/>
  <c r="X290" i="9"/>
  <c r="N67" i="9"/>
  <c r="N13" i="9"/>
  <c r="N182" i="9"/>
  <c r="N209" i="9"/>
  <c r="N87" i="9"/>
  <c r="N63" i="9"/>
  <c r="N41" i="9"/>
  <c r="N253" i="9"/>
  <c r="N281" i="9"/>
  <c r="N276" i="9"/>
  <c r="N234" i="9"/>
  <c r="N277" i="9"/>
  <c r="N230" i="9"/>
  <c r="N187" i="9"/>
  <c r="N162" i="9"/>
  <c r="N89" i="9"/>
  <c r="N186" i="9"/>
  <c r="N132" i="9"/>
  <c r="N111" i="9"/>
  <c r="N61" i="9"/>
  <c r="N14" i="9"/>
  <c r="N12" i="9"/>
  <c r="N165" i="8"/>
  <c r="N88" i="8"/>
  <c r="N163" i="8"/>
  <c r="N65" i="8"/>
  <c r="N37" i="8"/>
  <c r="AA12" i="8"/>
  <c r="AA13" i="8" s="1"/>
  <c r="AA14" i="8" s="1"/>
  <c r="AA15" i="8" s="1"/>
  <c r="AA16" i="8" s="1"/>
  <c r="AA17" i="8" s="1"/>
  <c r="AA18" i="8" s="1"/>
  <c r="AA19" i="8" s="1"/>
  <c r="AA20" i="8" s="1"/>
  <c r="AA21" i="8" s="1"/>
  <c r="AA22" i="8" s="1"/>
  <c r="AA23" i="8" s="1"/>
  <c r="AA24" i="8" s="1"/>
  <c r="AA25" i="8" s="1"/>
  <c r="AA26" i="8" s="1"/>
  <c r="AA27" i="8" s="1"/>
  <c r="AA28" i="8" s="1"/>
  <c r="AA29" i="8" s="1"/>
  <c r="AA30" i="8" s="1"/>
  <c r="AA31" i="8" s="1"/>
  <c r="AA32" i="8" s="1"/>
  <c r="AA33" i="8" s="1"/>
  <c r="AA34" i="8" s="1"/>
  <c r="AA35" i="8" s="1"/>
  <c r="AA36" i="8" s="1"/>
  <c r="AA37" i="8" s="1"/>
  <c r="AA38" i="8" s="1"/>
  <c r="AA39" i="8" s="1"/>
  <c r="AA40" i="8" s="1"/>
  <c r="AA41" i="8" s="1"/>
  <c r="AA42" i="8" s="1"/>
  <c r="AA43" i="8" s="1"/>
  <c r="AA44" i="8" s="1"/>
  <c r="AA45" i="8" s="1"/>
  <c r="AA46" i="8" s="1"/>
  <c r="AA47" i="8" s="1"/>
  <c r="AA48" i="8" s="1"/>
  <c r="AA49" i="8" s="1"/>
  <c r="AA50" i="8" s="1"/>
  <c r="AA51" i="8" s="1"/>
  <c r="AA52" i="8" s="1"/>
  <c r="AA53" i="8" s="1"/>
  <c r="AA54" i="8" s="1"/>
  <c r="AA55" i="8" s="1"/>
  <c r="AA56" i="8" s="1"/>
  <c r="AA57" i="8" s="1"/>
  <c r="AA58" i="8" s="1"/>
  <c r="AA59" i="8" s="1"/>
  <c r="AA60" i="8" s="1"/>
  <c r="AA61" i="8" s="1"/>
  <c r="AA62" i="8" s="1"/>
  <c r="AA63" i="8" s="1"/>
  <c r="AA64" i="8" s="1"/>
  <c r="AA65" i="8" s="1"/>
  <c r="AA66" i="8" s="1"/>
  <c r="AA67" i="8" s="1"/>
  <c r="AA68" i="8" s="1"/>
  <c r="AA69" i="8" s="1"/>
  <c r="AA70" i="8" s="1"/>
  <c r="AA71" i="8" s="1"/>
  <c r="AA72" i="8" s="1"/>
  <c r="AA73" i="8" s="1"/>
  <c r="AA74" i="8" s="1"/>
  <c r="AA75" i="8" s="1"/>
  <c r="AA76" i="8" s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AA96" i="8" s="1"/>
  <c r="AA97" i="8" s="1"/>
  <c r="AA98" i="8" s="1"/>
  <c r="AA99" i="8" s="1"/>
  <c r="AA100" i="8" s="1"/>
  <c r="AA101" i="8" s="1"/>
  <c r="AA102" i="8" s="1"/>
  <c r="AA103" i="8" s="1"/>
  <c r="AA104" i="8" s="1"/>
  <c r="AA105" i="8" s="1"/>
  <c r="AA106" i="8" s="1"/>
  <c r="AA107" i="8" s="1"/>
  <c r="AA108" i="8" s="1"/>
  <c r="AA109" i="8" s="1"/>
  <c r="AA110" i="8" s="1"/>
  <c r="AA111" i="8" s="1"/>
  <c r="AA112" i="8" s="1"/>
  <c r="AA113" i="8" s="1"/>
  <c r="AA114" i="8" s="1"/>
  <c r="AA115" i="8" s="1"/>
  <c r="AA116" i="8" s="1"/>
  <c r="AA117" i="8" s="1"/>
  <c r="AA118" i="8" s="1"/>
  <c r="AA119" i="8" s="1"/>
  <c r="AA120" i="8" s="1"/>
  <c r="AA121" i="8" s="1"/>
  <c r="AA122" i="8" s="1"/>
  <c r="AA123" i="8" s="1"/>
  <c r="AA124" i="8" s="1"/>
  <c r="AA125" i="8" s="1"/>
  <c r="AA126" i="8" s="1"/>
  <c r="AA127" i="8" s="1"/>
  <c r="AA128" i="8" s="1"/>
  <c r="AA129" i="8" s="1"/>
  <c r="AA130" i="8" s="1"/>
  <c r="AA131" i="8" s="1"/>
  <c r="AA132" i="8" s="1"/>
  <c r="AA133" i="8" s="1"/>
  <c r="AA134" i="8" s="1"/>
  <c r="AA135" i="8" s="1"/>
  <c r="AA136" i="8" s="1"/>
  <c r="AA137" i="8" s="1"/>
  <c r="AA138" i="8" s="1"/>
  <c r="AA139" i="8" s="1"/>
  <c r="AA140" i="8" s="1"/>
  <c r="AA141" i="8" s="1"/>
  <c r="AA142" i="8" s="1"/>
  <c r="AA143" i="8" s="1"/>
  <c r="AA144" i="8" s="1"/>
  <c r="AA145" i="8" s="1"/>
  <c r="AA146" i="8" s="1"/>
  <c r="AA147" i="8" s="1"/>
  <c r="AA148" i="8" s="1"/>
  <c r="AA149" i="8" s="1"/>
  <c r="AA150" i="8" s="1"/>
  <c r="AA151" i="8" s="1"/>
  <c r="AA152" i="8" s="1"/>
  <c r="AA153" i="8" s="1"/>
  <c r="AA154" i="8" s="1"/>
  <c r="AA155" i="8" s="1"/>
  <c r="AA156" i="8" s="1"/>
  <c r="AA157" i="8" s="1"/>
  <c r="AA158" i="8" s="1"/>
  <c r="AA159" i="8" s="1"/>
  <c r="AA160" i="8" s="1"/>
  <c r="AA161" i="8" s="1"/>
  <c r="AA162" i="8" s="1"/>
  <c r="AA163" i="8" s="1"/>
  <c r="AA164" i="8" s="1"/>
  <c r="AA165" i="8" s="1"/>
  <c r="AA166" i="8" s="1"/>
  <c r="AA167" i="8" s="1"/>
  <c r="AA168" i="8" s="1"/>
  <c r="AA169" i="8" s="1"/>
  <c r="AA170" i="8" s="1"/>
  <c r="AA171" i="8" s="1"/>
  <c r="AA172" i="8" s="1"/>
  <c r="AA173" i="8" s="1"/>
  <c r="AA174" i="8" s="1"/>
  <c r="AA175" i="8" s="1"/>
  <c r="AA176" i="8" s="1"/>
  <c r="AA177" i="8" s="1"/>
  <c r="AA178" i="8" s="1"/>
  <c r="AA179" i="8" s="1"/>
  <c r="AA180" i="8" s="1"/>
  <c r="AA181" i="8" s="1"/>
  <c r="AA182" i="8" s="1"/>
  <c r="AA183" i="8" s="1"/>
  <c r="AA184" i="8" s="1"/>
  <c r="AA185" i="8" s="1"/>
  <c r="AA186" i="8" s="1"/>
  <c r="AA187" i="8" s="1"/>
  <c r="AA188" i="8" s="1"/>
  <c r="AA189" i="8" s="1"/>
  <c r="AA190" i="8" s="1"/>
  <c r="AA191" i="8" s="1"/>
  <c r="AA192" i="8" s="1"/>
  <c r="AA193" i="8" s="1"/>
  <c r="AA194" i="8" s="1"/>
  <c r="AA195" i="8" s="1"/>
  <c r="AA196" i="8" s="1"/>
  <c r="AA197" i="8" s="1"/>
  <c r="AA198" i="8" s="1"/>
  <c r="AA199" i="8" s="1"/>
  <c r="AA200" i="8" s="1"/>
  <c r="AA201" i="8" s="1"/>
  <c r="AA202" i="8" s="1"/>
  <c r="AA203" i="8" s="1"/>
  <c r="AA204" i="8" s="1"/>
  <c r="AA205" i="8" s="1"/>
  <c r="AA206" i="8" s="1"/>
  <c r="AA207" i="8" s="1"/>
  <c r="AA208" i="8" s="1"/>
  <c r="AA209" i="8" s="1"/>
  <c r="AA210" i="8" s="1"/>
  <c r="AA211" i="8" s="1"/>
  <c r="AA212" i="8" s="1"/>
  <c r="AA213" i="8" s="1"/>
  <c r="AA214" i="8" s="1"/>
  <c r="AA215" i="8" s="1"/>
  <c r="AA216" i="8" s="1"/>
  <c r="AA217" i="8" s="1"/>
  <c r="AA218" i="8" s="1"/>
  <c r="AA219" i="8" s="1"/>
  <c r="AA220" i="8" s="1"/>
  <c r="AA221" i="8" s="1"/>
  <c r="AA222" i="8" s="1"/>
  <c r="AA223" i="8" s="1"/>
  <c r="AA224" i="8" s="1"/>
  <c r="AA225" i="8" s="1"/>
  <c r="AA226" i="8" s="1"/>
  <c r="AA227" i="8" s="1"/>
  <c r="AA228" i="8" s="1"/>
  <c r="AA229" i="8" s="1"/>
  <c r="AA230" i="8" s="1"/>
  <c r="AA231" i="8" s="1"/>
  <c r="AA232" i="8" s="1"/>
  <c r="AA233" i="8" s="1"/>
  <c r="AA234" i="8" s="1"/>
  <c r="AA235" i="8" s="1"/>
  <c r="AA236" i="8" s="1"/>
  <c r="AA237" i="8" s="1"/>
  <c r="AA238" i="8" s="1"/>
  <c r="AA239" i="8" s="1"/>
  <c r="AA240" i="8" s="1"/>
  <c r="AA241" i="8" s="1"/>
  <c r="AA242" i="8" s="1"/>
  <c r="AA243" i="8" s="1"/>
  <c r="AA244" i="8" s="1"/>
  <c r="AA245" i="8" s="1"/>
  <c r="AA246" i="8" s="1"/>
  <c r="AA247" i="8" s="1"/>
  <c r="AA248" i="8" s="1"/>
  <c r="AA249" i="8" s="1"/>
  <c r="AA250" i="8" s="1"/>
  <c r="AA251" i="8" s="1"/>
  <c r="AA252" i="8" s="1"/>
  <c r="AA253" i="8" s="1"/>
  <c r="AA254" i="8" s="1"/>
  <c r="AA255" i="8" s="1"/>
  <c r="AA256" i="8" s="1"/>
  <c r="AA257" i="8" s="1"/>
  <c r="AA258" i="8" s="1"/>
  <c r="AA259" i="8" s="1"/>
  <c r="AA260" i="8" s="1"/>
  <c r="AA261" i="8" s="1"/>
  <c r="AA262" i="8" s="1"/>
  <c r="AA263" i="8" s="1"/>
  <c r="AA264" i="8" s="1"/>
  <c r="AA265" i="8" s="1"/>
  <c r="AA266" i="8" s="1"/>
  <c r="AA267" i="8" s="1"/>
  <c r="AA268" i="8" s="1"/>
  <c r="AA269" i="8" s="1"/>
  <c r="AA270" i="8" s="1"/>
  <c r="AA271" i="8" s="1"/>
  <c r="AA272" i="8" s="1"/>
  <c r="AA273" i="8" s="1"/>
  <c r="AA274" i="8" s="1"/>
  <c r="AA275" i="8" s="1"/>
  <c r="AA276" i="8" s="1"/>
  <c r="AA277" i="8" s="1"/>
  <c r="AA278" i="8" s="1"/>
  <c r="AA279" i="8" s="1"/>
  <c r="AA280" i="8" s="1"/>
  <c r="AA281" i="8" s="1"/>
  <c r="AA282" i="8" s="1"/>
  <c r="AA283" i="8" s="1"/>
  <c r="AA284" i="8" s="1"/>
  <c r="AA285" i="8" s="1"/>
  <c r="AA286" i="8" s="1"/>
  <c r="AA287" i="8" s="1"/>
  <c r="AA288" i="8" s="1"/>
  <c r="AA289" i="8" s="1"/>
  <c r="N12" i="8"/>
  <c r="N15" i="8"/>
  <c r="Y298" i="8"/>
  <c r="Y299" i="8"/>
  <c r="N137" i="8"/>
  <c r="N107" i="8"/>
  <c r="N280" i="8"/>
  <c r="N157" i="8"/>
  <c r="N133" i="8"/>
  <c r="N178" i="8"/>
  <c r="N106" i="8"/>
  <c r="N85" i="8"/>
  <c r="N90" i="8"/>
  <c r="N62" i="8"/>
  <c r="N276" i="8"/>
  <c r="N231" i="8"/>
  <c r="N206" i="8"/>
  <c r="N254" i="8"/>
  <c r="N132" i="8"/>
  <c r="N181" i="8"/>
  <c r="N154" i="8"/>
  <c r="N91" i="8"/>
  <c r="N89" i="8"/>
  <c r="N61" i="8"/>
  <c r="N136" i="8"/>
  <c r="N116" i="8"/>
  <c r="N278" i="8"/>
  <c r="N203" i="8"/>
  <c r="N38" i="8"/>
  <c r="N13" i="8"/>
  <c r="N39" i="8"/>
  <c r="N16" i="8"/>
  <c r="N162" i="8"/>
  <c r="N92" i="8"/>
  <c r="N60" i="8"/>
  <c r="N257" i="8"/>
  <c r="N281" i="8"/>
  <c r="N179" i="8"/>
  <c r="N253" i="8"/>
  <c r="N208" i="8"/>
  <c r="N255" i="8"/>
  <c r="N183" i="8"/>
  <c r="N155" i="8"/>
  <c r="N164" i="8"/>
  <c r="N86" i="8"/>
  <c r="N84" i="8"/>
  <c r="N36" i="8"/>
  <c r="N252" i="8"/>
  <c r="N204" i="8"/>
  <c r="N230" i="8"/>
  <c r="N185" i="8"/>
  <c r="N161" i="8"/>
  <c r="N158" i="8"/>
  <c r="N115" i="8"/>
  <c r="N111" i="8"/>
  <c r="N66" i="8"/>
  <c r="N64" i="8"/>
  <c r="N42" i="8"/>
  <c r="N14" i="8"/>
  <c r="N180" i="8"/>
  <c r="N59" i="8"/>
  <c r="N83" i="8"/>
  <c r="N40" i="8"/>
  <c r="X290" i="8"/>
  <c r="V8" i="14" l="1"/>
  <c r="C9" i="14" s="1"/>
  <c r="D9" i="14" s="1"/>
  <c r="V9" i="13"/>
  <c r="C10" i="13" s="1"/>
  <c r="D10" i="13" s="1"/>
  <c r="V6" i="12"/>
  <c r="C7" i="12" s="1"/>
  <c r="D7" i="12" s="1"/>
  <c r="V6" i="11"/>
  <c r="C7" i="11" s="1"/>
  <c r="D7" i="11"/>
  <c r="V6" i="10"/>
  <c r="C7" i="10" s="1"/>
  <c r="D7" i="10" s="1"/>
  <c r="W291" i="9"/>
  <c r="AA297" i="9" s="1"/>
  <c r="W290" i="8"/>
  <c r="W291" i="8" s="1"/>
  <c r="C4" i="9"/>
  <c r="D293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D2" i="6"/>
  <c r="X280" i="2"/>
  <c r="V9" i="14" l="1"/>
  <c r="C10" i="14" s="1"/>
  <c r="D10" i="14" s="1"/>
  <c r="D11" i="13"/>
  <c r="V10" i="13"/>
  <c r="C11" i="13" s="1"/>
  <c r="D8" i="12"/>
  <c r="V7" i="12"/>
  <c r="C8" i="12" s="1"/>
  <c r="V7" i="11"/>
  <c r="C8" i="11" s="1"/>
  <c r="D8" i="11" s="1"/>
  <c r="V7" i="10"/>
  <c r="C8" i="10" s="1"/>
  <c r="D8" i="10" s="1"/>
  <c r="D4" i="9"/>
  <c r="V4" i="9" s="1"/>
  <c r="C5" i="9" s="1"/>
  <c r="D5" i="9" s="1"/>
  <c r="B2" i="6"/>
  <c r="W295" i="9"/>
  <c r="X297" i="9" s="1"/>
  <c r="AA300" i="9"/>
  <c r="AA301" i="9"/>
  <c r="AA299" i="9"/>
  <c r="AA298" i="9"/>
  <c r="AA298" i="8"/>
  <c r="AA297" i="8"/>
  <c r="AA301" i="8"/>
  <c r="W295" i="8"/>
  <c r="X300" i="8" s="1"/>
  <c r="AA300" i="8"/>
  <c r="AA299" i="8"/>
  <c r="R37" i="6"/>
  <c r="R39" i="6"/>
  <c r="R41" i="6"/>
  <c r="R59" i="6"/>
  <c r="R61" i="6"/>
  <c r="R67" i="6"/>
  <c r="R83" i="6"/>
  <c r="R87" i="6"/>
  <c r="R91" i="6"/>
  <c r="R109" i="6"/>
  <c r="R113" i="6"/>
  <c r="R115" i="6"/>
  <c r="R133" i="6"/>
  <c r="R137" i="6"/>
  <c r="R159" i="6"/>
  <c r="R185" i="6"/>
  <c r="R36" i="6"/>
  <c r="R38" i="6"/>
  <c r="R40" i="6"/>
  <c r="R42" i="6"/>
  <c r="R60" i="6"/>
  <c r="R62" i="6"/>
  <c r="R64" i="6"/>
  <c r="R66" i="6"/>
  <c r="R84" i="6"/>
  <c r="R86" i="6"/>
  <c r="R88" i="6"/>
  <c r="R90" i="6"/>
  <c r="R92" i="6"/>
  <c r="R106" i="6"/>
  <c r="R108" i="6"/>
  <c r="R110" i="6"/>
  <c r="R112" i="6"/>
  <c r="R114" i="6"/>
  <c r="R116" i="6"/>
  <c r="R130" i="6"/>
  <c r="R132" i="6"/>
  <c r="R134" i="6"/>
  <c r="R136" i="6"/>
  <c r="R138" i="6"/>
  <c r="R140" i="6"/>
  <c r="R154" i="6"/>
  <c r="R156" i="6"/>
  <c r="R158" i="6"/>
  <c r="R160" i="6"/>
  <c r="R162" i="6"/>
  <c r="R164" i="6"/>
  <c r="R178" i="6"/>
  <c r="R180" i="6"/>
  <c r="R182" i="6"/>
  <c r="R184" i="6"/>
  <c r="R186" i="6"/>
  <c r="R188" i="6"/>
  <c r="R204" i="6"/>
  <c r="R206" i="6"/>
  <c r="R208" i="6"/>
  <c r="R210" i="6"/>
  <c r="R228" i="6"/>
  <c r="R230" i="6"/>
  <c r="R232" i="6"/>
  <c r="R234" i="6"/>
  <c r="R252" i="6"/>
  <c r="R254" i="6"/>
  <c r="R256" i="6"/>
  <c r="R276" i="6"/>
  <c r="R278" i="6"/>
  <c r="R280" i="6"/>
  <c r="R63" i="6"/>
  <c r="R65" i="6"/>
  <c r="R85" i="6"/>
  <c r="R89" i="6"/>
  <c r="R107" i="6"/>
  <c r="R111" i="6"/>
  <c r="R131" i="6"/>
  <c r="R135" i="6"/>
  <c r="R139" i="6"/>
  <c r="R155" i="6"/>
  <c r="R157" i="6"/>
  <c r="R161" i="6"/>
  <c r="R163" i="6"/>
  <c r="R165" i="6"/>
  <c r="R179" i="6"/>
  <c r="R181" i="6"/>
  <c r="R183" i="6"/>
  <c r="R187" i="6"/>
  <c r="R189" i="6"/>
  <c r="R203" i="6"/>
  <c r="R205" i="6"/>
  <c r="R207" i="6"/>
  <c r="R209" i="6"/>
  <c r="R211" i="6"/>
  <c r="R227" i="6"/>
  <c r="R229" i="6"/>
  <c r="R231" i="6"/>
  <c r="R233" i="6"/>
  <c r="R253" i="6"/>
  <c r="R255" i="6"/>
  <c r="R257" i="6"/>
  <c r="R277" i="6"/>
  <c r="R279" i="6"/>
  <c r="R281" i="6"/>
  <c r="R14" i="6"/>
  <c r="R15" i="6"/>
  <c r="R18" i="6"/>
  <c r="R12" i="6"/>
  <c r="R13" i="6"/>
  <c r="R16" i="6"/>
  <c r="R17" i="6"/>
  <c r="G3" i="5"/>
  <c r="F3" i="5"/>
  <c r="E3" i="5"/>
  <c r="D3" i="5"/>
  <c r="C3" i="5"/>
  <c r="B3" i="5"/>
  <c r="A3" i="5"/>
  <c r="V10" i="14" l="1"/>
  <c r="C11" i="14" s="1"/>
  <c r="D11" i="14"/>
  <c r="D12" i="13"/>
  <c r="D13" i="13" s="1"/>
  <c r="D14" i="13" s="1"/>
  <c r="D15" i="13" s="1"/>
  <c r="D16" i="13" s="1"/>
  <c r="D17" i="13" s="1"/>
  <c r="D18" i="13" s="1"/>
  <c r="D19" i="13" s="1"/>
  <c r="V11" i="13"/>
  <c r="C12" i="13" s="1"/>
  <c r="V8" i="12"/>
  <c r="C9" i="12" s="1"/>
  <c r="D9" i="12" s="1"/>
  <c r="V8" i="11"/>
  <c r="C9" i="11" s="1"/>
  <c r="D9" i="11" s="1"/>
  <c r="V8" i="10"/>
  <c r="C9" i="10" s="1"/>
  <c r="D9" i="10" s="1"/>
  <c r="X301" i="9"/>
  <c r="X300" i="9"/>
  <c r="V5" i="9"/>
  <c r="C6" i="9" s="1"/>
  <c r="D6" i="9" s="1"/>
  <c r="V6" i="9" s="1"/>
  <c r="C7" i="9" s="1"/>
  <c r="D7" i="9" s="1"/>
  <c r="V7" i="9" s="1"/>
  <c r="X299" i="9"/>
  <c r="X298" i="9"/>
  <c r="X301" i="8"/>
  <c r="X297" i="8"/>
  <c r="X299" i="8"/>
  <c r="X298" i="8"/>
  <c r="AF298" i="2"/>
  <c r="AF299" i="2"/>
  <c r="AF300" i="2"/>
  <c r="AF301" i="2"/>
  <c r="AF297" i="2"/>
  <c r="D293" i="2"/>
  <c r="AC298" i="2"/>
  <c r="AC299" i="2"/>
  <c r="AC300" i="2"/>
  <c r="AC301" i="2"/>
  <c r="AC297" i="2"/>
  <c r="AB295" i="2"/>
  <c r="AB293" i="2"/>
  <c r="AD291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" i="2"/>
  <c r="AD290" i="2" s="1"/>
  <c r="AB291" i="2"/>
  <c r="AC290" i="2"/>
  <c r="AB290" i="2"/>
  <c r="AC54" i="2"/>
  <c r="D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X281" i="2"/>
  <c r="X279" i="2"/>
  <c r="X278" i="2"/>
  <c r="X277" i="2"/>
  <c r="X276" i="2"/>
  <c r="X257" i="2"/>
  <c r="X256" i="2"/>
  <c r="X255" i="2"/>
  <c r="X254" i="2"/>
  <c r="X253" i="2"/>
  <c r="X252" i="2"/>
  <c r="X234" i="2"/>
  <c r="X233" i="2"/>
  <c r="X232" i="2"/>
  <c r="X231" i="2"/>
  <c r="X230" i="2"/>
  <c r="X229" i="2"/>
  <c r="X228" i="2"/>
  <c r="X227" i="2"/>
  <c r="X211" i="2"/>
  <c r="X210" i="2"/>
  <c r="X209" i="2"/>
  <c r="X208" i="2"/>
  <c r="X207" i="2"/>
  <c r="X206" i="2"/>
  <c r="X205" i="2"/>
  <c r="X204" i="2"/>
  <c r="X203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40" i="2"/>
  <c r="X139" i="2"/>
  <c r="X138" i="2"/>
  <c r="X137" i="2"/>
  <c r="X136" i="2"/>
  <c r="X135" i="2"/>
  <c r="X134" i="2"/>
  <c r="X133" i="2"/>
  <c r="X132" i="2"/>
  <c r="X131" i="2"/>
  <c r="X130" i="2"/>
  <c r="X116" i="2"/>
  <c r="X115" i="2"/>
  <c r="X114" i="2"/>
  <c r="X113" i="2"/>
  <c r="X112" i="2"/>
  <c r="X111" i="2"/>
  <c r="X110" i="2"/>
  <c r="X109" i="2"/>
  <c r="X108" i="2"/>
  <c r="X107" i="2"/>
  <c r="X106" i="2"/>
  <c r="X92" i="2"/>
  <c r="X91" i="2"/>
  <c r="X90" i="2"/>
  <c r="X89" i="2"/>
  <c r="X88" i="2"/>
  <c r="X87" i="2"/>
  <c r="X86" i="2"/>
  <c r="X85" i="2"/>
  <c r="X84" i="2"/>
  <c r="X83" i="2"/>
  <c r="X67" i="2"/>
  <c r="X66" i="2"/>
  <c r="X65" i="2"/>
  <c r="X64" i="2"/>
  <c r="X63" i="2"/>
  <c r="X62" i="2"/>
  <c r="X61" i="2"/>
  <c r="X60" i="2"/>
  <c r="X59" i="2"/>
  <c r="X42" i="2"/>
  <c r="X41" i="2"/>
  <c r="X40" i="2"/>
  <c r="X39" i="2"/>
  <c r="X38" i="2"/>
  <c r="X37" i="2"/>
  <c r="X36" i="2"/>
  <c r="X18" i="2"/>
  <c r="X17" i="2"/>
  <c r="X16" i="2"/>
  <c r="X15" i="2"/>
  <c r="X14" i="2"/>
  <c r="X13" i="2"/>
  <c r="X1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A1" i="4"/>
  <c r="W2" i="2"/>
  <c r="I1" i="2"/>
  <c r="H1" i="2"/>
  <c r="U37" i="2"/>
  <c r="V37" i="2" s="1"/>
  <c r="U38" i="2"/>
  <c r="V38" i="2" s="1"/>
  <c r="U49" i="2"/>
  <c r="V49" i="2" s="1"/>
  <c r="U54" i="2"/>
  <c r="V54" i="2" s="1"/>
  <c r="U57" i="2"/>
  <c r="V57" i="2" s="1"/>
  <c r="U65" i="2"/>
  <c r="V65" i="2" s="1"/>
  <c r="U66" i="2"/>
  <c r="V66" i="2" s="1"/>
  <c r="U98" i="2"/>
  <c r="U101" i="2"/>
  <c r="V101" i="2" s="1"/>
  <c r="U109" i="2"/>
  <c r="V109" i="2" s="1"/>
  <c r="U110" i="2"/>
  <c r="V110" i="2" s="1"/>
  <c r="U121" i="2"/>
  <c r="V121" i="2" s="1"/>
  <c r="U149" i="2"/>
  <c r="V149" i="2" s="1"/>
  <c r="U150" i="2"/>
  <c r="V150" i="2" s="1"/>
  <c r="U153" i="2"/>
  <c r="V153" i="2" s="1"/>
  <c r="U161" i="2"/>
  <c r="V161" i="2" s="1"/>
  <c r="U162" i="2"/>
  <c r="V162" i="2" s="1"/>
  <c r="U165" i="2"/>
  <c r="V165" i="2" s="1"/>
  <c r="U185" i="2"/>
  <c r="V185" i="2" s="1"/>
  <c r="U193" i="2"/>
  <c r="V193" i="2" s="1"/>
  <c r="U205" i="2"/>
  <c r="V205" i="2" s="1"/>
  <c r="U206" i="2"/>
  <c r="V206" i="2" s="1"/>
  <c r="U207" i="2"/>
  <c r="V207" i="2" s="1"/>
  <c r="U217" i="2"/>
  <c r="U225" i="2"/>
  <c r="U245" i="2"/>
  <c r="V245" i="2" s="1"/>
  <c r="U246" i="2"/>
  <c r="V246" i="2" s="1"/>
  <c r="U247" i="2"/>
  <c r="V247" i="2" s="1"/>
  <c r="U257" i="2"/>
  <c r="V257" i="2" s="1"/>
  <c r="U258" i="2"/>
  <c r="V258" i="2" s="1"/>
  <c r="U261" i="2"/>
  <c r="U269" i="2"/>
  <c r="U281" i="2"/>
  <c r="V281" i="2" s="1"/>
  <c r="U287" i="2"/>
  <c r="V287" i="2" s="1"/>
  <c r="U2" i="2"/>
  <c r="V2" i="2" s="1"/>
  <c r="D3" i="3"/>
  <c r="L3" i="6" s="1"/>
  <c r="D6" i="3"/>
  <c r="L6" i="6" s="1"/>
  <c r="D7" i="3"/>
  <c r="L7" i="6" s="1"/>
  <c r="D9" i="3"/>
  <c r="L9" i="6" s="1"/>
  <c r="D10" i="3"/>
  <c r="L10" i="6" s="1"/>
  <c r="D11" i="3"/>
  <c r="L11" i="6" s="1"/>
  <c r="D13" i="3"/>
  <c r="L13" i="6" s="1"/>
  <c r="D14" i="3"/>
  <c r="L14" i="6" s="1"/>
  <c r="D15" i="3"/>
  <c r="L15" i="6" s="1"/>
  <c r="D17" i="3"/>
  <c r="L17" i="6" s="1"/>
  <c r="D18" i="3"/>
  <c r="L18" i="6" s="1"/>
  <c r="D19" i="3"/>
  <c r="L19" i="6" s="1"/>
  <c r="D21" i="3"/>
  <c r="L21" i="6" s="1"/>
  <c r="D22" i="3"/>
  <c r="L22" i="6" s="1"/>
  <c r="D23" i="3"/>
  <c r="L23" i="6" s="1"/>
  <c r="D24" i="3"/>
  <c r="L24" i="6" s="1"/>
  <c r="D25" i="3"/>
  <c r="L25" i="6" s="1"/>
  <c r="D26" i="3"/>
  <c r="L26" i="6" s="1"/>
  <c r="D27" i="3"/>
  <c r="L27" i="6" s="1"/>
  <c r="D28" i="3"/>
  <c r="L28" i="6" s="1"/>
  <c r="D29" i="3"/>
  <c r="L29" i="6" s="1"/>
  <c r="D30" i="3"/>
  <c r="L30" i="6" s="1"/>
  <c r="D31" i="3"/>
  <c r="L31" i="6" s="1"/>
  <c r="D32" i="3"/>
  <c r="L32" i="6" s="1"/>
  <c r="D33" i="3"/>
  <c r="L33" i="6" s="1"/>
  <c r="D34" i="3"/>
  <c r="L34" i="6" s="1"/>
  <c r="D35" i="3"/>
  <c r="L35" i="6" s="1"/>
  <c r="D36" i="3"/>
  <c r="L36" i="6" s="1"/>
  <c r="D37" i="3"/>
  <c r="L37" i="6" s="1"/>
  <c r="D38" i="3"/>
  <c r="L38" i="6" s="1"/>
  <c r="D39" i="3"/>
  <c r="L39" i="6" s="1"/>
  <c r="D40" i="3"/>
  <c r="L40" i="6" s="1"/>
  <c r="D41" i="3"/>
  <c r="L41" i="6" s="1"/>
  <c r="D42" i="3"/>
  <c r="L42" i="6" s="1"/>
  <c r="D43" i="3"/>
  <c r="L43" i="6" s="1"/>
  <c r="D44" i="3"/>
  <c r="L44" i="6" s="1"/>
  <c r="D45" i="3"/>
  <c r="L45" i="6" s="1"/>
  <c r="D46" i="3"/>
  <c r="L46" i="6" s="1"/>
  <c r="D47" i="3"/>
  <c r="L47" i="6" s="1"/>
  <c r="D48" i="3"/>
  <c r="L48" i="6" s="1"/>
  <c r="D49" i="3"/>
  <c r="L49" i="6" s="1"/>
  <c r="D50" i="3"/>
  <c r="L50" i="6" s="1"/>
  <c r="D51" i="3"/>
  <c r="L51" i="6" s="1"/>
  <c r="D52" i="3"/>
  <c r="L52" i="6" s="1"/>
  <c r="D53" i="3"/>
  <c r="L53" i="6" s="1"/>
  <c r="D54" i="3"/>
  <c r="L54" i="6" s="1"/>
  <c r="D55" i="3"/>
  <c r="L55" i="6" s="1"/>
  <c r="D56" i="3"/>
  <c r="L56" i="6" s="1"/>
  <c r="D57" i="3"/>
  <c r="L57" i="6" s="1"/>
  <c r="D58" i="3"/>
  <c r="L58" i="6" s="1"/>
  <c r="D59" i="3"/>
  <c r="L59" i="6" s="1"/>
  <c r="D60" i="3"/>
  <c r="L60" i="6" s="1"/>
  <c r="D61" i="3"/>
  <c r="L61" i="6" s="1"/>
  <c r="D62" i="3"/>
  <c r="L62" i="6" s="1"/>
  <c r="D63" i="3"/>
  <c r="L63" i="6" s="1"/>
  <c r="D64" i="3"/>
  <c r="L64" i="6" s="1"/>
  <c r="D65" i="3"/>
  <c r="L65" i="6" s="1"/>
  <c r="D66" i="3"/>
  <c r="L66" i="6" s="1"/>
  <c r="D67" i="3"/>
  <c r="L67" i="6" s="1"/>
  <c r="D68" i="3"/>
  <c r="L68" i="6" s="1"/>
  <c r="D69" i="3"/>
  <c r="L69" i="6" s="1"/>
  <c r="D70" i="3"/>
  <c r="L70" i="6" s="1"/>
  <c r="D71" i="3"/>
  <c r="L71" i="6" s="1"/>
  <c r="D72" i="3"/>
  <c r="L72" i="6" s="1"/>
  <c r="D73" i="3"/>
  <c r="L73" i="6" s="1"/>
  <c r="D74" i="3"/>
  <c r="L74" i="6" s="1"/>
  <c r="D75" i="3"/>
  <c r="L75" i="6" s="1"/>
  <c r="D76" i="3"/>
  <c r="L76" i="6" s="1"/>
  <c r="D77" i="3"/>
  <c r="L77" i="6" s="1"/>
  <c r="D78" i="3"/>
  <c r="L78" i="6" s="1"/>
  <c r="D79" i="3"/>
  <c r="L79" i="6" s="1"/>
  <c r="D80" i="3"/>
  <c r="L80" i="6" s="1"/>
  <c r="D81" i="3"/>
  <c r="L81" i="6" s="1"/>
  <c r="D82" i="3"/>
  <c r="L82" i="6" s="1"/>
  <c r="D83" i="3"/>
  <c r="L83" i="6" s="1"/>
  <c r="D84" i="3"/>
  <c r="L84" i="6" s="1"/>
  <c r="D85" i="3"/>
  <c r="L85" i="6" s="1"/>
  <c r="D86" i="3"/>
  <c r="L86" i="6" s="1"/>
  <c r="D87" i="3"/>
  <c r="L87" i="6" s="1"/>
  <c r="D88" i="3"/>
  <c r="L88" i="6" s="1"/>
  <c r="D89" i="3"/>
  <c r="L89" i="6" s="1"/>
  <c r="D90" i="3"/>
  <c r="L90" i="6" s="1"/>
  <c r="D91" i="3"/>
  <c r="L91" i="6" s="1"/>
  <c r="D92" i="3"/>
  <c r="L92" i="6" s="1"/>
  <c r="D93" i="3"/>
  <c r="L93" i="6" s="1"/>
  <c r="D94" i="3"/>
  <c r="L94" i="6" s="1"/>
  <c r="D95" i="3"/>
  <c r="L95" i="6" s="1"/>
  <c r="D96" i="3"/>
  <c r="L96" i="6" s="1"/>
  <c r="D97" i="3"/>
  <c r="L97" i="6" s="1"/>
  <c r="D98" i="3"/>
  <c r="L98" i="6" s="1"/>
  <c r="D99" i="3"/>
  <c r="L99" i="6" s="1"/>
  <c r="D100" i="3"/>
  <c r="L100" i="6" s="1"/>
  <c r="D101" i="3"/>
  <c r="L101" i="6" s="1"/>
  <c r="D102" i="3"/>
  <c r="L102" i="6" s="1"/>
  <c r="D103" i="3"/>
  <c r="L103" i="6" s="1"/>
  <c r="D104" i="3"/>
  <c r="L104" i="6" s="1"/>
  <c r="D105" i="3"/>
  <c r="L105" i="6" s="1"/>
  <c r="D106" i="3"/>
  <c r="L106" i="6" s="1"/>
  <c r="D107" i="3"/>
  <c r="L107" i="6" s="1"/>
  <c r="D108" i="3"/>
  <c r="L108" i="6" s="1"/>
  <c r="D109" i="3"/>
  <c r="L109" i="6" s="1"/>
  <c r="D110" i="3"/>
  <c r="L110" i="6" s="1"/>
  <c r="D111" i="3"/>
  <c r="L111" i="6" s="1"/>
  <c r="D112" i="3"/>
  <c r="L112" i="6" s="1"/>
  <c r="D113" i="3"/>
  <c r="L113" i="6" s="1"/>
  <c r="D114" i="3"/>
  <c r="L114" i="6" s="1"/>
  <c r="D115" i="3"/>
  <c r="L115" i="6" s="1"/>
  <c r="D116" i="3"/>
  <c r="L116" i="6" s="1"/>
  <c r="D117" i="3"/>
  <c r="L117" i="6" s="1"/>
  <c r="D118" i="3"/>
  <c r="L118" i="6" s="1"/>
  <c r="D119" i="3"/>
  <c r="L119" i="6" s="1"/>
  <c r="D120" i="3"/>
  <c r="L120" i="6" s="1"/>
  <c r="D121" i="3"/>
  <c r="L121" i="6" s="1"/>
  <c r="D122" i="3"/>
  <c r="L122" i="6" s="1"/>
  <c r="D123" i="3"/>
  <c r="L123" i="6" s="1"/>
  <c r="D124" i="3"/>
  <c r="L124" i="6" s="1"/>
  <c r="D125" i="3"/>
  <c r="L125" i="6" s="1"/>
  <c r="D126" i="3"/>
  <c r="L126" i="6" s="1"/>
  <c r="D127" i="3"/>
  <c r="L127" i="6" s="1"/>
  <c r="D128" i="3"/>
  <c r="L128" i="6" s="1"/>
  <c r="D129" i="3"/>
  <c r="L129" i="6" s="1"/>
  <c r="D130" i="3"/>
  <c r="L130" i="6" s="1"/>
  <c r="D131" i="3"/>
  <c r="L131" i="6" s="1"/>
  <c r="D132" i="3"/>
  <c r="L132" i="6" s="1"/>
  <c r="D133" i="3"/>
  <c r="L133" i="6" s="1"/>
  <c r="D134" i="3"/>
  <c r="L134" i="6" s="1"/>
  <c r="D135" i="3"/>
  <c r="L135" i="6" s="1"/>
  <c r="D136" i="3"/>
  <c r="L136" i="6" s="1"/>
  <c r="D137" i="3"/>
  <c r="L137" i="6" s="1"/>
  <c r="D138" i="3"/>
  <c r="L138" i="6" s="1"/>
  <c r="D139" i="3"/>
  <c r="L139" i="6" s="1"/>
  <c r="D140" i="3"/>
  <c r="L140" i="6" s="1"/>
  <c r="D141" i="3"/>
  <c r="L141" i="6" s="1"/>
  <c r="D142" i="3"/>
  <c r="L142" i="6" s="1"/>
  <c r="D143" i="3"/>
  <c r="L143" i="6" s="1"/>
  <c r="D144" i="3"/>
  <c r="L144" i="6" s="1"/>
  <c r="D145" i="3"/>
  <c r="L145" i="6" s="1"/>
  <c r="D146" i="3"/>
  <c r="L146" i="6" s="1"/>
  <c r="D147" i="3"/>
  <c r="L147" i="6" s="1"/>
  <c r="D148" i="3"/>
  <c r="L148" i="6" s="1"/>
  <c r="D149" i="3"/>
  <c r="L149" i="6" s="1"/>
  <c r="D150" i="3"/>
  <c r="L150" i="6" s="1"/>
  <c r="D151" i="3"/>
  <c r="L151" i="6" s="1"/>
  <c r="D152" i="3"/>
  <c r="L152" i="6" s="1"/>
  <c r="D153" i="3"/>
  <c r="L153" i="6" s="1"/>
  <c r="D154" i="3"/>
  <c r="L154" i="6" s="1"/>
  <c r="D155" i="3"/>
  <c r="L155" i="6" s="1"/>
  <c r="D156" i="3"/>
  <c r="L156" i="6" s="1"/>
  <c r="D157" i="3"/>
  <c r="L157" i="6" s="1"/>
  <c r="D158" i="3"/>
  <c r="L158" i="6" s="1"/>
  <c r="D159" i="3"/>
  <c r="L159" i="6" s="1"/>
  <c r="D160" i="3"/>
  <c r="L160" i="6" s="1"/>
  <c r="D161" i="3"/>
  <c r="L161" i="6" s="1"/>
  <c r="D162" i="3"/>
  <c r="L162" i="6" s="1"/>
  <c r="D163" i="3"/>
  <c r="L163" i="6" s="1"/>
  <c r="D164" i="3"/>
  <c r="L164" i="6" s="1"/>
  <c r="D165" i="3"/>
  <c r="L165" i="6" s="1"/>
  <c r="D166" i="3"/>
  <c r="L166" i="6" s="1"/>
  <c r="D167" i="3"/>
  <c r="L167" i="6" s="1"/>
  <c r="D168" i="3"/>
  <c r="L168" i="6" s="1"/>
  <c r="D169" i="3"/>
  <c r="L169" i="6" s="1"/>
  <c r="D170" i="3"/>
  <c r="L170" i="6" s="1"/>
  <c r="D171" i="3"/>
  <c r="L171" i="6" s="1"/>
  <c r="D172" i="3"/>
  <c r="L172" i="6" s="1"/>
  <c r="D173" i="3"/>
  <c r="L173" i="6" s="1"/>
  <c r="D174" i="3"/>
  <c r="L174" i="6" s="1"/>
  <c r="D175" i="3"/>
  <c r="L175" i="6" s="1"/>
  <c r="D176" i="3"/>
  <c r="L176" i="6" s="1"/>
  <c r="D177" i="3"/>
  <c r="L177" i="6" s="1"/>
  <c r="D178" i="3"/>
  <c r="L178" i="6" s="1"/>
  <c r="D179" i="3"/>
  <c r="L179" i="6" s="1"/>
  <c r="D180" i="3"/>
  <c r="L180" i="6" s="1"/>
  <c r="D181" i="3"/>
  <c r="L181" i="6" s="1"/>
  <c r="D182" i="3"/>
  <c r="L182" i="6" s="1"/>
  <c r="D183" i="3"/>
  <c r="L183" i="6" s="1"/>
  <c r="D184" i="3"/>
  <c r="L184" i="6" s="1"/>
  <c r="D185" i="3"/>
  <c r="L185" i="6" s="1"/>
  <c r="D186" i="3"/>
  <c r="L186" i="6" s="1"/>
  <c r="D187" i="3"/>
  <c r="L187" i="6" s="1"/>
  <c r="D188" i="3"/>
  <c r="L188" i="6" s="1"/>
  <c r="D189" i="3"/>
  <c r="L189" i="6" s="1"/>
  <c r="D190" i="3"/>
  <c r="L190" i="6" s="1"/>
  <c r="D191" i="3"/>
  <c r="L191" i="6" s="1"/>
  <c r="D192" i="3"/>
  <c r="L192" i="6" s="1"/>
  <c r="D193" i="3"/>
  <c r="L193" i="6" s="1"/>
  <c r="D194" i="3"/>
  <c r="L194" i="6" s="1"/>
  <c r="D195" i="3"/>
  <c r="L195" i="6" s="1"/>
  <c r="D196" i="3"/>
  <c r="L196" i="6" s="1"/>
  <c r="D197" i="3"/>
  <c r="L197" i="6" s="1"/>
  <c r="D198" i="3"/>
  <c r="L198" i="6" s="1"/>
  <c r="D199" i="3"/>
  <c r="L199" i="6" s="1"/>
  <c r="D200" i="3"/>
  <c r="L200" i="6" s="1"/>
  <c r="D201" i="3"/>
  <c r="L201" i="6" s="1"/>
  <c r="D202" i="3"/>
  <c r="L202" i="6" s="1"/>
  <c r="D203" i="3"/>
  <c r="L203" i="6" s="1"/>
  <c r="D204" i="3"/>
  <c r="L204" i="6" s="1"/>
  <c r="D205" i="3"/>
  <c r="L205" i="6" s="1"/>
  <c r="D206" i="3"/>
  <c r="L206" i="6" s="1"/>
  <c r="D207" i="3"/>
  <c r="L207" i="6" s="1"/>
  <c r="D208" i="3"/>
  <c r="L208" i="6" s="1"/>
  <c r="D209" i="3"/>
  <c r="L209" i="6" s="1"/>
  <c r="D210" i="3"/>
  <c r="L210" i="6" s="1"/>
  <c r="D211" i="3"/>
  <c r="L211" i="6" s="1"/>
  <c r="D212" i="3"/>
  <c r="L212" i="6" s="1"/>
  <c r="D213" i="3"/>
  <c r="L213" i="6" s="1"/>
  <c r="D214" i="3"/>
  <c r="L214" i="6" s="1"/>
  <c r="D215" i="3"/>
  <c r="L215" i="6" s="1"/>
  <c r="D216" i="3"/>
  <c r="L216" i="6" s="1"/>
  <c r="D217" i="3"/>
  <c r="L217" i="6" s="1"/>
  <c r="D218" i="3"/>
  <c r="L218" i="6" s="1"/>
  <c r="D219" i="3"/>
  <c r="L219" i="6" s="1"/>
  <c r="D220" i="3"/>
  <c r="L220" i="6" s="1"/>
  <c r="D221" i="3"/>
  <c r="L221" i="6" s="1"/>
  <c r="D222" i="3"/>
  <c r="L222" i="6" s="1"/>
  <c r="D223" i="3"/>
  <c r="L223" i="6" s="1"/>
  <c r="D224" i="3"/>
  <c r="L224" i="6" s="1"/>
  <c r="D225" i="3"/>
  <c r="L225" i="6" s="1"/>
  <c r="D226" i="3"/>
  <c r="L226" i="6" s="1"/>
  <c r="D227" i="3"/>
  <c r="L227" i="6" s="1"/>
  <c r="D228" i="3"/>
  <c r="L228" i="6" s="1"/>
  <c r="D229" i="3"/>
  <c r="L229" i="6" s="1"/>
  <c r="D230" i="3"/>
  <c r="L230" i="6" s="1"/>
  <c r="D231" i="3"/>
  <c r="L231" i="6" s="1"/>
  <c r="D232" i="3"/>
  <c r="L232" i="6" s="1"/>
  <c r="D233" i="3"/>
  <c r="L233" i="6" s="1"/>
  <c r="D234" i="3"/>
  <c r="L234" i="6" s="1"/>
  <c r="D235" i="3"/>
  <c r="L235" i="6" s="1"/>
  <c r="D236" i="3"/>
  <c r="L236" i="6" s="1"/>
  <c r="D237" i="3"/>
  <c r="L237" i="6" s="1"/>
  <c r="D238" i="3"/>
  <c r="L238" i="6" s="1"/>
  <c r="D239" i="3"/>
  <c r="L239" i="6" s="1"/>
  <c r="D240" i="3"/>
  <c r="L240" i="6" s="1"/>
  <c r="D241" i="3"/>
  <c r="L241" i="6" s="1"/>
  <c r="D242" i="3"/>
  <c r="L242" i="6" s="1"/>
  <c r="D243" i="3"/>
  <c r="L243" i="6" s="1"/>
  <c r="D244" i="3"/>
  <c r="L244" i="6" s="1"/>
  <c r="D245" i="3"/>
  <c r="L245" i="6" s="1"/>
  <c r="D246" i="3"/>
  <c r="L246" i="6" s="1"/>
  <c r="D247" i="3"/>
  <c r="L247" i="6" s="1"/>
  <c r="D248" i="3"/>
  <c r="L248" i="6" s="1"/>
  <c r="D249" i="3"/>
  <c r="L249" i="6" s="1"/>
  <c r="D250" i="3"/>
  <c r="L250" i="6" s="1"/>
  <c r="D251" i="3"/>
  <c r="L251" i="6" s="1"/>
  <c r="D252" i="3"/>
  <c r="L252" i="6" s="1"/>
  <c r="D253" i="3"/>
  <c r="L253" i="6" s="1"/>
  <c r="D254" i="3"/>
  <c r="L254" i="6" s="1"/>
  <c r="D255" i="3"/>
  <c r="L255" i="6" s="1"/>
  <c r="D256" i="3"/>
  <c r="L256" i="6" s="1"/>
  <c r="D257" i="3"/>
  <c r="L257" i="6" s="1"/>
  <c r="D258" i="3"/>
  <c r="L258" i="6" s="1"/>
  <c r="D259" i="3"/>
  <c r="L259" i="6" s="1"/>
  <c r="D260" i="3"/>
  <c r="L260" i="6" s="1"/>
  <c r="D261" i="3"/>
  <c r="L261" i="6" s="1"/>
  <c r="D262" i="3"/>
  <c r="L262" i="6" s="1"/>
  <c r="D263" i="3"/>
  <c r="L263" i="6" s="1"/>
  <c r="D264" i="3"/>
  <c r="L264" i="6" s="1"/>
  <c r="D265" i="3"/>
  <c r="L265" i="6" s="1"/>
  <c r="D266" i="3"/>
  <c r="L266" i="6" s="1"/>
  <c r="D267" i="3"/>
  <c r="L267" i="6" s="1"/>
  <c r="D268" i="3"/>
  <c r="L268" i="6" s="1"/>
  <c r="D269" i="3"/>
  <c r="L269" i="6" s="1"/>
  <c r="D270" i="3"/>
  <c r="L270" i="6" s="1"/>
  <c r="D271" i="3"/>
  <c r="L271" i="6" s="1"/>
  <c r="D272" i="3"/>
  <c r="L272" i="6" s="1"/>
  <c r="D273" i="3"/>
  <c r="L273" i="6" s="1"/>
  <c r="D274" i="3"/>
  <c r="L274" i="6" s="1"/>
  <c r="D275" i="3"/>
  <c r="L275" i="6" s="1"/>
  <c r="D276" i="3"/>
  <c r="L276" i="6" s="1"/>
  <c r="D277" i="3"/>
  <c r="L277" i="6" s="1"/>
  <c r="D278" i="3"/>
  <c r="L278" i="6" s="1"/>
  <c r="D279" i="3"/>
  <c r="L279" i="6" s="1"/>
  <c r="D280" i="3"/>
  <c r="L280" i="6" s="1"/>
  <c r="D281" i="3"/>
  <c r="L281" i="6" s="1"/>
  <c r="D282" i="3"/>
  <c r="L282" i="6" s="1"/>
  <c r="D283" i="3"/>
  <c r="L283" i="6" s="1"/>
  <c r="D284" i="3"/>
  <c r="L284" i="6" s="1"/>
  <c r="D285" i="3"/>
  <c r="L285" i="6" s="1"/>
  <c r="D286" i="3"/>
  <c r="L286" i="6" s="1"/>
  <c r="D287" i="3"/>
  <c r="L287" i="6" s="1"/>
  <c r="D288" i="3"/>
  <c r="L288" i="6" s="1"/>
  <c r="D289" i="3"/>
  <c r="L289" i="6" s="1"/>
  <c r="D2" i="3"/>
  <c r="L2" i="6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" i="2"/>
  <c r="K3" i="1"/>
  <c r="K4" i="1"/>
  <c r="K5" i="1"/>
  <c r="K6" i="1"/>
  <c r="K7" i="1"/>
  <c r="K291" i="1" s="1"/>
  <c r="K292" i="1" s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" i="1"/>
  <c r="H291" i="1"/>
  <c r="I291" i="1"/>
  <c r="J291" i="1"/>
  <c r="H292" i="1"/>
  <c r="I292" i="1"/>
  <c r="J292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J2" i="1"/>
  <c r="I2" i="1"/>
  <c r="H2" i="1"/>
  <c r="G292" i="1"/>
  <c r="G29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" i="1"/>
  <c r="F292" i="1"/>
  <c r="F29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" i="1"/>
  <c r="Y288" i="6" l="1"/>
  <c r="M288" i="6"/>
  <c r="N288" i="6" s="1"/>
  <c r="Y284" i="6"/>
  <c r="M284" i="6"/>
  <c r="N284" i="6" s="1"/>
  <c r="P280" i="6"/>
  <c r="Q280" i="6" s="1"/>
  <c r="Y280" i="6"/>
  <c r="S280" i="6"/>
  <c r="T280" i="6" s="1"/>
  <c r="U280" i="6" s="1"/>
  <c r="B280" i="6" s="1"/>
  <c r="M280" i="6"/>
  <c r="N280" i="6" s="1"/>
  <c r="P276" i="6"/>
  <c r="Q276" i="6" s="1"/>
  <c r="W276" i="6" s="1"/>
  <c r="Y276" i="6"/>
  <c r="M276" i="6"/>
  <c r="N276" i="6" s="1"/>
  <c r="S276" i="6"/>
  <c r="T276" i="6" s="1"/>
  <c r="U276" i="6" s="1"/>
  <c r="B276" i="6" s="1"/>
  <c r="Y272" i="6"/>
  <c r="M272" i="6"/>
  <c r="N272" i="6" s="1"/>
  <c r="Y268" i="6"/>
  <c r="M268" i="6"/>
  <c r="N268" i="6" s="1"/>
  <c r="Y264" i="6"/>
  <c r="M264" i="6"/>
  <c r="N264" i="6" s="1"/>
  <c r="Y260" i="6"/>
  <c r="M260" i="6"/>
  <c r="N260" i="6" s="1"/>
  <c r="P256" i="6"/>
  <c r="Q256" i="6" s="1"/>
  <c r="Y256" i="6"/>
  <c r="M256" i="6"/>
  <c r="N256" i="6" s="1"/>
  <c r="S256" i="6"/>
  <c r="T256" i="6" s="1"/>
  <c r="U256" i="6" s="1"/>
  <c r="B256" i="6" s="1"/>
  <c r="P252" i="6"/>
  <c r="Q252" i="6" s="1"/>
  <c r="W252" i="6" s="1"/>
  <c r="Y252" i="6"/>
  <c r="S252" i="6"/>
  <c r="T252" i="6" s="1"/>
  <c r="U252" i="6" s="1"/>
  <c r="B252" i="6" s="1"/>
  <c r="M252" i="6"/>
  <c r="N252" i="6" s="1"/>
  <c r="Y248" i="6"/>
  <c r="M248" i="6"/>
  <c r="N248" i="6" s="1"/>
  <c r="Y244" i="6"/>
  <c r="M244" i="6"/>
  <c r="N244" i="6" s="1"/>
  <c r="Y240" i="6"/>
  <c r="M240" i="6"/>
  <c r="N240" i="6" s="1"/>
  <c r="Y236" i="6"/>
  <c r="M236" i="6"/>
  <c r="N236" i="6" s="1"/>
  <c r="P232" i="6"/>
  <c r="Q232" i="6" s="1"/>
  <c r="Y232" i="6"/>
  <c r="M232" i="6"/>
  <c r="N232" i="6" s="1"/>
  <c r="S232" i="6"/>
  <c r="T232" i="6" s="1"/>
  <c r="U232" i="6" s="1"/>
  <c r="B232" i="6" s="1"/>
  <c r="P228" i="6"/>
  <c r="Q228" i="6" s="1"/>
  <c r="Y228" i="6"/>
  <c r="M228" i="6"/>
  <c r="N228" i="6" s="1"/>
  <c r="S228" i="6"/>
  <c r="T228" i="6" s="1"/>
  <c r="U228" i="6" s="1"/>
  <c r="B228" i="6" s="1"/>
  <c r="Y224" i="6"/>
  <c r="M224" i="6"/>
  <c r="N224" i="6" s="1"/>
  <c r="Y220" i="6"/>
  <c r="M220" i="6"/>
  <c r="N220" i="6" s="1"/>
  <c r="Y216" i="6"/>
  <c r="M216" i="6"/>
  <c r="N216" i="6" s="1"/>
  <c r="Y212" i="6"/>
  <c r="M212" i="6"/>
  <c r="N212" i="6" s="1"/>
  <c r="P208" i="6"/>
  <c r="Q208" i="6" s="1"/>
  <c r="Y208" i="6"/>
  <c r="S208" i="6"/>
  <c r="T208" i="6" s="1"/>
  <c r="U208" i="6" s="1"/>
  <c r="B208" i="6" s="1"/>
  <c r="M208" i="6"/>
  <c r="N208" i="6" s="1"/>
  <c r="P204" i="6"/>
  <c r="Q204" i="6" s="1"/>
  <c r="Y204" i="6"/>
  <c r="S204" i="6"/>
  <c r="T204" i="6" s="1"/>
  <c r="U204" i="6" s="1"/>
  <c r="B204" i="6" s="1"/>
  <c r="M204" i="6"/>
  <c r="N204" i="6" s="1"/>
  <c r="Y200" i="6"/>
  <c r="M200" i="6"/>
  <c r="N200" i="6" s="1"/>
  <c r="Y196" i="6"/>
  <c r="M196" i="6"/>
  <c r="N196" i="6" s="1"/>
  <c r="Y192" i="6"/>
  <c r="M192" i="6"/>
  <c r="N192" i="6" s="1"/>
  <c r="P188" i="6"/>
  <c r="Q188" i="6" s="1"/>
  <c r="W188" i="6" s="1"/>
  <c r="Y188" i="6"/>
  <c r="M188" i="6"/>
  <c r="N188" i="6" s="1"/>
  <c r="S188" i="6"/>
  <c r="P184" i="6"/>
  <c r="Q184" i="6" s="1"/>
  <c r="Y184" i="6"/>
  <c r="M184" i="6"/>
  <c r="N184" i="6" s="1"/>
  <c r="S184" i="6"/>
  <c r="P180" i="6"/>
  <c r="Q180" i="6" s="1"/>
  <c r="Y180" i="6"/>
  <c r="M180" i="6"/>
  <c r="N180" i="6" s="1"/>
  <c r="S180" i="6"/>
  <c r="Y176" i="6"/>
  <c r="M176" i="6"/>
  <c r="N176" i="6" s="1"/>
  <c r="Y172" i="6"/>
  <c r="M172" i="6"/>
  <c r="N172" i="6" s="1"/>
  <c r="Y168" i="6"/>
  <c r="M168" i="6"/>
  <c r="N168" i="6" s="1"/>
  <c r="P164" i="6"/>
  <c r="Q164" i="6" s="1"/>
  <c r="W164" i="6" s="1"/>
  <c r="Y164" i="6"/>
  <c r="S164" i="6"/>
  <c r="T164" i="6" s="1"/>
  <c r="U164" i="6" s="1"/>
  <c r="B164" i="6" s="1"/>
  <c r="M164" i="6"/>
  <c r="N164" i="6" s="1"/>
  <c r="P160" i="6"/>
  <c r="Q160" i="6" s="1"/>
  <c r="Y160" i="6"/>
  <c r="M160" i="6"/>
  <c r="N160" i="6" s="1"/>
  <c r="S160" i="6"/>
  <c r="T160" i="6" s="1"/>
  <c r="U160" i="6" s="1"/>
  <c r="B160" i="6" s="1"/>
  <c r="P156" i="6"/>
  <c r="Q156" i="6" s="1"/>
  <c r="Y156" i="6"/>
  <c r="M156" i="6"/>
  <c r="N156" i="6" s="1"/>
  <c r="S156" i="6"/>
  <c r="T156" i="6" s="1"/>
  <c r="U156" i="6" s="1"/>
  <c r="B156" i="6" s="1"/>
  <c r="Y152" i="6"/>
  <c r="M152" i="6"/>
  <c r="N152" i="6" s="1"/>
  <c r="Y148" i="6"/>
  <c r="M148" i="6"/>
  <c r="N148" i="6" s="1"/>
  <c r="Y144" i="6"/>
  <c r="M144" i="6"/>
  <c r="N144" i="6" s="1"/>
  <c r="P140" i="6"/>
  <c r="Q140" i="6" s="1"/>
  <c r="W140" i="6" s="1"/>
  <c r="Y140" i="6"/>
  <c r="S140" i="6"/>
  <c r="M140" i="6"/>
  <c r="N140" i="6" s="1"/>
  <c r="P136" i="6"/>
  <c r="Q136" i="6" s="1"/>
  <c r="Y136" i="6"/>
  <c r="S136" i="6"/>
  <c r="M136" i="6"/>
  <c r="N136" i="6" s="1"/>
  <c r="P132" i="6"/>
  <c r="Q132" i="6" s="1"/>
  <c r="Y132" i="6"/>
  <c r="S132" i="6"/>
  <c r="M132" i="6"/>
  <c r="N132" i="6" s="1"/>
  <c r="Y128" i="6"/>
  <c r="M128" i="6"/>
  <c r="N128" i="6" s="1"/>
  <c r="Y124" i="6"/>
  <c r="M124" i="6"/>
  <c r="N124" i="6" s="1"/>
  <c r="Y120" i="6"/>
  <c r="M120" i="6"/>
  <c r="N120" i="6" s="1"/>
  <c r="P116" i="6"/>
  <c r="Q116" i="6" s="1"/>
  <c r="W116" i="6" s="1"/>
  <c r="Y116" i="6"/>
  <c r="S116" i="6"/>
  <c r="T116" i="6" s="1"/>
  <c r="U116" i="6" s="1"/>
  <c r="B116" i="6" s="1"/>
  <c r="M116" i="6"/>
  <c r="N116" i="6" s="1"/>
  <c r="P112" i="6"/>
  <c r="Q112" i="6" s="1"/>
  <c r="Y112" i="6"/>
  <c r="M112" i="6"/>
  <c r="N112" i="6" s="1"/>
  <c r="S112" i="6"/>
  <c r="T112" i="6" s="1"/>
  <c r="U112" i="6" s="1"/>
  <c r="B112" i="6" s="1"/>
  <c r="P108" i="6"/>
  <c r="Q108" i="6" s="1"/>
  <c r="Y108" i="6"/>
  <c r="S108" i="6"/>
  <c r="T108" i="6" s="1"/>
  <c r="U108" i="6" s="1"/>
  <c r="B108" i="6" s="1"/>
  <c r="M108" i="6"/>
  <c r="N108" i="6" s="1"/>
  <c r="Y104" i="6"/>
  <c r="M104" i="6"/>
  <c r="N104" i="6" s="1"/>
  <c r="Y100" i="6"/>
  <c r="M100" i="6"/>
  <c r="N100" i="6" s="1"/>
  <c r="Y96" i="6"/>
  <c r="M96" i="6"/>
  <c r="N96" i="6" s="1"/>
  <c r="P92" i="6"/>
  <c r="Q92" i="6" s="1"/>
  <c r="W92" i="6" s="1"/>
  <c r="Y92" i="6"/>
  <c r="S92" i="6"/>
  <c r="M92" i="6"/>
  <c r="N92" i="6" s="1"/>
  <c r="P88" i="6"/>
  <c r="Q88" i="6" s="1"/>
  <c r="Y88" i="6"/>
  <c r="S88" i="6"/>
  <c r="M88" i="6"/>
  <c r="N88" i="6" s="1"/>
  <c r="P84" i="6"/>
  <c r="Q84" i="6" s="1"/>
  <c r="Y84" i="6"/>
  <c r="S84" i="6"/>
  <c r="M84" i="6"/>
  <c r="N84" i="6" s="1"/>
  <c r="Y80" i="6"/>
  <c r="M80" i="6"/>
  <c r="N80" i="6" s="1"/>
  <c r="Y76" i="6"/>
  <c r="M76" i="6"/>
  <c r="N76" i="6" s="1"/>
  <c r="Y72" i="6"/>
  <c r="M72" i="6"/>
  <c r="N72" i="6" s="1"/>
  <c r="Y68" i="6"/>
  <c r="M68" i="6"/>
  <c r="N68" i="6" s="1"/>
  <c r="P64" i="6"/>
  <c r="Q64" i="6" s="1"/>
  <c r="Y64" i="6"/>
  <c r="S64" i="6"/>
  <c r="M64" i="6"/>
  <c r="N64" i="6" s="1"/>
  <c r="P60" i="6"/>
  <c r="Q60" i="6" s="1"/>
  <c r="Y60" i="6"/>
  <c r="M60" i="6"/>
  <c r="N60" i="6" s="1"/>
  <c r="S60" i="6"/>
  <c r="AC56" i="6"/>
  <c r="AD56" i="6" s="1"/>
  <c r="Y56" i="6"/>
  <c r="M56" i="6"/>
  <c r="AC52" i="6"/>
  <c r="AD52" i="6" s="1"/>
  <c r="Y52" i="6"/>
  <c r="M52" i="6"/>
  <c r="Y48" i="6"/>
  <c r="M48" i="6"/>
  <c r="N48" i="6" s="1"/>
  <c r="Y44" i="6"/>
  <c r="M44" i="6"/>
  <c r="N44" i="6" s="1"/>
  <c r="P40" i="6"/>
  <c r="Q40" i="6" s="1"/>
  <c r="Y40" i="6"/>
  <c r="S40" i="6"/>
  <c r="T40" i="6" s="1"/>
  <c r="U40" i="6" s="1"/>
  <c r="B40" i="6" s="1"/>
  <c r="M40" i="6"/>
  <c r="N40" i="6" s="1"/>
  <c r="P36" i="6"/>
  <c r="Q36" i="6" s="1"/>
  <c r="W36" i="6" s="1"/>
  <c r="Y36" i="6"/>
  <c r="S36" i="6"/>
  <c r="T36" i="6" s="1"/>
  <c r="U36" i="6" s="1"/>
  <c r="B36" i="6" s="1"/>
  <c r="M36" i="6"/>
  <c r="N36" i="6" s="1"/>
  <c r="AC32" i="6"/>
  <c r="AD32" i="6" s="1"/>
  <c r="Y32" i="6"/>
  <c r="M32" i="6"/>
  <c r="AC28" i="6"/>
  <c r="AD28" i="6" s="1"/>
  <c r="Y28" i="6"/>
  <c r="M28" i="6"/>
  <c r="AC24" i="6"/>
  <c r="AD24" i="6" s="1"/>
  <c r="Y24" i="6"/>
  <c r="M24" i="6"/>
  <c r="Y19" i="6"/>
  <c r="M19" i="6"/>
  <c r="N19" i="6" s="1"/>
  <c r="P14" i="6"/>
  <c r="Q14" i="6" s="1"/>
  <c r="Y14" i="6"/>
  <c r="S14" i="6"/>
  <c r="M14" i="6"/>
  <c r="N14" i="6" s="1"/>
  <c r="AC9" i="6"/>
  <c r="AD9" i="6" s="1"/>
  <c r="Y9" i="6"/>
  <c r="M9" i="6"/>
  <c r="Y287" i="6"/>
  <c r="M287" i="6"/>
  <c r="N287" i="6" s="1"/>
  <c r="Y283" i="6"/>
  <c r="M283" i="6"/>
  <c r="N283" i="6" s="1"/>
  <c r="P279" i="6"/>
  <c r="Q279" i="6" s="1"/>
  <c r="Y279" i="6"/>
  <c r="M279" i="6"/>
  <c r="N279" i="6" s="1"/>
  <c r="S279" i="6"/>
  <c r="Y275" i="6"/>
  <c r="M275" i="6"/>
  <c r="N275" i="6" s="1"/>
  <c r="Y271" i="6"/>
  <c r="M271" i="6"/>
  <c r="N271" i="6" s="1"/>
  <c r="Y267" i="6"/>
  <c r="M267" i="6"/>
  <c r="N267" i="6" s="1"/>
  <c r="Y263" i="6"/>
  <c r="M263" i="6"/>
  <c r="N263" i="6" s="1"/>
  <c r="Y259" i="6"/>
  <c r="M259" i="6"/>
  <c r="N259" i="6" s="1"/>
  <c r="P255" i="6"/>
  <c r="Q255" i="6" s="1"/>
  <c r="Y255" i="6"/>
  <c r="M255" i="6"/>
  <c r="N255" i="6" s="1"/>
  <c r="S255" i="6"/>
  <c r="T255" i="6" s="1"/>
  <c r="U255" i="6" s="1"/>
  <c r="B255" i="6" s="1"/>
  <c r="Y251" i="6"/>
  <c r="M251" i="6"/>
  <c r="N251" i="6" s="1"/>
  <c r="Y247" i="6"/>
  <c r="M247" i="6"/>
  <c r="N247" i="6" s="1"/>
  <c r="Y243" i="6"/>
  <c r="M243" i="6"/>
  <c r="N243" i="6" s="1"/>
  <c r="Y239" i="6"/>
  <c r="M239" i="6"/>
  <c r="N239" i="6" s="1"/>
  <c r="Y235" i="6"/>
  <c r="M235" i="6"/>
  <c r="N235" i="6" s="1"/>
  <c r="P231" i="6"/>
  <c r="Q231" i="6" s="1"/>
  <c r="Y231" i="6"/>
  <c r="M231" i="6"/>
  <c r="N231" i="6" s="1"/>
  <c r="S231" i="6"/>
  <c r="P227" i="6"/>
  <c r="Q227" i="6" s="1"/>
  <c r="W227" i="6" s="1"/>
  <c r="Y227" i="6"/>
  <c r="M227" i="6"/>
  <c r="N227" i="6" s="1"/>
  <c r="S227" i="6"/>
  <c r="Y223" i="6"/>
  <c r="M223" i="6"/>
  <c r="N223" i="6" s="1"/>
  <c r="Y219" i="6"/>
  <c r="M219" i="6"/>
  <c r="N219" i="6" s="1"/>
  <c r="Y215" i="6"/>
  <c r="M215" i="6"/>
  <c r="N215" i="6" s="1"/>
  <c r="P211" i="6"/>
  <c r="Q211" i="6" s="1"/>
  <c r="W211" i="6" s="1"/>
  <c r="Y211" i="6"/>
  <c r="M211" i="6"/>
  <c r="N211" i="6" s="1"/>
  <c r="S211" i="6"/>
  <c r="T211" i="6" s="1"/>
  <c r="U211" i="6" s="1"/>
  <c r="B211" i="6" s="1"/>
  <c r="P207" i="6"/>
  <c r="Q207" i="6" s="1"/>
  <c r="Y207" i="6"/>
  <c r="S207" i="6"/>
  <c r="T207" i="6" s="1"/>
  <c r="U207" i="6" s="1"/>
  <c r="B207" i="6" s="1"/>
  <c r="M207" i="6"/>
  <c r="N207" i="6" s="1"/>
  <c r="P203" i="6"/>
  <c r="Q203" i="6" s="1"/>
  <c r="W203" i="6" s="1"/>
  <c r="Y203" i="6"/>
  <c r="S203" i="6"/>
  <c r="T203" i="6" s="1"/>
  <c r="U203" i="6" s="1"/>
  <c r="B203" i="6" s="1"/>
  <c r="M203" i="6"/>
  <c r="N203" i="6" s="1"/>
  <c r="Y199" i="6"/>
  <c r="M199" i="6"/>
  <c r="N199" i="6" s="1"/>
  <c r="Y195" i="6"/>
  <c r="M195" i="6"/>
  <c r="N195" i="6" s="1"/>
  <c r="Y191" i="6"/>
  <c r="M191" i="6"/>
  <c r="N191" i="6" s="1"/>
  <c r="P187" i="6"/>
  <c r="Q187" i="6" s="1"/>
  <c r="W187" i="6" s="1"/>
  <c r="Y187" i="6"/>
  <c r="M187" i="6"/>
  <c r="N187" i="6" s="1"/>
  <c r="S187" i="6"/>
  <c r="P183" i="6"/>
  <c r="Q183" i="6" s="1"/>
  <c r="Y183" i="6"/>
  <c r="S183" i="6"/>
  <c r="M183" i="6"/>
  <c r="N183" i="6" s="1"/>
  <c r="P179" i="6"/>
  <c r="Q179" i="6" s="1"/>
  <c r="W179" i="6" s="1"/>
  <c r="Y179" i="6"/>
  <c r="S179" i="6"/>
  <c r="M179" i="6"/>
  <c r="N179" i="6" s="1"/>
  <c r="Y175" i="6"/>
  <c r="M175" i="6"/>
  <c r="N175" i="6" s="1"/>
  <c r="Y171" i="6"/>
  <c r="M171" i="6"/>
  <c r="N171" i="6" s="1"/>
  <c r="Y167" i="6"/>
  <c r="M167" i="6"/>
  <c r="N167" i="6" s="1"/>
  <c r="P163" i="6"/>
  <c r="Q163" i="6" s="1"/>
  <c r="W163" i="6" s="1"/>
  <c r="Y163" i="6"/>
  <c r="S163" i="6"/>
  <c r="T163" i="6" s="1"/>
  <c r="U163" i="6" s="1"/>
  <c r="B163" i="6" s="1"/>
  <c r="M163" i="6"/>
  <c r="N163" i="6" s="1"/>
  <c r="P159" i="6"/>
  <c r="Q159" i="6" s="1"/>
  <c r="Y159" i="6"/>
  <c r="S159" i="6"/>
  <c r="T159" i="6" s="1"/>
  <c r="U159" i="6" s="1"/>
  <c r="B159" i="6" s="1"/>
  <c r="M159" i="6"/>
  <c r="N159" i="6" s="1"/>
  <c r="P155" i="6"/>
  <c r="Q155" i="6" s="1"/>
  <c r="Y155" i="6"/>
  <c r="S155" i="6"/>
  <c r="T155" i="6" s="1"/>
  <c r="U155" i="6" s="1"/>
  <c r="B155" i="6" s="1"/>
  <c r="M155" i="6"/>
  <c r="N155" i="6" s="1"/>
  <c r="Y151" i="6"/>
  <c r="M151" i="6"/>
  <c r="N151" i="6" s="1"/>
  <c r="Y147" i="6"/>
  <c r="M147" i="6"/>
  <c r="N147" i="6" s="1"/>
  <c r="Y143" i="6"/>
  <c r="M143" i="6"/>
  <c r="N143" i="6" s="1"/>
  <c r="P139" i="6"/>
  <c r="Q139" i="6" s="1"/>
  <c r="W139" i="6" s="1"/>
  <c r="Y139" i="6"/>
  <c r="S139" i="6"/>
  <c r="M139" i="6"/>
  <c r="N139" i="6" s="1"/>
  <c r="P135" i="6"/>
  <c r="Q135" i="6" s="1"/>
  <c r="Y135" i="6"/>
  <c r="S135" i="6"/>
  <c r="M135" i="6"/>
  <c r="N135" i="6" s="1"/>
  <c r="P131" i="6"/>
  <c r="Q131" i="6" s="1"/>
  <c r="Y131" i="6"/>
  <c r="S131" i="6"/>
  <c r="M131" i="6"/>
  <c r="N131" i="6" s="1"/>
  <c r="Y127" i="6"/>
  <c r="M127" i="6"/>
  <c r="N127" i="6" s="1"/>
  <c r="Y123" i="6"/>
  <c r="M123" i="6"/>
  <c r="N123" i="6" s="1"/>
  <c r="Y119" i="6"/>
  <c r="M119" i="6"/>
  <c r="N119" i="6" s="1"/>
  <c r="P115" i="6"/>
  <c r="Q115" i="6" s="1"/>
  <c r="W115" i="6" s="1"/>
  <c r="Y115" i="6"/>
  <c r="S115" i="6"/>
  <c r="T115" i="6" s="1"/>
  <c r="U115" i="6" s="1"/>
  <c r="B115" i="6" s="1"/>
  <c r="M115" i="6"/>
  <c r="N115" i="6" s="1"/>
  <c r="P111" i="6"/>
  <c r="Q111" i="6" s="1"/>
  <c r="Y111" i="6"/>
  <c r="S111" i="6"/>
  <c r="T111" i="6" s="1"/>
  <c r="U111" i="6" s="1"/>
  <c r="B111" i="6" s="1"/>
  <c r="M111" i="6"/>
  <c r="N111" i="6" s="1"/>
  <c r="P107" i="6"/>
  <c r="Q107" i="6" s="1"/>
  <c r="Y107" i="6"/>
  <c r="S107" i="6"/>
  <c r="T107" i="6" s="1"/>
  <c r="U107" i="6" s="1"/>
  <c r="B107" i="6" s="1"/>
  <c r="M107" i="6"/>
  <c r="N107" i="6" s="1"/>
  <c r="Y103" i="6"/>
  <c r="M103" i="6"/>
  <c r="N103" i="6" s="1"/>
  <c r="Y99" i="6"/>
  <c r="M99" i="6"/>
  <c r="N99" i="6" s="1"/>
  <c r="Y95" i="6"/>
  <c r="M95" i="6"/>
  <c r="N95" i="6" s="1"/>
  <c r="P91" i="6"/>
  <c r="Q91" i="6" s="1"/>
  <c r="Y91" i="6"/>
  <c r="S91" i="6"/>
  <c r="M91" i="6"/>
  <c r="N91" i="6" s="1"/>
  <c r="P87" i="6"/>
  <c r="Q87" i="6" s="1"/>
  <c r="Y87" i="6"/>
  <c r="S87" i="6"/>
  <c r="M87" i="6"/>
  <c r="N87" i="6" s="1"/>
  <c r="P83" i="6"/>
  <c r="Q83" i="6" s="1"/>
  <c r="W83" i="6" s="1"/>
  <c r="Y83" i="6"/>
  <c r="S83" i="6"/>
  <c r="M83" i="6"/>
  <c r="N83" i="6" s="1"/>
  <c r="Y79" i="6"/>
  <c r="M79" i="6"/>
  <c r="N79" i="6" s="1"/>
  <c r="Y75" i="6"/>
  <c r="M75" i="6"/>
  <c r="N75" i="6" s="1"/>
  <c r="Y71" i="6"/>
  <c r="M71" i="6"/>
  <c r="N71" i="6" s="1"/>
  <c r="P67" i="6"/>
  <c r="Q67" i="6" s="1"/>
  <c r="W67" i="6" s="1"/>
  <c r="Y67" i="6"/>
  <c r="S67" i="6"/>
  <c r="T67" i="6" s="1"/>
  <c r="U67" i="6" s="1"/>
  <c r="B67" i="6" s="1"/>
  <c r="M67" i="6"/>
  <c r="N67" i="6" s="1"/>
  <c r="P63" i="6"/>
  <c r="Q63" i="6" s="1"/>
  <c r="Y63" i="6"/>
  <c r="S63" i="6"/>
  <c r="T63" i="6" s="1"/>
  <c r="U63" i="6" s="1"/>
  <c r="B63" i="6" s="1"/>
  <c r="M63" i="6"/>
  <c r="N63" i="6" s="1"/>
  <c r="P59" i="6"/>
  <c r="Q59" i="6" s="1"/>
  <c r="W59" i="6" s="1"/>
  <c r="Y59" i="6"/>
  <c r="S59" i="6"/>
  <c r="T59" i="6" s="1"/>
  <c r="U59" i="6" s="1"/>
  <c r="B59" i="6" s="1"/>
  <c r="M59" i="6"/>
  <c r="N59" i="6" s="1"/>
  <c r="AC55" i="6"/>
  <c r="AD55" i="6" s="1"/>
  <c r="Y55" i="6"/>
  <c r="M55" i="6"/>
  <c r="AC51" i="6"/>
  <c r="AD51" i="6" s="1"/>
  <c r="Y51" i="6"/>
  <c r="M51" i="6"/>
  <c r="Y47" i="6"/>
  <c r="M47" i="6"/>
  <c r="N47" i="6" s="1"/>
  <c r="Y43" i="6"/>
  <c r="M43" i="6"/>
  <c r="N43" i="6" s="1"/>
  <c r="P39" i="6"/>
  <c r="Q39" i="6" s="1"/>
  <c r="Y39" i="6"/>
  <c r="S39" i="6"/>
  <c r="M39" i="6"/>
  <c r="N39" i="6" s="1"/>
  <c r="AC35" i="6"/>
  <c r="AD35" i="6" s="1"/>
  <c r="Y35" i="6"/>
  <c r="M35" i="6"/>
  <c r="AC31" i="6"/>
  <c r="AD31" i="6" s="1"/>
  <c r="Y31" i="6"/>
  <c r="M31" i="6"/>
  <c r="AC27" i="6"/>
  <c r="AD27" i="6" s="1"/>
  <c r="Y27" i="6"/>
  <c r="M27" i="6"/>
  <c r="AC23" i="6"/>
  <c r="AD23" i="6" s="1"/>
  <c r="Y23" i="6"/>
  <c r="M23" i="6"/>
  <c r="P18" i="6"/>
  <c r="Q18" i="6" s="1"/>
  <c r="W18" i="6" s="1"/>
  <c r="Y18" i="6"/>
  <c r="M18" i="6"/>
  <c r="N18" i="6" s="1"/>
  <c r="S18" i="6"/>
  <c r="P13" i="6"/>
  <c r="Q13" i="6" s="1"/>
  <c r="W13" i="6" s="1"/>
  <c r="Y13" i="6"/>
  <c r="S13" i="6"/>
  <c r="M13" i="6"/>
  <c r="N13" i="6" s="1"/>
  <c r="AC7" i="6"/>
  <c r="AD7" i="6" s="1"/>
  <c r="Y7" i="6"/>
  <c r="M7" i="6"/>
  <c r="Y2" i="6"/>
  <c r="M2" i="6"/>
  <c r="Y286" i="6"/>
  <c r="M286" i="6"/>
  <c r="N286" i="6" s="1"/>
  <c r="Y282" i="6"/>
  <c r="M282" i="6"/>
  <c r="N282" i="6" s="1"/>
  <c r="P278" i="6"/>
  <c r="Q278" i="6" s="1"/>
  <c r="Y278" i="6"/>
  <c r="S278" i="6"/>
  <c r="M278" i="6"/>
  <c r="N278" i="6" s="1"/>
  <c r="Y274" i="6"/>
  <c r="M274" i="6"/>
  <c r="N274" i="6" s="1"/>
  <c r="Y270" i="6"/>
  <c r="M270" i="6"/>
  <c r="N270" i="6" s="1"/>
  <c r="Y266" i="6"/>
  <c r="M266" i="6"/>
  <c r="N266" i="6" s="1"/>
  <c r="Y262" i="6"/>
  <c r="M262" i="6"/>
  <c r="N262" i="6" s="1"/>
  <c r="Y258" i="6"/>
  <c r="M258" i="6"/>
  <c r="N258" i="6" s="1"/>
  <c r="P254" i="6"/>
  <c r="Q254" i="6" s="1"/>
  <c r="Y254" i="6"/>
  <c r="M254" i="6"/>
  <c r="N254" i="6" s="1"/>
  <c r="S254" i="6"/>
  <c r="Y250" i="6"/>
  <c r="M250" i="6"/>
  <c r="N250" i="6" s="1"/>
  <c r="Y246" i="6"/>
  <c r="M246" i="6"/>
  <c r="N246" i="6" s="1"/>
  <c r="Y242" i="6"/>
  <c r="M242" i="6"/>
  <c r="N242" i="6" s="1"/>
  <c r="Y238" i="6"/>
  <c r="M238" i="6"/>
  <c r="N238" i="6" s="1"/>
  <c r="P234" i="6"/>
  <c r="Q234" i="6" s="1"/>
  <c r="W234" i="6" s="1"/>
  <c r="Y234" i="6"/>
  <c r="S234" i="6"/>
  <c r="M234" i="6"/>
  <c r="N234" i="6" s="1"/>
  <c r="P230" i="6"/>
  <c r="Q230" i="6" s="1"/>
  <c r="Y230" i="6"/>
  <c r="M230" i="6"/>
  <c r="N230" i="6" s="1"/>
  <c r="S230" i="6"/>
  <c r="Y226" i="6"/>
  <c r="M226" i="6"/>
  <c r="N226" i="6" s="1"/>
  <c r="Y222" i="6"/>
  <c r="M222" i="6"/>
  <c r="N222" i="6" s="1"/>
  <c r="Y218" i="6"/>
  <c r="M218" i="6"/>
  <c r="N218" i="6" s="1"/>
  <c r="Y214" i="6"/>
  <c r="M214" i="6"/>
  <c r="N214" i="6" s="1"/>
  <c r="P210" i="6"/>
  <c r="Q210" i="6" s="1"/>
  <c r="W210" i="6" s="1"/>
  <c r="Y210" i="6"/>
  <c r="S210" i="6"/>
  <c r="M210" i="6"/>
  <c r="N210" i="6" s="1"/>
  <c r="P206" i="6"/>
  <c r="Q206" i="6" s="1"/>
  <c r="Y206" i="6"/>
  <c r="S206" i="6"/>
  <c r="M206" i="6"/>
  <c r="N206" i="6" s="1"/>
  <c r="Y202" i="6"/>
  <c r="M202" i="6"/>
  <c r="N202" i="6" s="1"/>
  <c r="Y198" i="6"/>
  <c r="M198" i="6"/>
  <c r="N198" i="6" s="1"/>
  <c r="Y194" i="6"/>
  <c r="M194" i="6"/>
  <c r="N194" i="6" s="1"/>
  <c r="Y190" i="6"/>
  <c r="M190" i="6"/>
  <c r="N190" i="6" s="1"/>
  <c r="P186" i="6"/>
  <c r="Q186" i="6" s="1"/>
  <c r="W186" i="6" s="1"/>
  <c r="Y186" i="6"/>
  <c r="S186" i="6"/>
  <c r="M186" i="6"/>
  <c r="N186" i="6" s="1"/>
  <c r="P182" i="6"/>
  <c r="Q182" i="6" s="1"/>
  <c r="Y182" i="6"/>
  <c r="S182" i="6"/>
  <c r="M182" i="6"/>
  <c r="N182" i="6" s="1"/>
  <c r="P178" i="6"/>
  <c r="Q178" i="6" s="1"/>
  <c r="W178" i="6" s="1"/>
  <c r="Y178" i="6"/>
  <c r="S178" i="6"/>
  <c r="M178" i="6"/>
  <c r="N178" i="6" s="1"/>
  <c r="Y174" i="6"/>
  <c r="M174" i="6"/>
  <c r="N174" i="6" s="1"/>
  <c r="Y170" i="6"/>
  <c r="M170" i="6"/>
  <c r="N170" i="6" s="1"/>
  <c r="Y166" i="6"/>
  <c r="M166" i="6"/>
  <c r="N166" i="6" s="1"/>
  <c r="P162" i="6"/>
  <c r="Q162" i="6" s="1"/>
  <c r="W162" i="6" s="1"/>
  <c r="Y162" i="6"/>
  <c r="S162" i="6"/>
  <c r="M162" i="6"/>
  <c r="N162" i="6" s="1"/>
  <c r="P158" i="6"/>
  <c r="Q158" i="6" s="1"/>
  <c r="Y158" i="6"/>
  <c r="M158" i="6"/>
  <c r="N158" i="6" s="1"/>
  <c r="S158" i="6"/>
  <c r="T158" i="6" s="1"/>
  <c r="U158" i="6" s="1"/>
  <c r="B158" i="6" s="1"/>
  <c r="P154" i="6"/>
  <c r="Q154" i="6" s="1"/>
  <c r="W154" i="6" s="1"/>
  <c r="Y154" i="6"/>
  <c r="M154" i="6"/>
  <c r="N154" i="6" s="1"/>
  <c r="S154" i="6"/>
  <c r="T154" i="6" s="1"/>
  <c r="U154" i="6" s="1"/>
  <c r="B154" i="6" s="1"/>
  <c r="Y150" i="6"/>
  <c r="M150" i="6"/>
  <c r="N150" i="6" s="1"/>
  <c r="Y146" i="6"/>
  <c r="M146" i="6"/>
  <c r="N146" i="6" s="1"/>
  <c r="Y142" i="6"/>
  <c r="M142" i="6"/>
  <c r="N142" i="6" s="1"/>
  <c r="P138" i="6"/>
  <c r="Q138" i="6" s="1"/>
  <c r="W138" i="6" s="1"/>
  <c r="Y138" i="6"/>
  <c r="M138" i="6"/>
  <c r="N138" i="6" s="1"/>
  <c r="S138" i="6"/>
  <c r="P134" i="6"/>
  <c r="Q134" i="6" s="1"/>
  <c r="Y134" i="6"/>
  <c r="M134" i="6"/>
  <c r="N134" i="6" s="1"/>
  <c r="S134" i="6"/>
  <c r="P130" i="6"/>
  <c r="Q130" i="6" s="1"/>
  <c r="W130" i="6" s="1"/>
  <c r="Y130" i="6"/>
  <c r="S130" i="6"/>
  <c r="M130" i="6"/>
  <c r="N130" i="6" s="1"/>
  <c r="Y126" i="6"/>
  <c r="M126" i="6"/>
  <c r="N126" i="6" s="1"/>
  <c r="Y122" i="6"/>
  <c r="M122" i="6"/>
  <c r="N122" i="6" s="1"/>
  <c r="Y118" i="6"/>
  <c r="M118" i="6"/>
  <c r="N118" i="6" s="1"/>
  <c r="P114" i="6"/>
  <c r="Q114" i="6" s="1"/>
  <c r="Y114" i="6"/>
  <c r="S114" i="6"/>
  <c r="M114" i="6"/>
  <c r="N114" i="6" s="1"/>
  <c r="P110" i="6"/>
  <c r="Q110" i="6" s="1"/>
  <c r="Y110" i="6"/>
  <c r="M110" i="6"/>
  <c r="N110" i="6" s="1"/>
  <c r="S110" i="6"/>
  <c r="T110" i="6" s="1"/>
  <c r="U110" i="6" s="1"/>
  <c r="B110" i="6" s="1"/>
  <c r="P106" i="6"/>
  <c r="Q106" i="6" s="1"/>
  <c r="W106" i="6" s="1"/>
  <c r="Y106" i="6"/>
  <c r="S106" i="6"/>
  <c r="M106" i="6"/>
  <c r="N106" i="6" s="1"/>
  <c r="Y102" i="6"/>
  <c r="M102" i="6"/>
  <c r="N102" i="6" s="1"/>
  <c r="Y98" i="6"/>
  <c r="M98" i="6"/>
  <c r="N98" i="6" s="1"/>
  <c r="Y94" i="6"/>
  <c r="M94" i="6"/>
  <c r="N94" i="6" s="1"/>
  <c r="P90" i="6"/>
  <c r="Q90" i="6" s="1"/>
  <c r="W90" i="6" s="1"/>
  <c r="Y90" i="6"/>
  <c r="M90" i="6"/>
  <c r="N90" i="6" s="1"/>
  <c r="S90" i="6"/>
  <c r="P86" i="6"/>
  <c r="Q86" i="6" s="1"/>
  <c r="Y86" i="6"/>
  <c r="S86" i="6"/>
  <c r="M86" i="6"/>
  <c r="N86" i="6" s="1"/>
  <c r="Y82" i="6"/>
  <c r="M82" i="6"/>
  <c r="N82" i="6" s="1"/>
  <c r="Y78" i="6"/>
  <c r="M78" i="6"/>
  <c r="N78" i="6" s="1"/>
  <c r="Y74" i="6"/>
  <c r="M74" i="6"/>
  <c r="N74" i="6" s="1"/>
  <c r="Y70" i="6"/>
  <c r="M70" i="6"/>
  <c r="N70" i="6" s="1"/>
  <c r="P66" i="6"/>
  <c r="Q66" i="6" s="1"/>
  <c r="Y66" i="6"/>
  <c r="S66" i="6"/>
  <c r="M66" i="6"/>
  <c r="N66" i="6" s="1"/>
  <c r="P62" i="6"/>
  <c r="Q62" i="6" s="1"/>
  <c r="Y62" i="6"/>
  <c r="S62" i="6"/>
  <c r="M62" i="6"/>
  <c r="N62" i="6" s="1"/>
  <c r="AC58" i="6"/>
  <c r="AD58" i="6" s="1"/>
  <c r="Y58" i="6"/>
  <c r="M58" i="6"/>
  <c r="AC54" i="6"/>
  <c r="AD54" i="6" s="1"/>
  <c r="Y54" i="6"/>
  <c r="M54" i="6"/>
  <c r="AC50" i="6"/>
  <c r="AD50" i="6" s="1"/>
  <c r="Y50" i="6"/>
  <c r="M50" i="6"/>
  <c r="Y46" i="6"/>
  <c r="M46" i="6"/>
  <c r="N46" i="6" s="1"/>
  <c r="P42" i="6"/>
  <c r="Q42" i="6" s="1"/>
  <c r="W42" i="6" s="1"/>
  <c r="Y42" i="6"/>
  <c r="S42" i="6"/>
  <c r="M42" i="6"/>
  <c r="N42" i="6" s="1"/>
  <c r="P38" i="6"/>
  <c r="Q38" i="6" s="1"/>
  <c r="Y38" i="6"/>
  <c r="S38" i="6"/>
  <c r="M38" i="6"/>
  <c r="N38" i="6" s="1"/>
  <c r="AC34" i="6"/>
  <c r="AD34" i="6" s="1"/>
  <c r="Y34" i="6"/>
  <c r="M34" i="6"/>
  <c r="AC30" i="6"/>
  <c r="AD30" i="6" s="1"/>
  <c r="Y30" i="6"/>
  <c r="M30" i="6"/>
  <c r="Y26" i="6"/>
  <c r="M26" i="6"/>
  <c r="N26" i="6" s="1"/>
  <c r="AC22" i="6"/>
  <c r="AD22" i="6" s="1"/>
  <c r="Y22" i="6"/>
  <c r="M22" i="6"/>
  <c r="P17" i="6"/>
  <c r="Q17" i="6" s="1"/>
  <c r="W17" i="6" s="1"/>
  <c r="Y17" i="6"/>
  <c r="S17" i="6"/>
  <c r="M17" i="6"/>
  <c r="N17" i="6" s="1"/>
  <c r="AC11" i="6"/>
  <c r="AD11" i="6" s="1"/>
  <c r="Y11" i="6"/>
  <c r="M11" i="6"/>
  <c r="AC6" i="6"/>
  <c r="AD6" i="6" s="1"/>
  <c r="Y6" i="6"/>
  <c r="M6" i="6"/>
  <c r="Y289" i="6"/>
  <c r="M289" i="6"/>
  <c r="N289" i="6" s="1"/>
  <c r="Y285" i="6"/>
  <c r="M285" i="6"/>
  <c r="N285" i="6" s="1"/>
  <c r="P281" i="6"/>
  <c r="Q281" i="6" s="1"/>
  <c r="W281" i="6" s="1"/>
  <c r="Y281" i="6"/>
  <c r="S281" i="6"/>
  <c r="M281" i="6"/>
  <c r="N281" i="6" s="1"/>
  <c r="P277" i="6"/>
  <c r="Q277" i="6" s="1"/>
  <c r="W277" i="6" s="1"/>
  <c r="Y277" i="6"/>
  <c r="S277" i="6"/>
  <c r="M277" i="6"/>
  <c r="N277" i="6" s="1"/>
  <c r="Y273" i="6"/>
  <c r="M273" i="6"/>
  <c r="N273" i="6" s="1"/>
  <c r="Y269" i="6"/>
  <c r="M269" i="6"/>
  <c r="N269" i="6" s="1"/>
  <c r="Y265" i="6"/>
  <c r="M265" i="6"/>
  <c r="N265" i="6" s="1"/>
  <c r="Y261" i="6"/>
  <c r="M261" i="6"/>
  <c r="N261" i="6" s="1"/>
  <c r="P257" i="6"/>
  <c r="Q257" i="6" s="1"/>
  <c r="W257" i="6" s="1"/>
  <c r="Y257" i="6"/>
  <c r="S257" i="6"/>
  <c r="M257" i="6"/>
  <c r="N257" i="6" s="1"/>
  <c r="P253" i="6"/>
  <c r="Q253" i="6" s="1"/>
  <c r="Y253" i="6"/>
  <c r="M253" i="6"/>
  <c r="N253" i="6" s="1"/>
  <c r="S253" i="6"/>
  <c r="Y249" i="6"/>
  <c r="M249" i="6"/>
  <c r="N249" i="6" s="1"/>
  <c r="Y245" i="6"/>
  <c r="M245" i="6"/>
  <c r="N245" i="6" s="1"/>
  <c r="Y241" i="6"/>
  <c r="M241" i="6"/>
  <c r="N241" i="6" s="1"/>
  <c r="Y237" i="6"/>
  <c r="M237" i="6"/>
  <c r="N237" i="6" s="1"/>
  <c r="P233" i="6"/>
  <c r="Q233" i="6" s="1"/>
  <c r="W233" i="6" s="1"/>
  <c r="Y233" i="6"/>
  <c r="S233" i="6"/>
  <c r="M233" i="6"/>
  <c r="N233" i="6" s="1"/>
  <c r="P229" i="6"/>
  <c r="Q229" i="6" s="1"/>
  <c r="Y229" i="6"/>
  <c r="S229" i="6"/>
  <c r="M229" i="6"/>
  <c r="N229" i="6" s="1"/>
  <c r="Y225" i="6"/>
  <c r="M225" i="6"/>
  <c r="N225" i="6" s="1"/>
  <c r="Y221" i="6"/>
  <c r="M221" i="6"/>
  <c r="N221" i="6" s="1"/>
  <c r="Y217" i="6"/>
  <c r="M217" i="6"/>
  <c r="N217" i="6" s="1"/>
  <c r="Y213" i="6"/>
  <c r="M213" i="6"/>
  <c r="N213" i="6" s="1"/>
  <c r="P209" i="6"/>
  <c r="Q209" i="6" s="1"/>
  <c r="W209" i="6" s="1"/>
  <c r="Y209" i="6"/>
  <c r="S209" i="6"/>
  <c r="M209" i="6"/>
  <c r="N209" i="6" s="1"/>
  <c r="P205" i="6"/>
  <c r="Q205" i="6" s="1"/>
  <c r="Y205" i="6"/>
  <c r="M205" i="6"/>
  <c r="N205" i="6" s="1"/>
  <c r="S205" i="6"/>
  <c r="T205" i="6" s="1"/>
  <c r="U205" i="6" s="1"/>
  <c r="B205" i="6" s="1"/>
  <c r="Y201" i="6"/>
  <c r="M201" i="6"/>
  <c r="N201" i="6" s="1"/>
  <c r="Y197" i="6"/>
  <c r="M197" i="6"/>
  <c r="N197" i="6" s="1"/>
  <c r="Y193" i="6"/>
  <c r="M193" i="6"/>
  <c r="N193" i="6" s="1"/>
  <c r="P189" i="6"/>
  <c r="Q189" i="6" s="1"/>
  <c r="W189" i="6" s="1"/>
  <c r="Y189" i="6"/>
  <c r="S189" i="6"/>
  <c r="M189" i="6"/>
  <c r="N189" i="6" s="1"/>
  <c r="P185" i="6"/>
  <c r="Q185" i="6" s="1"/>
  <c r="Y185" i="6"/>
  <c r="M185" i="6"/>
  <c r="N185" i="6" s="1"/>
  <c r="S185" i="6"/>
  <c r="T185" i="6" s="1"/>
  <c r="U185" i="6" s="1"/>
  <c r="B185" i="6" s="1"/>
  <c r="P181" i="6"/>
  <c r="Q181" i="6" s="1"/>
  <c r="Y181" i="6"/>
  <c r="S181" i="6"/>
  <c r="M181" i="6"/>
  <c r="N181" i="6" s="1"/>
  <c r="Y177" i="6"/>
  <c r="M177" i="6"/>
  <c r="N177" i="6" s="1"/>
  <c r="Y173" i="6"/>
  <c r="M173" i="6"/>
  <c r="N173" i="6" s="1"/>
  <c r="Y169" i="6"/>
  <c r="M169" i="6"/>
  <c r="N169" i="6" s="1"/>
  <c r="P165" i="6"/>
  <c r="Q165" i="6" s="1"/>
  <c r="W165" i="6" s="1"/>
  <c r="Y165" i="6"/>
  <c r="M165" i="6"/>
  <c r="N165" i="6" s="1"/>
  <c r="S165" i="6"/>
  <c r="T165" i="6" s="1"/>
  <c r="U165" i="6" s="1"/>
  <c r="B165" i="6" s="1"/>
  <c r="P161" i="6"/>
  <c r="Q161" i="6" s="1"/>
  <c r="Y161" i="6"/>
  <c r="S161" i="6"/>
  <c r="M161" i="6"/>
  <c r="N161" i="6" s="1"/>
  <c r="P157" i="6"/>
  <c r="Q157" i="6" s="1"/>
  <c r="Y157" i="6"/>
  <c r="S157" i="6"/>
  <c r="M157" i="6"/>
  <c r="N157" i="6" s="1"/>
  <c r="Y153" i="6"/>
  <c r="M153" i="6"/>
  <c r="N153" i="6" s="1"/>
  <c r="Y149" i="6"/>
  <c r="M149" i="6"/>
  <c r="N149" i="6" s="1"/>
  <c r="Y145" i="6"/>
  <c r="M145" i="6"/>
  <c r="N145" i="6" s="1"/>
  <c r="Y141" i="6"/>
  <c r="M141" i="6"/>
  <c r="N141" i="6" s="1"/>
  <c r="P137" i="6"/>
  <c r="Q137" i="6" s="1"/>
  <c r="Y137" i="6"/>
  <c r="M137" i="6"/>
  <c r="N137" i="6" s="1"/>
  <c r="S137" i="6"/>
  <c r="T137" i="6" s="1"/>
  <c r="U137" i="6" s="1"/>
  <c r="B137" i="6" s="1"/>
  <c r="P133" i="6"/>
  <c r="Q133" i="6" s="1"/>
  <c r="Y133" i="6"/>
  <c r="S133" i="6"/>
  <c r="M133" i="6"/>
  <c r="N133" i="6" s="1"/>
  <c r="Y129" i="6"/>
  <c r="M129" i="6"/>
  <c r="N129" i="6" s="1"/>
  <c r="Y125" i="6"/>
  <c r="M125" i="6"/>
  <c r="N125" i="6" s="1"/>
  <c r="Y121" i="6"/>
  <c r="M121" i="6"/>
  <c r="N121" i="6" s="1"/>
  <c r="Y117" i="6"/>
  <c r="M117" i="6"/>
  <c r="N117" i="6" s="1"/>
  <c r="P113" i="6"/>
  <c r="Q113" i="6" s="1"/>
  <c r="Y113" i="6"/>
  <c r="M113" i="6"/>
  <c r="N113" i="6" s="1"/>
  <c r="S113" i="6"/>
  <c r="T113" i="6" s="1"/>
  <c r="U113" i="6" s="1"/>
  <c r="B113" i="6" s="1"/>
  <c r="P109" i="6"/>
  <c r="Q109" i="6" s="1"/>
  <c r="Y109" i="6"/>
  <c r="M109" i="6"/>
  <c r="N109" i="6" s="1"/>
  <c r="S109" i="6"/>
  <c r="T109" i="6" s="1"/>
  <c r="U109" i="6" s="1"/>
  <c r="B109" i="6" s="1"/>
  <c r="Y105" i="6"/>
  <c r="M105" i="6"/>
  <c r="N105" i="6" s="1"/>
  <c r="Y101" i="6"/>
  <c r="M101" i="6"/>
  <c r="N101" i="6" s="1"/>
  <c r="Y97" i="6"/>
  <c r="M97" i="6"/>
  <c r="N97" i="6" s="1"/>
  <c r="Y93" i="6"/>
  <c r="M93" i="6"/>
  <c r="N93" i="6" s="1"/>
  <c r="P89" i="6"/>
  <c r="Q89" i="6" s="1"/>
  <c r="W89" i="6" s="1"/>
  <c r="Y89" i="6"/>
  <c r="S89" i="6"/>
  <c r="M89" i="6"/>
  <c r="N89" i="6" s="1"/>
  <c r="P85" i="6"/>
  <c r="Q85" i="6" s="1"/>
  <c r="Y85" i="6"/>
  <c r="S85" i="6"/>
  <c r="M85" i="6"/>
  <c r="N85" i="6" s="1"/>
  <c r="Y81" i="6"/>
  <c r="M81" i="6"/>
  <c r="N81" i="6" s="1"/>
  <c r="Y77" i="6"/>
  <c r="M77" i="6"/>
  <c r="N77" i="6" s="1"/>
  <c r="Y73" i="6"/>
  <c r="M73" i="6"/>
  <c r="N73" i="6" s="1"/>
  <c r="Y69" i="6"/>
  <c r="M69" i="6"/>
  <c r="N69" i="6" s="1"/>
  <c r="P65" i="6"/>
  <c r="Q65" i="6" s="1"/>
  <c r="Y65" i="6"/>
  <c r="M65" i="6"/>
  <c r="N65" i="6" s="1"/>
  <c r="S65" i="6"/>
  <c r="T65" i="6" s="1"/>
  <c r="U65" i="6" s="1"/>
  <c r="B65" i="6" s="1"/>
  <c r="P61" i="6"/>
  <c r="Q61" i="6" s="1"/>
  <c r="Y61" i="6"/>
  <c r="S61" i="6"/>
  <c r="M61" i="6"/>
  <c r="N61" i="6" s="1"/>
  <c r="AC57" i="6"/>
  <c r="AD57" i="6" s="1"/>
  <c r="Y57" i="6"/>
  <c r="M57" i="6"/>
  <c r="AC53" i="6"/>
  <c r="AD53" i="6" s="1"/>
  <c r="Y53" i="6"/>
  <c r="M53" i="6"/>
  <c r="Y49" i="6"/>
  <c r="M49" i="6"/>
  <c r="N49" i="6" s="1"/>
  <c r="Y45" i="6"/>
  <c r="M45" i="6"/>
  <c r="N45" i="6" s="1"/>
  <c r="P41" i="6"/>
  <c r="Q41" i="6" s="1"/>
  <c r="Y41" i="6"/>
  <c r="S41" i="6"/>
  <c r="M41" i="6"/>
  <c r="N41" i="6" s="1"/>
  <c r="P37" i="6"/>
  <c r="Q37" i="6" s="1"/>
  <c r="W37" i="6" s="1"/>
  <c r="Y37" i="6"/>
  <c r="S37" i="6"/>
  <c r="M37" i="6"/>
  <c r="N37" i="6" s="1"/>
  <c r="AC33" i="6"/>
  <c r="AD33" i="6" s="1"/>
  <c r="Y33" i="6"/>
  <c r="M33" i="6"/>
  <c r="AC29" i="6"/>
  <c r="AD29" i="6" s="1"/>
  <c r="Y29" i="6"/>
  <c r="M29" i="6"/>
  <c r="AC25" i="6"/>
  <c r="AD25" i="6" s="1"/>
  <c r="Y25" i="6"/>
  <c r="M25" i="6"/>
  <c r="Y21" i="6"/>
  <c r="M21" i="6"/>
  <c r="N21" i="6" s="1"/>
  <c r="P15" i="6"/>
  <c r="Q15" i="6" s="1"/>
  <c r="Y15" i="6"/>
  <c r="S15" i="6"/>
  <c r="M15" i="6"/>
  <c r="N15" i="6" s="1"/>
  <c r="AC10" i="6"/>
  <c r="AD10" i="6" s="1"/>
  <c r="Y10" i="6"/>
  <c r="M10" i="6"/>
  <c r="Y3" i="6"/>
  <c r="M3" i="6"/>
  <c r="N3" i="6" s="1"/>
  <c r="V11" i="14"/>
  <c r="C12" i="14" s="1"/>
  <c r="D12" i="14" s="1"/>
  <c r="D13" i="14" s="1"/>
  <c r="D14" i="14" s="1"/>
  <c r="D15" i="14" s="1"/>
  <c r="D16" i="14" s="1"/>
  <c r="D17" i="14" s="1"/>
  <c r="D18" i="14" s="1"/>
  <c r="D19" i="14" s="1"/>
  <c r="V19" i="13"/>
  <c r="C20" i="13" s="1"/>
  <c r="D20" i="13" s="1"/>
  <c r="V9" i="12"/>
  <c r="C10" i="12" s="1"/>
  <c r="D10" i="12" s="1"/>
  <c r="V9" i="11"/>
  <c r="C10" i="11" s="1"/>
  <c r="D10" i="11" s="1"/>
  <c r="V9" i="10"/>
  <c r="C10" i="10" s="1"/>
  <c r="D10" i="10" s="1"/>
  <c r="C8" i="9"/>
  <c r="D8" i="9" s="1"/>
  <c r="V8" i="9" s="1"/>
  <c r="D20" i="3"/>
  <c r="L20" i="6" s="1"/>
  <c r="D16" i="3"/>
  <c r="L16" i="6" s="1"/>
  <c r="D12" i="3"/>
  <c r="L12" i="6" s="1"/>
  <c r="D8" i="3"/>
  <c r="L8" i="6" s="1"/>
  <c r="AC49" i="2"/>
  <c r="AC57" i="2"/>
  <c r="AB65" i="2"/>
  <c r="AB185" i="2"/>
  <c r="AB207" i="2"/>
  <c r="AB66" i="2"/>
  <c r="AB161" i="2"/>
  <c r="AB37" i="2"/>
  <c r="AB109" i="2"/>
  <c r="AB205" i="2"/>
  <c r="AB162" i="2"/>
  <c r="AB38" i="2"/>
  <c r="AB110" i="2"/>
  <c r="AB206" i="2"/>
  <c r="AF2" i="2"/>
  <c r="AA2" i="2" s="1"/>
  <c r="V269" i="2"/>
  <c r="R269" i="2" s="1"/>
  <c r="V98" i="2"/>
  <c r="R98" i="2" s="1"/>
  <c r="V217" i="2"/>
  <c r="R217" i="2" s="1"/>
  <c r="V261" i="2"/>
  <c r="V225" i="2"/>
  <c r="R225" i="2" s="1"/>
  <c r="Y12" i="2"/>
  <c r="Z12" i="2" s="1"/>
  <c r="Y39" i="2"/>
  <c r="Z39" i="2" s="1"/>
  <c r="Y63" i="2"/>
  <c r="Z63" i="2" s="1"/>
  <c r="Y107" i="2"/>
  <c r="Z107" i="2" s="1"/>
  <c r="Y115" i="2"/>
  <c r="Z115" i="2" s="1"/>
  <c r="Y185" i="2"/>
  <c r="Z185" i="2" s="1"/>
  <c r="B165" i="2"/>
  <c r="B2" i="2"/>
  <c r="Y136" i="2"/>
  <c r="Z136" i="2" s="1"/>
  <c r="Y280" i="2"/>
  <c r="Z280" i="2" s="1"/>
  <c r="Y40" i="2"/>
  <c r="Z40" i="2" s="1"/>
  <c r="Y64" i="2"/>
  <c r="Z64" i="2" s="1"/>
  <c r="Y108" i="2"/>
  <c r="Z108" i="2" s="1"/>
  <c r="Y116" i="2"/>
  <c r="Z116" i="2" s="1"/>
  <c r="Y254" i="2"/>
  <c r="Z254" i="2" s="1"/>
  <c r="Y206" i="2"/>
  <c r="Z206" i="2" s="1"/>
  <c r="Y86" i="2"/>
  <c r="Z86" i="2" s="1"/>
  <c r="Y36" i="2"/>
  <c r="Z36" i="2" s="1"/>
  <c r="Y60" i="2"/>
  <c r="Z60" i="2" s="1"/>
  <c r="Y112" i="2"/>
  <c r="Z112" i="2" s="1"/>
  <c r="Y133" i="2"/>
  <c r="Z133" i="2" s="1"/>
  <c r="B257" i="2"/>
  <c r="Y37" i="2"/>
  <c r="Z37" i="2" s="1"/>
  <c r="Y61" i="2"/>
  <c r="Z61" i="2" s="1"/>
  <c r="Y84" i="2"/>
  <c r="Z84" i="2" s="1"/>
  <c r="Y92" i="2"/>
  <c r="Z92" i="2" s="1"/>
  <c r="Y113" i="2"/>
  <c r="Z113" i="2" s="1"/>
  <c r="Y134" i="2"/>
  <c r="Z134" i="2" s="1"/>
  <c r="Y204" i="2"/>
  <c r="Z204" i="2" s="1"/>
  <c r="Y252" i="2"/>
  <c r="Z252" i="2" s="1"/>
  <c r="Y13" i="2"/>
  <c r="Z13" i="2" s="1"/>
  <c r="Y85" i="2"/>
  <c r="Z85" i="2" s="1"/>
  <c r="Y106" i="2"/>
  <c r="Z106" i="2" s="1"/>
  <c r="Y114" i="2"/>
  <c r="Z114" i="2" s="1"/>
  <c r="Y135" i="2"/>
  <c r="Z135" i="2" s="1"/>
  <c r="Y156" i="2"/>
  <c r="Z156" i="2" s="1"/>
  <c r="Y164" i="2"/>
  <c r="Z164" i="2" s="1"/>
  <c r="Y184" i="2"/>
  <c r="Z184" i="2" s="1"/>
  <c r="Y205" i="2"/>
  <c r="Z205" i="2" s="1"/>
  <c r="Y228" i="2"/>
  <c r="Z228" i="2" s="1"/>
  <c r="Y253" i="2"/>
  <c r="Z253" i="2" s="1"/>
  <c r="Y279" i="2"/>
  <c r="Z279" i="2" s="1"/>
  <c r="B281" i="2"/>
  <c r="Y83" i="2"/>
  <c r="Z83" i="2" s="1"/>
  <c r="Y155" i="2"/>
  <c r="Z155" i="2" s="1"/>
  <c r="Y163" i="2"/>
  <c r="Z163" i="2" s="1"/>
  <c r="Y183" i="2"/>
  <c r="Z183" i="2" s="1"/>
  <c r="Y227" i="2"/>
  <c r="Z227" i="2" s="1"/>
  <c r="Y278" i="2"/>
  <c r="Z278" i="2" s="1"/>
  <c r="Y91" i="2"/>
  <c r="Z91" i="2" s="1"/>
  <c r="Y137" i="2"/>
  <c r="Z137" i="2" s="1"/>
  <c r="Y158" i="2"/>
  <c r="Z158" i="2" s="1"/>
  <c r="Y178" i="2"/>
  <c r="Z178" i="2" s="1"/>
  <c r="Y186" i="2"/>
  <c r="Z186" i="2" s="1"/>
  <c r="Y207" i="2"/>
  <c r="Z207" i="2" s="1"/>
  <c r="Y230" i="2"/>
  <c r="Z230" i="2" s="1"/>
  <c r="Y255" i="2"/>
  <c r="Z255" i="2" s="1"/>
  <c r="Y281" i="2"/>
  <c r="Z281" i="2" s="1"/>
  <c r="Y87" i="2"/>
  <c r="Z87" i="2" s="1"/>
  <c r="Y62" i="2"/>
  <c r="Z62" i="2" s="1"/>
  <c r="Y38" i="2"/>
  <c r="Z38" i="2" s="1"/>
  <c r="Y14" i="2"/>
  <c r="Z14" i="2" s="1"/>
  <c r="Y16" i="2"/>
  <c r="Z16" i="2" s="1"/>
  <c r="Y41" i="2"/>
  <c r="Z41" i="2" s="1"/>
  <c r="Y65" i="2"/>
  <c r="Z65" i="2" s="1"/>
  <c r="Y88" i="2"/>
  <c r="Z88" i="2" s="1"/>
  <c r="Y109" i="2"/>
  <c r="Z109" i="2" s="1"/>
  <c r="Y130" i="2"/>
  <c r="Z130" i="2" s="1"/>
  <c r="Y138" i="2"/>
  <c r="Z138" i="2" s="1"/>
  <c r="Y159" i="2"/>
  <c r="Z159" i="2" s="1"/>
  <c r="Y179" i="2"/>
  <c r="Z179" i="2" s="1"/>
  <c r="Y187" i="2"/>
  <c r="Z187" i="2" s="1"/>
  <c r="Y208" i="2"/>
  <c r="Z208" i="2" s="1"/>
  <c r="Y231" i="2"/>
  <c r="Z231" i="2" s="1"/>
  <c r="Y256" i="2"/>
  <c r="Z256" i="2" s="1"/>
  <c r="Y15" i="2"/>
  <c r="Z15" i="2" s="1"/>
  <c r="Y229" i="2"/>
  <c r="Z229" i="2" s="1"/>
  <c r="Y165" i="2"/>
  <c r="Z165" i="2" s="1"/>
  <c r="Y157" i="2"/>
  <c r="Z157" i="2" s="1"/>
  <c r="Y17" i="2"/>
  <c r="Z17" i="2" s="1"/>
  <c r="Y42" i="2"/>
  <c r="Z42" i="2" s="1"/>
  <c r="Y66" i="2"/>
  <c r="Z66" i="2" s="1"/>
  <c r="Y89" i="2"/>
  <c r="Z89" i="2" s="1"/>
  <c r="Y110" i="2"/>
  <c r="Z110" i="2" s="1"/>
  <c r="Y131" i="2"/>
  <c r="Z131" i="2" s="1"/>
  <c r="Y139" i="2"/>
  <c r="Z139" i="2" s="1"/>
  <c r="Y160" i="2"/>
  <c r="Z160" i="2" s="1"/>
  <c r="Y180" i="2"/>
  <c r="Z180" i="2" s="1"/>
  <c r="Y188" i="2"/>
  <c r="Z188" i="2" s="1"/>
  <c r="Y209" i="2"/>
  <c r="Z209" i="2" s="1"/>
  <c r="Y232" i="2"/>
  <c r="Z232" i="2" s="1"/>
  <c r="Y257" i="2"/>
  <c r="Z257" i="2" s="1"/>
  <c r="Y18" i="2"/>
  <c r="Z18" i="2" s="1"/>
  <c r="Y59" i="2"/>
  <c r="Z59" i="2" s="1"/>
  <c r="Y67" i="2"/>
  <c r="Z67" i="2" s="1"/>
  <c r="Y90" i="2"/>
  <c r="Z90" i="2" s="1"/>
  <c r="Y111" i="2"/>
  <c r="Z111" i="2" s="1"/>
  <c r="Y132" i="2"/>
  <c r="Z132" i="2" s="1"/>
  <c r="Y140" i="2"/>
  <c r="Z140" i="2" s="1"/>
  <c r="Y161" i="2"/>
  <c r="Z161" i="2" s="1"/>
  <c r="Y181" i="2"/>
  <c r="Z181" i="2" s="1"/>
  <c r="Y189" i="2"/>
  <c r="Z189" i="2" s="1"/>
  <c r="Y210" i="2"/>
  <c r="Z210" i="2" s="1"/>
  <c r="Y233" i="2"/>
  <c r="Z233" i="2" s="1"/>
  <c r="Y276" i="2"/>
  <c r="Z276" i="2" s="1"/>
  <c r="Y154" i="2"/>
  <c r="Z154" i="2" s="1"/>
  <c r="Y162" i="2"/>
  <c r="Z162" i="2" s="1"/>
  <c r="Y182" i="2"/>
  <c r="Z182" i="2" s="1"/>
  <c r="Y203" i="2"/>
  <c r="Z203" i="2" s="1"/>
  <c r="Y211" i="2"/>
  <c r="Z211" i="2" s="1"/>
  <c r="Y234" i="2"/>
  <c r="Z234" i="2" s="1"/>
  <c r="Y277" i="2"/>
  <c r="Z277" i="2" s="1"/>
  <c r="H94" i="2"/>
  <c r="H136" i="2"/>
  <c r="H266" i="2"/>
  <c r="H206" i="2"/>
  <c r="H158" i="2"/>
  <c r="H96" i="2"/>
  <c r="H264" i="2"/>
  <c r="H202" i="2"/>
  <c r="H142" i="2"/>
  <c r="H32" i="2"/>
  <c r="H248" i="2"/>
  <c r="H200" i="2"/>
  <c r="H138" i="2"/>
  <c r="H73" i="2"/>
  <c r="H184" i="2"/>
  <c r="H64" i="2"/>
  <c r="H2" i="2"/>
  <c r="H242" i="2"/>
  <c r="H182" i="2"/>
  <c r="H120" i="2"/>
  <c r="H54" i="2"/>
  <c r="H288" i="2"/>
  <c r="H226" i="2"/>
  <c r="H178" i="2"/>
  <c r="H118" i="2"/>
  <c r="H31" i="2"/>
  <c r="H246" i="2"/>
  <c r="H286" i="2"/>
  <c r="H224" i="2"/>
  <c r="H162" i="2"/>
  <c r="H114" i="2"/>
  <c r="H22" i="2"/>
  <c r="H270" i="2"/>
  <c r="H222" i="2"/>
  <c r="H160" i="2"/>
  <c r="H98" i="2"/>
  <c r="H10" i="2"/>
  <c r="H287" i="2"/>
  <c r="H265" i="2"/>
  <c r="H245" i="2"/>
  <c r="H223" i="2"/>
  <c r="H201" i="2"/>
  <c r="H181" i="2"/>
  <c r="H159" i="2"/>
  <c r="H137" i="2"/>
  <c r="H117" i="2"/>
  <c r="H95" i="2"/>
  <c r="H63" i="2"/>
  <c r="H21" i="2"/>
  <c r="H280" i="2"/>
  <c r="H258" i="2"/>
  <c r="H238" i="2"/>
  <c r="H216" i="2"/>
  <c r="H194" i="2"/>
  <c r="H174" i="2"/>
  <c r="H152" i="2"/>
  <c r="H130" i="2"/>
  <c r="H110" i="2"/>
  <c r="H88" i="2"/>
  <c r="H53" i="2"/>
  <c r="H9" i="2"/>
  <c r="H278" i="2"/>
  <c r="H256" i="2"/>
  <c r="H234" i="2"/>
  <c r="H214" i="2"/>
  <c r="H192" i="2"/>
  <c r="H170" i="2"/>
  <c r="H150" i="2"/>
  <c r="H128" i="2"/>
  <c r="H106" i="2"/>
  <c r="H86" i="2"/>
  <c r="H42" i="2"/>
  <c r="H277" i="2"/>
  <c r="H255" i="2"/>
  <c r="H233" i="2"/>
  <c r="H213" i="2"/>
  <c r="H191" i="2"/>
  <c r="H169" i="2"/>
  <c r="H149" i="2"/>
  <c r="H127" i="2"/>
  <c r="H105" i="2"/>
  <c r="H85" i="2"/>
  <c r="H41" i="2"/>
  <c r="H14" i="2"/>
  <c r="H274" i="2"/>
  <c r="H254" i="2"/>
  <c r="H232" i="2"/>
  <c r="H210" i="2"/>
  <c r="H190" i="2"/>
  <c r="H168" i="2"/>
  <c r="H146" i="2"/>
  <c r="H126" i="2"/>
  <c r="H104" i="2"/>
  <c r="H74" i="2"/>
  <c r="H82" i="2"/>
  <c r="H72" i="2"/>
  <c r="H62" i="2"/>
  <c r="H50" i="2"/>
  <c r="H40" i="2"/>
  <c r="H30" i="2"/>
  <c r="H18" i="2"/>
  <c r="H8" i="2"/>
  <c r="H285" i="2"/>
  <c r="H273" i="2"/>
  <c r="H263" i="2"/>
  <c r="H253" i="2"/>
  <c r="H241" i="2"/>
  <c r="H231" i="2"/>
  <c r="H221" i="2"/>
  <c r="H209" i="2"/>
  <c r="H199" i="2"/>
  <c r="H189" i="2"/>
  <c r="H177" i="2"/>
  <c r="H167" i="2"/>
  <c r="H157" i="2"/>
  <c r="H145" i="2"/>
  <c r="H135" i="2"/>
  <c r="H125" i="2"/>
  <c r="H113" i="2"/>
  <c r="H103" i="2"/>
  <c r="H93" i="2"/>
  <c r="H81" i="2"/>
  <c r="H71" i="2"/>
  <c r="H61" i="2"/>
  <c r="H49" i="2"/>
  <c r="H39" i="2"/>
  <c r="H29" i="2"/>
  <c r="H17" i="2"/>
  <c r="H7" i="2"/>
  <c r="H3" i="2"/>
  <c r="H282" i="2"/>
  <c r="H272" i="2"/>
  <c r="H262" i="2"/>
  <c r="H250" i="2"/>
  <c r="H240" i="2"/>
  <c r="H230" i="2"/>
  <c r="H218" i="2"/>
  <c r="H208" i="2"/>
  <c r="H198" i="2"/>
  <c r="H186" i="2"/>
  <c r="H176" i="2"/>
  <c r="H166" i="2"/>
  <c r="H154" i="2"/>
  <c r="H144" i="2"/>
  <c r="H134" i="2"/>
  <c r="H122" i="2"/>
  <c r="H112" i="2"/>
  <c r="H102" i="2"/>
  <c r="H90" i="2"/>
  <c r="H80" i="2"/>
  <c r="H70" i="2"/>
  <c r="H58" i="2"/>
  <c r="H48" i="2"/>
  <c r="H38" i="2"/>
  <c r="H26" i="2"/>
  <c r="H16" i="2"/>
  <c r="H6" i="2"/>
  <c r="H281" i="2"/>
  <c r="H271" i="2"/>
  <c r="H261" i="2"/>
  <c r="H249" i="2"/>
  <c r="H239" i="2"/>
  <c r="H229" i="2"/>
  <c r="H217" i="2"/>
  <c r="H207" i="2"/>
  <c r="H197" i="2"/>
  <c r="H185" i="2"/>
  <c r="H175" i="2"/>
  <c r="H165" i="2"/>
  <c r="H153" i="2"/>
  <c r="H143" i="2"/>
  <c r="H133" i="2"/>
  <c r="H121" i="2"/>
  <c r="H111" i="2"/>
  <c r="H101" i="2"/>
  <c r="H89" i="2"/>
  <c r="H79" i="2"/>
  <c r="H69" i="2"/>
  <c r="H57" i="2"/>
  <c r="H47" i="2"/>
  <c r="H37" i="2"/>
  <c r="H25" i="2"/>
  <c r="H15" i="2"/>
  <c r="H5" i="2"/>
  <c r="H78" i="2"/>
  <c r="H66" i="2"/>
  <c r="H56" i="2"/>
  <c r="H46" i="2"/>
  <c r="H34" i="2"/>
  <c r="H24" i="2"/>
  <c r="H289" i="2"/>
  <c r="H279" i="2"/>
  <c r="H269" i="2"/>
  <c r="H257" i="2"/>
  <c r="H247" i="2"/>
  <c r="H237" i="2"/>
  <c r="H225" i="2"/>
  <c r="H215" i="2"/>
  <c r="H205" i="2"/>
  <c r="H193" i="2"/>
  <c r="H183" i="2"/>
  <c r="H173" i="2"/>
  <c r="H161" i="2"/>
  <c r="H151" i="2"/>
  <c r="H141" i="2"/>
  <c r="H129" i="2"/>
  <c r="H119" i="2"/>
  <c r="H109" i="2"/>
  <c r="H97" i="2"/>
  <c r="H87" i="2"/>
  <c r="H77" i="2"/>
  <c r="H65" i="2"/>
  <c r="H55" i="2"/>
  <c r="H45" i="2"/>
  <c r="H33" i="2"/>
  <c r="H23" i="2"/>
  <c r="H13" i="2"/>
  <c r="R246" i="2"/>
  <c r="R206" i="2"/>
  <c r="R150" i="2"/>
  <c r="R110" i="2"/>
  <c r="R54" i="2"/>
  <c r="R38" i="2"/>
  <c r="R261" i="2"/>
  <c r="R245" i="2"/>
  <c r="R205" i="2"/>
  <c r="R165" i="2"/>
  <c r="R149" i="2"/>
  <c r="R109" i="2"/>
  <c r="R101" i="2"/>
  <c r="R37" i="2"/>
  <c r="H284" i="2"/>
  <c r="H276" i="2"/>
  <c r="H268" i="2"/>
  <c r="H260" i="2"/>
  <c r="H252" i="2"/>
  <c r="H244" i="2"/>
  <c r="H236" i="2"/>
  <c r="H228" i="2"/>
  <c r="H220" i="2"/>
  <c r="H212" i="2"/>
  <c r="H204" i="2"/>
  <c r="H196" i="2"/>
  <c r="H188" i="2"/>
  <c r="H180" i="2"/>
  <c r="H172" i="2"/>
  <c r="H164" i="2"/>
  <c r="H156" i="2"/>
  <c r="H148" i="2"/>
  <c r="H140" i="2"/>
  <c r="H132" i="2"/>
  <c r="H124" i="2"/>
  <c r="H116" i="2"/>
  <c r="H108" i="2"/>
  <c r="H100" i="2"/>
  <c r="H92" i="2"/>
  <c r="H84" i="2"/>
  <c r="H76" i="2"/>
  <c r="H68" i="2"/>
  <c r="H60" i="2"/>
  <c r="H52" i="2"/>
  <c r="H44" i="2"/>
  <c r="H36" i="2"/>
  <c r="H28" i="2"/>
  <c r="H20" i="2"/>
  <c r="H12" i="2"/>
  <c r="H4" i="2"/>
  <c r="H283" i="2"/>
  <c r="H275" i="2"/>
  <c r="H267" i="2"/>
  <c r="H259" i="2"/>
  <c r="H251" i="2"/>
  <c r="H243" i="2"/>
  <c r="H235" i="2"/>
  <c r="H227" i="2"/>
  <c r="H219" i="2"/>
  <c r="H211" i="2"/>
  <c r="H203" i="2"/>
  <c r="H195" i="2"/>
  <c r="H187" i="2"/>
  <c r="H179" i="2"/>
  <c r="H171" i="2"/>
  <c r="H163" i="2"/>
  <c r="H155" i="2"/>
  <c r="H147" i="2"/>
  <c r="H139" i="2"/>
  <c r="H131" i="2"/>
  <c r="H123" i="2"/>
  <c r="H115" i="2"/>
  <c r="H107" i="2"/>
  <c r="H99" i="2"/>
  <c r="H91" i="2"/>
  <c r="H83" i="2"/>
  <c r="H75" i="2"/>
  <c r="H67" i="2"/>
  <c r="H59" i="2"/>
  <c r="H51" i="2"/>
  <c r="H43" i="2"/>
  <c r="H35" i="2"/>
  <c r="H27" i="2"/>
  <c r="H19" i="2"/>
  <c r="H11" i="2"/>
  <c r="R258" i="2"/>
  <c r="R162" i="2"/>
  <c r="R66" i="2"/>
  <c r="R281" i="2"/>
  <c r="R257" i="2"/>
  <c r="R193" i="2"/>
  <c r="R185" i="2"/>
  <c r="R161" i="2"/>
  <c r="R153" i="2"/>
  <c r="R121" i="2"/>
  <c r="R65" i="2"/>
  <c r="R57" i="2"/>
  <c r="R49" i="2"/>
  <c r="R287" i="2"/>
  <c r="R247" i="2"/>
  <c r="R207" i="2"/>
  <c r="U224" i="2"/>
  <c r="U143" i="2"/>
  <c r="U86" i="2"/>
  <c r="U31" i="2"/>
  <c r="AC31" i="2" s="1"/>
  <c r="U279" i="2"/>
  <c r="U239" i="2"/>
  <c r="U197" i="2"/>
  <c r="U182" i="2"/>
  <c r="U160" i="2"/>
  <c r="U142" i="2"/>
  <c r="U120" i="2"/>
  <c r="U85" i="2"/>
  <c r="U63" i="2"/>
  <c r="U47" i="2"/>
  <c r="AC47" i="2" s="1"/>
  <c r="U30" i="2"/>
  <c r="AC30" i="2" s="1"/>
  <c r="U278" i="2"/>
  <c r="U256" i="2"/>
  <c r="U238" i="2"/>
  <c r="U216" i="2"/>
  <c r="U194" i="2"/>
  <c r="U181" i="2"/>
  <c r="U159" i="2"/>
  <c r="U141" i="2"/>
  <c r="U119" i="2"/>
  <c r="U97" i="2"/>
  <c r="U79" i="2"/>
  <c r="U58" i="2"/>
  <c r="AC58" i="2" s="1"/>
  <c r="U46" i="2"/>
  <c r="AC46" i="2" s="1"/>
  <c r="U29" i="2"/>
  <c r="AC29" i="2" s="1"/>
  <c r="U88" i="2"/>
  <c r="U87" i="2"/>
  <c r="U280" i="2"/>
  <c r="U183" i="2"/>
  <c r="U64" i="2"/>
  <c r="U255" i="2"/>
  <c r="U215" i="2"/>
  <c r="U118" i="2"/>
  <c r="U78" i="2"/>
  <c r="U45" i="2"/>
  <c r="U289" i="2"/>
  <c r="U271" i="2"/>
  <c r="U249" i="2"/>
  <c r="U229" i="2"/>
  <c r="U214" i="2"/>
  <c r="U192" i="2"/>
  <c r="U174" i="2"/>
  <c r="U152" i="2"/>
  <c r="U130" i="2"/>
  <c r="U117" i="2"/>
  <c r="U95" i="2"/>
  <c r="U77" i="2"/>
  <c r="U56" i="2"/>
  <c r="AC56" i="2" s="1"/>
  <c r="U40" i="2"/>
  <c r="U21" i="2"/>
  <c r="U128" i="2"/>
  <c r="U184" i="2"/>
  <c r="U127" i="2"/>
  <c r="U223" i="2"/>
  <c r="U48" i="2"/>
  <c r="AC48" i="2" s="1"/>
  <c r="U277" i="2"/>
  <c r="U237" i="2"/>
  <c r="U175" i="2"/>
  <c r="U133" i="2"/>
  <c r="U96" i="2"/>
  <c r="U22" i="2"/>
  <c r="AC22" i="2" s="1"/>
  <c r="U288" i="2"/>
  <c r="U270" i="2"/>
  <c r="U248" i="2"/>
  <c r="U226" i="2"/>
  <c r="U213" i="2"/>
  <c r="U191" i="2"/>
  <c r="U173" i="2"/>
  <c r="U151" i="2"/>
  <c r="U129" i="2"/>
  <c r="U111" i="2"/>
  <c r="U89" i="2"/>
  <c r="U69" i="2"/>
  <c r="U55" i="2"/>
  <c r="AC55" i="2" s="1"/>
  <c r="U39" i="2"/>
  <c r="U13" i="2"/>
  <c r="U12" i="2"/>
  <c r="U202" i="2"/>
  <c r="U170" i="2"/>
  <c r="U106" i="2"/>
  <c r="U18" i="2"/>
  <c r="U265" i="2"/>
  <c r="U201" i="2"/>
  <c r="U169" i="2"/>
  <c r="U105" i="2"/>
  <c r="U73" i="2"/>
  <c r="U26" i="2"/>
  <c r="AC26" i="2" s="1"/>
  <c r="U8" i="2"/>
  <c r="AC8" i="2" s="1"/>
  <c r="U286" i="2"/>
  <c r="U274" i="2"/>
  <c r="U264" i="2"/>
  <c r="U254" i="2"/>
  <c r="U242" i="2"/>
  <c r="U232" i="2"/>
  <c r="U222" i="2"/>
  <c r="U210" i="2"/>
  <c r="U200" i="2"/>
  <c r="U190" i="2"/>
  <c r="U178" i="2"/>
  <c r="U168" i="2"/>
  <c r="U158" i="2"/>
  <c r="U146" i="2"/>
  <c r="U136" i="2"/>
  <c r="U126" i="2"/>
  <c r="U114" i="2"/>
  <c r="U104" i="2"/>
  <c r="U94" i="2"/>
  <c r="U82" i="2"/>
  <c r="U72" i="2"/>
  <c r="U62" i="2"/>
  <c r="U53" i="2"/>
  <c r="AC53" i="2" s="1"/>
  <c r="U44" i="2"/>
  <c r="U34" i="2"/>
  <c r="AC34" i="2" s="1"/>
  <c r="U25" i="2"/>
  <c r="AC25" i="2" s="1"/>
  <c r="U16" i="2"/>
  <c r="U7" i="2"/>
  <c r="AC7" i="2" s="1"/>
  <c r="U10" i="2"/>
  <c r="AC10" i="2" s="1"/>
  <c r="U9" i="2"/>
  <c r="AC9" i="2" s="1"/>
  <c r="U36" i="2"/>
  <c r="U285" i="2"/>
  <c r="U273" i="2"/>
  <c r="U263" i="2"/>
  <c r="U253" i="2"/>
  <c r="U241" i="2"/>
  <c r="U231" i="2"/>
  <c r="U221" i="2"/>
  <c r="U209" i="2"/>
  <c r="U199" i="2"/>
  <c r="U189" i="2"/>
  <c r="U177" i="2"/>
  <c r="U167" i="2"/>
  <c r="U157" i="2"/>
  <c r="U145" i="2"/>
  <c r="U135" i="2"/>
  <c r="U125" i="2"/>
  <c r="U113" i="2"/>
  <c r="U103" i="2"/>
  <c r="U93" i="2"/>
  <c r="U81" i="2"/>
  <c r="U71" i="2"/>
  <c r="U61" i="2"/>
  <c r="U52" i="2"/>
  <c r="AC52" i="2" s="1"/>
  <c r="U42" i="2"/>
  <c r="U33" i="2"/>
  <c r="AC33" i="2" s="1"/>
  <c r="U24" i="2"/>
  <c r="AC24" i="2" s="1"/>
  <c r="U15" i="2"/>
  <c r="U6" i="2"/>
  <c r="AC6" i="2" s="1"/>
  <c r="U20" i="2"/>
  <c r="U266" i="2"/>
  <c r="U234" i="2"/>
  <c r="U138" i="2"/>
  <c r="U74" i="2"/>
  <c r="U28" i="2"/>
  <c r="AC28" i="2" s="1"/>
  <c r="U233" i="2"/>
  <c r="U137" i="2"/>
  <c r="U17" i="2"/>
  <c r="U282" i="2"/>
  <c r="U272" i="2"/>
  <c r="U262" i="2"/>
  <c r="U250" i="2"/>
  <c r="U240" i="2"/>
  <c r="U230" i="2"/>
  <c r="U218" i="2"/>
  <c r="U208" i="2"/>
  <c r="U198" i="2"/>
  <c r="U186" i="2"/>
  <c r="U176" i="2"/>
  <c r="U166" i="2"/>
  <c r="U154" i="2"/>
  <c r="U144" i="2"/>
  <c r="U134" i="2"/>
  <c r="U122" i="2"/>
  <c r="U112" i="2"/>
  <c r="U102" i="2"/>
  <c r="U90" i="2"/>
  <c r="U80" i="2"/>
  <c r="U70" i="2"/>
  <c r="U60" i="2"/>
  <c r="U50" i="2"/>
  <c r="AC50" i="2" s="1"/>
  <c r="U41" i="2"/>
  <c r="U32" i="2"/>
  <c r="AC32" i="2" s="1"/>
  <c r="U23" i="2"/>
  <c r="AC23" i="2" s="1"/>
  <c r="U14" i="2"/>
  <c r="U5" i="2"/>
  <c r="AC5" i="2" s="1"/>
  <c r="U284" i="2"/>
  <c r="U276" i="2"/>
  <c r="U268" i="2"/>
  <c r="U260" i="2"/>
  <c r="U252" i="2"/>
  <c r="U244" i="2"/>
  <c r="U236" i="2"/>
  <c r="U228" i="2"/>
  <c r="U220" i="2"/>
  <c r="U212" i="2"/>
  <c r="U204" i="2"/>
  <c r="U196" i="2"/>
  <c r="U188" i="2"/>
  <c r="U180" i="2"/>
  <c r="U172" i="2"/>
  <c r="U164" i="2"/>
  <c r="U156" i="2"/>
  <c r="U148" i="2"/>
  <c r="U140" i="2"/>
  <c r="U132" i="2"/>
  <c r="U124" i="2"/>
  <c r="U116" i="2"/>
  <c r="U108" i="2"/>
  <c r="U100" i="2"/>
  <c r="U92" i="2"/>
  <c r="U84" i="2"/>
  <c r="U76" i="2"/>
  <c r="U68" i="2"/>
  <c r="U4" i="2"/>
  <c r="AC4" i="2" s="1"/>
  <c r="U283" i="2"/>
  <c r="U275" i="2"/>
  <c r="U267" i="2"/>
  <c r="U259" i="2"/>
  <c r="U251" i="2"/>
  <c r="U243" i="2"/>
  <c r="U235" i="2"/>
  <c r="U227" i="2"/>
  <c r="U219" i="2"/>
  <c r="U211" i="2"/>
  <c r="U203" i="2"/>
  <c r="U195" i="2"/>
  <c r="U187" i="2"/>
  <c r="U179" i="2"/>
  <c r="U171" i="2"/>
  <c r="U163" i="2"/>
  <c r="U155" i="2"/>
  <c r="U147" i="2"/>
  <c r="U139" i="2"/>
  <c r="U131" i="2"/>
  <c r="U123" i="2"/>
  <c r="U115" i="2"/>
  <c r="U107" i="2"/>
  <c r="U99" i="2"/>
  <c r="U91" i="2"/>
  <c r="U83" i="2"/>
  <c r="U75" i="2"/>
  <c r="U67" i="2"/>
  <c r="U59" i="2"/>
  <c r="U51" i="2"/>
  <c r="AC51" i="2" s="1"/>
  <c r="U43" i="2"/>
  <c r="U35" i="2"/>
  <c r="AC35" i="2" s="1"/>
  <c r="U27" i="2"/>
  <c r="AC27" i="2" s="1"/>
  <c r="U19" i="2"/>
  <c r="U11" i="2"/>
  <c r="AC11" i="2" s="1"/>
  <c r="U3" i="2"/>
  <c r="AF3" i="2" s="1"/>
  <c r="D5" i="3"/>
  <c r="L5" i="6" s="1"/>
  <c r="D4" i="3"/>
  <c r="L4" i="6" s="1"/>
  <c r="R2" i="2"/>
  <c r="T37" i="6" l="1"/>
  <c r="U37" i="6" s="1"/>
  <c r="B37" i="6" s="1"/>
  <c r="T41" i="6"/>
  <c r="U41" i="6" s="1"/>
  <c r="B41" i="6" s="1"/>
  <c r="T181" i="6"/>
  <c r="U181" i="6" s="1"/>
  <c r="B181" i="6" s="1"/>
  <c r="T189" i="6"/>
  <c r="U189" i="6" s="1"/>
  <c r="B189" i="6" s="1"/>
  <c r="T17" i="6"/>
  <c r="U17" i="6" s="1"/>
  <c r="B17" i="6" s="1"/>
  <c r="T106" i="6"/>
  <c r="U106" i="6" s="1"/>
  <c r="B106" i="6" s="1"/>
  <c r="T114" i="6"/>
  <c r="U114" i="6" s="1"/>
  <c r="B114" i="6" s="1"/>
  <c r="T162" i="6"/>
  <c r="U162" i="6" s="1"/>
  <c r="B162" i="6" s="1"/>
  <c r="T278" i="6"/>
  <c r="U278" i="6" s="1"/>
  <c r="B278" i="6" s="1"/>
  <c r="T18" i="6"/>
  <c r="U18" i="6" s="1"/>
  <c r="B18" i="6" s="1"/>
  <c r="T187" i="6"/>
  <c r="U187" i="6" s="1"/>
  <c r="B187" i="6" s="1"/>
  <c r="T227" i="6"/>
  <c r="U227" i="6" s="1"/>
  <c r="B227" i="6" s="1"/>
  <c r="T231" i="6"/>
  <c r="U231" i="6" s="1"/>
  <c r="B231" i="6" s="1"/>
  <c r="T279" i="6"/>
  <c r="U279" i="6" s="1"/>
  <c r="B279" i="6" s="1"/>
  <c r="T14" i="6"/>
  <c r="U14" i="6" s="1"/>
  <c r="T60" i="6"/>
  <c r="U60" i="6" s="1"/>
  <c r="B60" i="6" s="1"/>
  <c r="T180" i="6"/>
  <c r="U180" i="6" s="1"/>
  <c r="B180" i="6" s="1"/>
  <c r="T15" i="6"/>
  <c r="U15" i="6" s="1"/>
  <c r="T253" i="6"/>
  <c r="U253" i="6" s="1"/>
  <c r="B253" i="6" s="1"/>
  <c r="T90" i="6"/>
  <c r="U90" i="6" s="1"/>
  <c r="B90" i="6" s="1"/>
  <c r="T134" i="6"/>
  <c r="U134" i="6" s="1"/>
  <c r="B134" i="6" s="1"/>
  <c r="T138" i="6"/>
  <c r="U138" i="6" s="1"/>
  <c r="B138" i="6" s="1"/>
  <c r="T230" i="6"/>
  <c r="U230" i="6" s="1"/>
  <c r="B230" i="6" s="1"/>
  <c r="T254" i="6"/>
  <c r="U254" i="6" s="1"/>
  <c r="B254" i="6" s="1"/>
  <c r="B14" i="6"/>
  <c r="X52" i="6"/>
  <c r="N52" i="6"/>
  <c r="P16" i="6"/>
  <c r="Q16" i="6" s="1"/>
  <c r="Y16" i="6"/>
  <c r="S16" i="6"/>
  <c r="M16" i="6"/>
  <c r="N16" i="6" s="1"/>
  <c r="X10" i="6"/>
  <c r="N10" i="6"/>
  <c r="AC5" i="6"/>
  <c r="AD5" i="6" s="1"/>
  <c r="Y5" i="6"/>
  <c r="M5" i="6"/>
  <c r="AC8" i="6"/>
  <c r="AD8" i="6" s="1"/>
  <c r="Y8" i="6"/>
  <c r="M8" i="6"/>
  <c r="B15" i="6"/>
  <c r="X53" i="6"/>
  <c r="N53" i="6"/>
  <c r="X22" i="6"/>
  <c r="N22" i="6"/>
  <c r="N34" i="6"/>
  <c r="X34" i="6"/>
  <c r="T38" i="6"/>
  <c r="U38" i="6" s="1"/>
  <c r="B38" i="6" s="1"/>
  <c r="T42" i="6"/>
  <c r="U42" i="6" s="1"/>
  <c r="B42" i="6" s="1"/>
  <c r="X54" i="6"/>
  <c r="N54" i="6"/>
  <c r="V2" i="6"/>
  <c r="C3" i="6" s="1"/>
  <c r="AA2" i="6"/>
  <c r="AA3" i="6" s="1"/>
  <c r="N2" i="6"/>
  <c r="N31" i="6"/>
  <c r="X31" i="6"/>
  <c r="S12" i="6"/>
  <c r="P12" i="6"/>
  <c r="Q12" i="6" s="1"/>
  <c r="Y12" i="6"/>
  <c r="M12" i="6"/>
  <c r="N12" i="6" s="1"/>
  <c r="X33" i="6"/>
  <c r="N33" i="6"/>
  <c r="X11" i="6"/>
  <c r="N11" i="6"/>
  <c r="X30" i="6"/>
  <c r="N30" i="6"/>
  <c r="X50" i="6"/>
  <c r="N50" i="6"/>
  <c r="X27" i="6"/>
  <c r="N27" i="6"/>
  <c r="X55" i="6"/>
  <c r="N55" i="6"/>
  <c r="X32" i="6"/>
  <c r="N32" i="6"/>
  <c r="T184" i="6"/>
  <c r="U184" i="6" s="1"/>
  <c r="B184" i="6" s="1"/>
  <c r="T188" i="6"/>
  <c r="U188" i="6" s="1"/>
  <c r="B188" i="6" s="1"/>
  <c r="N29" i="6"/>
  <c r="X29" i="6"/>
  <c r="N6" i="6"/>
  <c r="X6" i="6"/>
  <c r="L291" i="6"/>
  <c r="X23" i="6"/>
  <c r="N23" i="6"/>
  <c r="X51" i="6"/>
  <c r="N51" i="6"/>
  <c r="N9" i="6"/>
  <c r="X9" i="6"/>
  <c r="X28" i="6"/>
  <c r="N28" i="6"/>
  <c r="Y4" i="6"/>
  <c r="M4" i="6"/>
  <c r="Y20" i="6"/>
  <c r="M20" i="6"/>
  <c r="N20" i="6" s="1"/>
  <c r="X25" i="6"/>
  <c r="N25" i="6"/>
  <c r="X57" i="6"/>
  <c r="N57" i="6"/>
  <c r="T61" i="6"/>
  <c r="U61" i="6" s="1"/>
  <c r="B61" i="6" s="1"/>
  <c r="T85" i="6"/>
  <c r="U85" i="6" s="1"/>
  <c r="B85" i="6" s="1"/>
  <c r="T89" i="6"/>
  <c r="U89" i="6" s="1"/>
  <c r="B89" i="6" s="1"/>
  <c r="T133" i="6"/>
  <c r="U133" i="6" s="1"/>
  <c r="B133" i="6" s="1"/>
  <c r="T157" i="6"/>
  <c r="U157" i="6" s="1"/>
  <c r="B157" i="6" s="1"/>
  <c r="T161" i="6"/>
  <c r="U161" i="6" s="1"/>
  <c r="B161" i="6" s="1"/>
  <c r="T209" i="6"/>
  <c r="U209" i="6" s="1"/>
  <c r="B209" i="6" s="1"/>
  <c r="T229" i="6"/>
  <c r="U229" i="6" s="1"/>
  <c r="B229" i="6" s="1"/>
  <c r="T233" i="6"/>
  <c r="U233" i="6" s="1"/>
  <c r="B233" i="6" s="1"/>
  <c r="T257" i="6"/>
  <c r="U257" i="6" s="1"/>
  <c r="B257" i="6" s="1"/>
  <c r="T277" i="6"/>
  <c r="U277" i="6" s="1"/>
  <c r="B277" i="6" s="1"/>
  <c r="T281" i="6"/>
  <c r="U281" i="6" s="1"/>
  <c r="B281" i="6" s="1"/>
  <c r="X58" i="6"/>
  <c r="N58" i="6"/>
  <c r="T62" i="6"/>
  <c r="U62" i="6" s="1"/>
  <c r="B62" i="6" s="1"/>
  <c r="T66" i="6"/>
  <c r="U66" i="6" s="1"/>
  <c r="B66" i="6" s="1"/>
  <c r="T86" i="6"/>
  <c r="U86" i="6" s="1"/>
  <c r="B86" i="6" s="1"/>
  <c r="T130" i="6"/>
  <c r="U130" i="6" s="1"/>
  <c r="B130" i="6" s="1"/>
  <c r="T178" i="6"/>
  <c r="U178" i="6" s="1"/>
  <c r="B178" i="6" s="1"/>
  <c r="T182" i="6"/>
  <c r="U182" i="6" s="1"/>
  <c r="B182" i="6" s="1"/>
  <c r="T186" i="6"/>
  <c r="U186" i="6" s="1"/>
  <c r="B186" i="6" s="1"/>
  <c r="T206" i="6"/>
  <c r="U206" i="6" s="1"/>
  <c r="B206" i="6" s="1"/>
  <c r="T210" i="6"/>
  <c r="U210" i="6" s="1"/>
  <c r="B210" i="6" s="1"/>
  <c r="T234" i="6"/>
  <c r="U234" i="6" s="1"/>
  <c r="B234" i="6" s="1"/>
  <c r="N7" i="6"/>
  <c r="X7" i="6"/>
  <c r="T13" i="6"/>
  <c r="U13" i="6" s="1"/>
  <c r="B13" i="6" s="1"/>
  <c r="N35" i="6"/>
  <c r="X35" i="6"/>
  <c r="T39" i="6"/>
  <c r="U39" i="6" s="1"/>
  <c r="B39" i="6" s="1"/>
  <c r="T83" i="6"/>
  <c r="U83" i="6" s="1"/>
  <c r="B83" i="6" s="1"/>
  <c r="T87" i="6"/>
  <c r="U87" i="6" s="1"/>
  <c r="B87" i="6" s="1"/>
  <c r="T91" i="6"/>
  <c r="U91" i="6" s="1"/>
  <c r="B91" i="6" s="1"/>
  <c r="T131" i="6"/>
  <c r="U131" i="6" s="1"/>
  <c r="B131" i="6" s="1"/>
  <c r="T135" i="6"/>
  <c r="U135" i="6" s="1"/>
  <c r="B135" i="6" s="1"/>
  <c r="T139" i="6"/>
  <c r="U139" i="6" s="1"/>
  <c r="B139" i="6" s="1"/>
  <c r="T179" i="6"/>
  <c r="U179" i="6" s="1"/>
  <c r="B179" i="6" s="1"/>
  <c r="T183" i="6"/>
  <c r="U183" i="6" s="1"/>
  <c r="B183" i="6" s="1"/>
  <c r="X24" i="6"/>
  <c r="N24" i="6"/>
  <c r="X56" i="6"/>
  <c r="N56" i="6"/>
  <c r="T64" i="6"/>
  <c r="U64" i="6" s="1"/>
  <c r="B64" i="6" s="1"/>
  <c r="T84" i="6"/>
  <c r="U84" i="6" s="1"/>
  <c r="B84" i="6" s="1"/>
  <c r="T88" i="6"/>
  <c r="U88" i="6" s="1"/>
  <c r="B88" i="6" s="1"/>
  <c r="T92" i="6"/>
  <c r="U92" i="6" s="1"/>
  <c r="B92" i="6" s="1"/>
  <c r="T132" i="6"/>
  <c r="U132" i="6" s="1"/>
  <c r="B132" i="6" s="1"/>
  <c r="T136" i="6"/>
  <c r="U136" i="6" s="1"/>
  <c r="B136" i="6" s="1"/>
  <c r="T140" i="6"/>
  <c r="U140" i="6" s="1"/>
  <c r="B140" i="6" s="1"/>
  <c r="V19" i="14"/>
  <c r="C20" i="14" s="1"/>
  <c r="D20" i="14" s="1"/>
  <c r="V20" i="13"/>
  <c r="C21" i="13" s="1"/>
  <c r="D21" i="13" s="1"/>
  <c r="V10" i="12"/>
  <c r="C11" i="12" s="1"/>
  <c r="D11" i="12" s="1"/>
  <c r="V10" i="11"/>
  <c r="C11" i="11" s="1"/>
  <c r="D11" i="11" s="1"/>
  <c r="V10" i="10"/>
  <c r="C11" i="10" s="1"/>
  <c r="D11" i="10" s="1"/>
  <c r="C9" i="9"/>
  <c r="D9" i="9" s="1"/>
  <c r="V9" i="9" s="1"/>
  <c r="D290" i="3"/>
  <c r="D291" i="3" s="1"/>
  <c r="F295" i="1" s="1"/>
  <c r="V155" i="2"/>
  <c r="R155" i="2" s="1"/>
  <c r="AB155" i="2"/>
  <c r="V180" i="2"/>
  <c r="R180" i="2" s="1"/>
  <c r="AB180" i="2"/>
  <c r="V186" i="2"/>
  <c r="R186" i="2" s="1"/>
  <c r="AB186" i="2"/>
  <c r="V62" i="2"/>
  <c r="R62" i="2" s="1"/>
  <c r="AB62" i="2"/>
  <c r="V64" i="2"/>
  <c r="R64" i="2" s="1"/>
  <c r="AB64" i="2"/>
  <c r="V163" i="2"/>
  <c r="R163" i="2" s="1"/>
  <c r="AB163" i="2"/>
  <c r="V61" i="2"/>
  <c r="R61" i="2" s="1"/>
  <c r="AB61" i="2"/>
  <c r="V158" i="2"/>
  <c r="R158" i="2" s="1"/>
  <c r="AB158" i="2"/>
  <c r="V256" i="2"/>
  <c r="R256" i="2" s="1"/>
  <c r="AB256" i="2"/>
  <c r="V107" i="2"/>
  <c r="R107" i="2" s="1"/>
  <c r="AB107" i="2"/>
  <c r="V132" i="2"/>
  <c r="R132" i="2" s="1"/>
  <c r="AB132" i="2"/>
  <c r="V41" i="2"/>
  <c r="R41" i="2" s="1"/>
  <c r="AB41" i="2"/>
  <c r="V208" i="2"/>
  <c r="R208" i="2" s="1"/>
  <c r="AB208" i="2"/>
  <c r="V157" i="2"/>
  <c r="R157" i="2" s="1"/>
  <c r="AB157" i="2"/>
  <c r="V184" i="2"/>
  <c r="R184" i="2" s="1"/>
  <c r="AB184" i="2"/>
  <c r="V182" i="2"/>
  <c r="R182" i="2" s="1"/>
  <c r="AB182" i="2"/>
  <c r="V134" i="2"/>
  <c r="R134" i="2" s="1"/>
  <c r="AB134" i="2"/>
  <c r="V137" i="2"/>
  <c r="R137" i="2" s="1"/>
  <c r="AB137" i="2"/>
  <c r="V16" i="2"/>
  <c r="R16" i="2" s="1"/>
  <c r="AB16" i="2"/>
  <c r="V133" i="2"/>
  <c r="R133" i="2" s="1"/>
  <c r="AB133" i="2"/>
  <c r="V87" i="2"/>
  <c r="R87" i="2" s="1"/>
  <c r="AB87" i="2"/>
  <c r="V84" i="2"/>
  <c r="R84" i="2" s="1"/>
  <c r="AB84" i="2"/>
  <c r="V60" i="2"/>
  <c r="R60" i="2" s="1"/>
  <c r="AB60" i="2"/>
  <c r="V230" i="2"/>
  <c r="R230" i="2" s="1"/>
  <c r="AB230" i="2"/>
  <c r="V88" i="2"/>
  <c r="R88" i="2" s="1"/>
  <c r="AB88" i="2"/>
  <c r="V131" i="2"/>
  <c r="R131" i="2" s="1"/>
  <c r="AB131" i="2"/>
  <c r="V156" i="2"/>
  <c r="R156" i="2" s="1"/>
  <c r="AB156" i="2"/>
  <c r="V40" i="2"/>
  <c r="R40" i="2" s="1"/>
  <c r="AB40" i="2"/>
  <c r="V63" i="2"/>
  <c r="R63" i="2" s="1"/>
  <c r="AB63" i="2"/>
  <c r="V228" i="2"/>
  <c r="R228" i="2" s="1"/>
  <c r="AB228" i="2"/>
  <c r="V89" i="2"/>
  <c r="R89" i="2" s="1"/>
  <c r="AB89" i="2"/>
  <c r="V91" i="2"/>
  <c r="R91" i="2" s="1"/>
  <c r="AB91" i="2"/>
  <c r="V135" i="2"/>
  <c r="R135" i="2" s="1"/>
  <c r="AB135" i="2"/>
  <c r="V232" i="2"/>
  <c r="R232" i="2" s="1"/>
  <c r="AB232" i="2"/>
  <c r="V112" i="2"/>
  <c r="R112" i="2" s="1"/>
  <c r="AB112" i="2"/>
  <c r="V231" i="2"/>
  <c r="R231" i="2" s="1"/>
  <c r="AB231" i="2"/>
  <c r="V183" i="2"/>
  <c r="R183" i="2" s="1"/>
  <c r="AB183" i="2"/>
  <c r="V160" i="2"/>
  <c r="R160" i="2" s="1"/>
  <c r="AB160" i="2"/>
  <c r="V17" i="2"/>
  <c r="R17" i="2" s="1"/>
  <c r="AB17" i="2"/>
  <c r="V254" i="2"/>
  <c r="R254" i="2" s="1"/>
  <c r="AB254" i="2"/>
  <c r="V13" i="2"/>
  <c r="R13" i="2" s="1"/>
  <c r="AB13" i="2"/>
  <c r="V280" i="2"/>
  <c r="R280" i="2" s="1"/>
  <c r="AB280" i="2"/>
  <c r="V278" i="2"/>
  <c r="R278" i="2" s="1"/>
  <c r="AB278" i="2"/>
  <c r="V204" i="2"/>
  <c r="R204" i="2" s="1"/>
  <c r="AB204" i="2"/>
  <c r="V253" i="2"/>
  <c r="R253" i="2" s="1"/>
  <c r="AB253" i="2"/>
  <c r="V39" i="2"/>
  <c r="R39" i="2" s="1"/>
  <c r="AB39" i="2"/>
  <c r="V15" i="2"/>
  <c r="R15" i="2" s="1"/>
  <c r="AB15" i="2"/>
  <c r="V159" i="2"/>
  <c r="R159" i="2" s="1"/>
  <c r="AB159" i="2"/>
  <c r="V114" i="2"/>
  <c r="R114" i="2" s="1"/>
  <c r="AB114" i="2"/>
  <c r="V181" i="2"/>
  <c r="R181" i="2" s="1"/>
  <c r="AB181" i="2"/>
  <c r="V279" i="2"/>
  <c r="R279" i="2" s="1"/>
  <c r="AB279" i="2"/>
  <c r="V139" i="2"/>
  <c r="R139" i="2" s="1"/>
  <c r="AB139" i="2"/>
  <c r="V113" i="2"/>
  <c r="R113" i="2" s="1"/>
  <c r="AB113" i="2"/>
  <c r="V277" i="2"/>
  <c r="R277" i="2" s="1"/>
  <c r="AB277" i="2"/>
  <c r="V85" i="2"/>
  <c r="R85" i="2" s="1"/>
  <c r="AB85" i="2"/>
  <c r="V83" i="2"/>
  <c r="R83" i="2" s="1"/>
  <c r="AB83" i="2"/>
  <c r="V108" i="2"/>
  <c r="R108" i="2" s="1"/>
  <c r="AB108" i="2"/>
  <c r="V14" i="2"/>
  <c r="R14" i="2" s="1"/>
  <c r="AB14" i="2"/>
  <c r="V90" i="2"/>
  <c r="R90" i="2" s="1"/>
  <c r="AB90" i="2"/>
  <c r="V138" i="2"/>
  <c r="R138" i="2" s="1"/>
  <c r="AB138" i="2"/>
  <c r="V42" i="2"/>
  <c r="R42" i="2" s="1"/>
  <c r="AB42" i="2"/>
  <c r="V209" i="2"/>
  <c r="R209" i="2" s="1"/>
  <c r="AB209" i="2"/>
  <c r="V136" i="2"/>
  <c r="R136" i="2" s="1"/>
  <c r="AB136" i="2"/>
  <c r="V111" i="2"/>
  <c r="R111" i="2" s="1"/>
  <c r="AB111" i="2"/>
  <c r="V229" i="2"/>
  <c r="R229" i="2" s="1"/>
  <c r="AB229" i="2"/>
  <c r="V255" i="2"/>
  <c r="R255" i="2" s="1"/>
  <c r="AB255" i="2"/>
  <c r="V86" i="2"/>
  <c r="R86" i="2" s="1"/>
  <c r="AB86" i="2"/>
  <c r="AF4" i="2"/>
  <c r="AF5" i="2" s="1"/>
  <c r="AF6" i="2" s="1"/>
  <c r="AF7" i="2" s="1"/>
  <c r="AF8" i="2" s="1"/>
  <c r="AF9" i="2" s="1"/>
  <c r="AF10" i="2" s="1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F39" i="2" s="1"/>
  <c r="AF40" i="2" s="1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F51" i="2" s="1"/>
  <c r="AF52" i="2" s="1"/>
  <c r="AF53" i="2" s="1"/>
  <c r="AF54" i="2" s="1"/>
  <c r="AF55" i="2" s="1"/>
  <c r="AF56" i="2" s="1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F83" i="2" s="1"/>
  <c r="AF84" i="2" s="1"/>
  <c r="AF85" i="2" s="1"/>
  <c r="AF86" i="2" s="1"/>
  <c r="AF87" i="2" s="1"/>
  <c r="AF88" i="2" s="1"/>
  <c r="AF89" i="2" s="1"/>
  <c r="AF90" i="2" s="1"/>
  <c r="AF91" i="2" s="1"/>
  <c r="AF92" i="2" s="1"/>
  <c r="AF93" i="2" s="1"/>
  <c r="AF94" i="2" s="1"/>
  <c r="AF95" i="2" s="1"/>
  <c r="AF96" i="2" s="1"/>
  <c r="AF97" i="2" s="1"/>
  <c r="AF98" i="2" s="1"/>
  <c r="AF99" i="2" s="1"/>
  <c r="AF100" i="2" s="1"/>
  <c r="AF101" i="2" s="1"/>
  <c r="AF102" i="2" s="1"/>
  <c r="AF103" i="2" s="1"/>
  <c r="AF104" i="2" s="1"/>
  <c r="AF105" i="2" s="1"/>
  <c r="AF106" i="2" s="1"/>
  <c r="AF107" i="2" s="1"/>
  <c r="AF108" i="2" s="1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F122" i="2" s="1"/>
  <c r="AF123" i="2" s="1"/>
  <c r="AF124" i="2" s="1"/>
  <c r="AF125" i="2" s="1"/>
  <c r="AF126" i="2" s="1"/>
  <c r="AF127" i="2" s="1"/>
  <c r="AF128" i="2" s="1"/>
  <c r="AF129" i="2" s="1"/>
  <c r="AF130" i="2" s="1"/>
  <c r="AF131" i="2" s="1"/>
  <c r="AF132" i="2" s="1"/>
  <c r="AF133" i="2" s="1"/>
  <c r="AF134" i="2" s="1"/>
  <c r="AF135" i="2" s="1"/>
  <c r="AF136" i="2" s="1"/>
  <c r="AF137" i="2" s="1"/>
  <c r="AF138" i="2" s="1"/>
  <c r="AF139" i="2" s="1"/>
  <c r="AF140" i="2" s="1"/>
  <c r="AF141" i="2" s="1"/>
  <c r="AF142" i="2" s="1"/>
  <c r="AF143" i="2" s="1"/>
  <c r="AF144" i="2" s="1"/>
  <c r="AF145" i="2" s="1"/>
  <c r="AF146" i="2" s="1"/>
  <c r="AF147" i="2" s="1"/>
  <c r="AF148" i="2" s="1"/>
  <c r="AF149" i="2" s="1"/>
  <c r="AF150" i="2" s="1"/>
  <c r="AF151" i="2" s="1"/>
  <c r="AF152" i="2" s="1"/>
  <c r="AF153" i="2" s="1"/>
  <c r="AF154" i="2" s="1"/>
  <c r="AF155" i="2" s="1"/>
  <c r="AF156" i="2" s="1"/>
  <c r="AF157" i="2" s="1"/>
  <c r="AF158" i="2" s="1"/>
  <c r="AF159" i="2" s="1"/>
  <c r="AF160" i="2" s="1"/>
  <c r="AF161" i="2" s="1"/>
  <c r="AF162" i="2" s="1"/>
  <c r="AF163" i="2" s="1"/>
  <c r="AF164" i="2" s="1"/>
  <c r="AF165" i="2" s="1"/>
  <c r="AF166" i="2" s="1"/>
  <c r="AF167" i="2" s="1"/>
  <c r="AF168" i="2" s="1"/>
  <c r="AF169" i="2" s="1"/>
  <c r="AF170" i="2" s="1"/>
  <c r="AF171" i="2" s="1"/>
  <c r="AF172" i="2" s="1"/>
  <c r="AF173" i="2" s="1"/>
  <c r="AF174" i="2" s="1"/>
  <c r="AF175" i="2" s="1"/>
  <c r="AF176" i="2" s="1"/>
  <c r="AF177" i="2" s="1"/>
  <c r="AF178" i="2" s="1"/>
  <c r="AF179" i="2" s="1"/>
  <c r="AF180" i="2" s="1"/>
  <c r="AF181" i="2" s="1"/>
  <c r="AF182" i="2" s="1"/>
  <c r="AF183" i="2" s="1"/>
  <c r="AF184" i="2" s="1"/>
  <c r="AF185" i="2" s="1"/>
  <c r="AF186" i="2" s="1"/>
  <c r="AF187" i="2" s="1"/>
  <c r="AF188" i="2" s="1"/>
  <c r="AF189" i="2" s="1"/>
  <c r="AF190" i="2" s="1"/>
  <c r="AF191" i="2" s="1"/>
  <c r="AF192" i="2" s="1"/>
  <c r="AF193" i="2" s="1"/>
  <c r="AF194" i="2" s="1"/>
  <c r="AF195" i="2" s="1"/>
  <c r="AF196" i="2" s="1"/>
  <c r="AF197" i="2" s="1"/>
  <c r="AF198" i="2" s="1"/>
  <c r="AF199" i="2" s="1"/>
  <c r="AF200" i="2" s="1"/>
  <c r="AF201" i="2" s="1"/>
  <c r="AF202" i="2" s="1"/>
  <c r="AF203" i="2" s="1"/>
  <c r="AF204" i="2" s="1"/>
  <c r="AF205" i="2" s="1"/>
  <c r="AF206" i="2" s="1"/>
  <c r="AF207" i="2" s="1"/>
  <c r="AF208" i="2" s="1"/>
  <c r="AF209" i="2" s="1"/>
  <c r="AF210" i="2" s="1"/>
  <c r="AF211" i="2" s="1"/>
  <c r="AF212" i="2" s="1"/>
  <c r="AF213" i="2" s="1"/>
  <c r="AF214" i="2" s="1"/>
  <c r="AF215" i="2" s="1"/>
  <c r="AF216" i="2" s="1"/>
  <c r="AF217" i="2" s="1"/>
  <c r="AF218" i="2" s="1"/>
  <c r="AF219" i="2" s="1"/>
  <c r="AF220" i="2" s="1"/>
  <c r="AF221" i="2" s="1"/>
  <c r="AF222" i="2" s="1"/>
  <c r="AF223" i="2" s="1"/>
  <c r="AF224" i="2" s="1"/>
  <c r="AF225" i="2" s="1"/>
  <c r="AF226" i="2" s="1"/>
  <c r="AF227" i="2" s="1"/>
  <c r="AF228" i="2" s="1"/>
  <c r="AF229" i="2" s="1"/>
  <c r="AF230" i="2" s="1"/>
  <c r="AF231" i="2" s="1"/>
  <c r="AF232" i="2" s="1"/>
  <c r="AF233" i="2" s="1"/>
  <c r="AF234" i="2" s="1"/>
  <c r="AF235" i="2" s="1"/>
  <c r="AF236" i="2" s="1"/>
  <c r="AF237" i="2" s="1"/>
  <c r="AF238" i="2" s="1"/>
  <c r="AF239" i="2" s="1"/>
  <c r="AF240" i="2" s="1"/>
  <c r="AF241" i="2" s="1"/>
  <c r="AF242" i="2" s="1"/>
  <c r="AF243" i="2" s="1"/>
  <c r="AF244" i="2" s="1"/>
  <c r="AF245" i="2" s="1"/>
  <c r="AF246" i="2" s="1"/>
  <c r="AF247" i="2" s="1"/>
  <c r="AF248" i="2" s="1"/>
  <c r="AF249" i="2" s="1"/>
  <c r="AF250" i="2" s="1"/>
  <c r="AF251" i="2" s="1"/>
  <c r="AF252" i="2" s="1"/>
  <c r="AF253" i="2" s="1"/>
  <c r="AF254" i="2" s="1"/>
  <c r="AF255" i="2" s="1"/>
  <c r="AF256" i="2" s="1"/>
  <c r="AF257" i="2" s="1"/>
  <c r="AF258" i="2" s="1"/>
  <c r="AF259" i="2" s="1"/>
  <c r="AF260" i="2" s="1"/>
  <c r="AF261" i="2" s="1"/>
  <c r="AF262" i="2" s="1"/>
  <c r="AF263" i="2" s="1"/>
  <c r="AF264" i="2" s="1"/>
  <c r="AF265" i="2" s="1"/>
  <c r="AF266" i="2" s="1"/>
  <c r="AF267" i="2" s="1"/>
  <c r="AF268" i="2" s="1"/>
  <c r="AF269" i="2" s="1"/>
  <c r="AF270" i="2" s="1"/>
  <c r="AF271" i="2" s="1"/>
  <c r="AF272" i="2" s="1"/>
  <c r="AF273" i="2" s="1"/>
  <c r="AF274" i="2" s="1"/>
  <c r="AF275" i="2" s="1"/>
  <c r="AF276" i="2" s="1"/>
  <c r="AF277" i="2" s="1"/>
  <c r="AF278" i="2" s="1"/>
  <c r="AF279" i="2" s="1"/>
  <c r="AF280" i="2" s="1"/>
  <c r="AF281" i="2" s="1"/>
  <c r="AF282" i="2" s="1"/>
  <c r="AF283" i="2" s="1"/>
  <c r="AF284" i="2" s="1"/>
  <c r="AF285" i="2" s="1"/>
  <c r="AF286" i="2" s="1"/>
  <c r="AF287" i="2" s="1"/>
  <c r="AF288" i="2" s="1"/>
  <c r="AF289" i="2" s="1"/>
  <c r="V23" i="2"/>
  <c r="R23" i="2" s="1"/>
  <c r="V9" i="2"/>
  <c r="R9" i="2" s="1"/>
  <c r="V4" i="2"/>
  <c r="R4" i="2" s="1"/>
  <c r="V32" i="2"/>
  <c r="R32" i="2" s="1"/>
  <c r="V10" i="2"/>
  <c r="R10" i="2" s="1"/>
  <c r="V22" i="2"/>
  <c r="R22" i="2" s="1"/>
  <c r="V20" i="2"/>
  <c r="R20" i="2" s="1"/>
  <c r="V94" i="2"/>
  <c r="R94" i="2" s="1"/>
  <c r="V45" i="2"/>
  <c r="R45" i="2" s="1"/>
  <c r="V25" i="2"/>
  <c r="R25" i="2" s="1"/>
  <c r="V21" i="2"/>
  <c r="R21" i="2" s="1"/>
  <c r="V3" i="2"/>
  <c r="R3" i="2" s="1"/>
  <c r="C3" i="2"/>
  <c r="AA3" i="2" s="1"/>
  <c r="V70" i="2"/>
  <c r="R70" i="2" s="1"/>
  <c r="V24" i="2"/>
  <c r="R24" i="2" s="1"/>
  <c r="V34" i="2"/>
  <c r="R34" i="2" s="1"/>
  <c r="V69" i="2"/>
  <c r="R69" i="2" s="1"/>
  <c r="V5" i="2"/>
  <c r="R5" i="2" s="1"/>
  <c r="V80" i="2"/>
  <c r="R80" i="2" s="1"/>
  <c r="V33" i="2"/>
  <c r="R33" i="2" s="1"/>
  <c r="V44" i="2"/>
  <c r="R44" i="2" s="1"/>
  <c r="V56" i="2"/>
  <c r="R56" i="2" s="1"/>
  <c r="V46" i="2"/>
  <c r="R46" i="2" s="1"/>
  <c r="V31" i="2"/>
  <c r="R31" i="2" s="1"/>
  <c r="V35" i="2"/>
  <c r="R35" i="2" s="1"/>
  <c r="V99" i="2"/>
  <c r="R99" i="2" s="1"/>
  <c r="V124" i="2"/>
  <c r="R124" i="2" s="1"/>
  <c r="V198" i="2"/>
  <c r="R198" i="2" s="1"/>
  <c r="V282" i="2"/>
  <c r="R282" i="2" s="1"/>
  <c r="V266" i="2"/>
  <c r="R266" i="2" s="1"/>
  <c r="V145" i="2"/>
  <c r="R145" i="2" s="1"/>
  <c r="V72" i="2"/>
  <c r="R72" i="2" s="1"/>
  <c r="V242" i="2"/>
  <c r="R242" i="2" s="1"/>
  <c r="V105" i="2"/>
  <c r="R105" i="2" s="1"/>
  <c r="V151" i="2"/>
  <c r="R151" i="2" s="1"/>
  <c r="V127" i="2"/>
  <c r="R127" i="2" s="1"/>
  <c r="V117" i="2"/>
  <c r="R117" i="2" s="1"/>
  <c r="V271" i="2"/>
  <c r="R271" i="2" s="1"/>
  <c r="V97" i="2"/>
  <c r="R97" i="2" s="1"/>
  <c r="V224" i="2"/>
  <c r="R224" i="2" s="1"/>
  <c r="V43" i="2"/>
  <c r="R43" i="2" s="1"/>
  <c r="V171" i="2"/>
  <c r="R171" i="2" s="1"/>
  <c r="V235" i="2"/>
  <c r="R235" i="2" s="1"/>
  <c r="V68" i="2"/>
  <c r="R68" i="2" s="1"/>
  <c r="V196" i="2"/>
  <c r="R196" i="2" s="1"/>
  <c r="V260" i="2"/>
  <c r="R260" i="2" s="1"/>
  <c r="V122" i="2"/>
  <c r="R122" i="2" s="1"/>
  <c r="V71" i="2"/>
  <c r="R71" i="2" s="1"/>
  <c r="V241" i="2"/>
  <c r="R241" i="2" s="1"/>
  <c r="V82" i="2"/>
  <c r="R82" i="2" s="1"/>
  <c r="V168" i="2"/>
  <c r="R168" i="2" s="1"/>
  <c r="V169" i="2"/>
  <c r="R169" i="2" s="1"/>
  <c r="V173" i="2"/>
  <c r="R173" i="2" s="1"/>
  <c r="V96" i="2"/>
  <c r="R96" i="2" s="1"/>
  <c r="V289" i="2"/>
  <c r="R289" i="2" s="1"/>
  <c r="V119" i="2"/>
  <c r="R119" i="2" s="1"/>
  <c r="V51" i="2"/>
  <c r="R51" i="2" s="1"/>
  <c r="V243" i="2"/>
  <c r="R243" i="2" s="1"/>
  <c r="V76" i="2"/>
  <c r="R76" i="2" s="1"/>
  <c r="V268" i="2"/>
  <c r="R268" i="2" s="1"/>
  <c r="V50" i="2"/>
  <c r="R50" i="2" s="1"/>
  <c r="V218" i="2"/>
  <c r="R218" i="2" s="1"/>
  <c r="V81" i="2"/>
  <c r="R81" i="2" s="1"/>
  <c r="V167" i="2"/>
  <c r="R167" i="2" s="1"/>
  <c r="V264" i="2"/>
  <c r="R264" i="2" s="1"/>
  <c r="V201" i="2"/>
  <c r="R201" i="2" s="1"/>
  <c r="V191" i="2"/>
  <c r="R191" i="2" s="1"/>
  <c r="V128" i="2"/>
  <c r="R128" i="2" s="1"/>
  <c r="V152" i="2"/>
  <c r="R152" i="2" s="1"/>
  <c r="V141" i="2"/>
  <c r="R141" i="2" s="1"/>
  <c r="V30" i="2"/>
  <c r="R30" i="2" s="1"/>
  <c r="V197" i="2"/>
  <c r="R197" i="2" s="1"/>
  <c r="V123" i="2"/>
  <c r="R123" i="2" s="1"/>
  <c r="V251" i="2"/>
  <c r="R251" i="2" s="1"/>
  <c r="V148" i="2"/>
  <c r="R148" i="2" s="1"/>
  <c r="V212" i="2"/>
  <c r="R212" i="2" s="1"/>
  <c r="V144" i="2"/>
  <c r="R144" i="2" s="1"/>
  <c r="V93" i="2"/>
  <c r="R93" i="2" s="1"/>
  <c r="V177" i="2"/>
  <c r="R177" i="2" s="1"/>
  <c r="V263" i="2"/>
  <c r="R263" i="2" s="1"/>
  <c r="V104" i="2"/>
  <c r="R104" i="2" s="1"/>
  <c r="V190" i="2"/>
  <c r="R190" i="2" s="1"/>
  <c r="V274" i="2"/>
  <c r="R274" i="2" s="1"/>
  <c r="V265" i="2"/>
  <c r="R265" i="2" s="1"/>
  <c r="V55" i="2"/>
  <c r="R55" i="2" s="1"/>
  <c r="V213" i="2"/>
  <c r="R213" i="2" s="1"/>
  <c r="V175" i="2"/>
  <c r="R175" i="2" s="1"/>
  <c r="V174" i="2"/>
  <c r="R174" i="2" s="1"/>
  <c r="V78" i="2"/>
  <c r="R78" i="2" s="1"/>
  <c r="V47" i="2"/>
  <c r="R47" i="2" s="1"/>
  <c r="V239" i="2"/>
  <c r="R239" i="2" s="1"/>
  <c r="V195" i="2"/>
  <c r="R195" i="2" s="1"/>
  <c r="V259" i="2"/>
  <c r="R259" i="2" s="1"/>
  <c r="V220" i="2"/>
  <c r="R220" i="2" s="1"/>
  <c r="V284" i="2"/>
  <c r="R284" i="2" s="1"/>
  <c r="V240" i="2"/>
  <c r="R240" i="2" s="1"/>
  <c r="V28" i="2"/>
  <c r="R28" i="2" s="1"/>
  <c r="V103" i="2"/>
  <c r="R103" i="2" s="1"/>
  <c r="V273" i="2"/>
  <c r="R273" i="2" s="1"/>
  <c r="V200" i="2"/>
  <c r="R200" i="2" s="1"/>
  <c r="V286" i="2"/>
  <c r="R286" i="2" s="1"/>
  <c r="V226" i="2"/>
  <c r="R226" i="2" s="1"/>
  <c r="V237" i="2"/>
  <c r="R237" i="2" s="1"/>
  <c r="V192" i="2"/>
  <c r="R192" i="2" s="1"/>
  <c r="V118" i="2"/>
  <c r="R118" i="2" s="1"/>
  <c r="V29" i="2"/>
  <c r="R29" i="2" s="1"/>
  <c r="V11" i="2"/>
  <c r="R11" i="2" s="1"/>
  <c r="V75" i="2"/>
  <c r="R75" i="2" s="1"/>
  <c r="V267" i="2"/>
  <c r="R267" i="2" s="1"/>
  <c r="V100" i="2"/>
  <c r="R100" i="2" s="1"/>
  <c r="V166" i="2"/>
  <c r="R166" i="2" s="1"/>
  <c r="V250" i="2"/>
  <c r="R250" i="2" s="1"/>
  <c r="V74" i="2"/>
  <c r="R74" i="2" s="1"/>
  <c r="V199" i="2"/>
  <c r="R199" i="2" s="1"/>
  <c r="V285" i="2"/>
  <c r="R285" i="2" s="1"/>
  <c r="V126" i="2"/>
  <c r="R126" i="2" s="1"/>
  <c r="V248" i="2"/>
  <c r="R248" i="2" s="1"/>
  <c r="V214" i="2"/>
  <c r="R214" i="2" s="1"/>
  <c r="V215" i="2"/>
  <c r="R215" i="2" s="1"/>
  <c r="V194" i="2"/>
  <c r="R194" i="2" s="1"/>
  <c r="V19" i="2"/>
  <c r="R19" i="2" s="1"/>
  <c r="V147" i="2"/>
  <c r="R147" i="2" s="1"/>
  <c r="V275" i="2"/>
  <c r="R275" i="2" s="1"/>
  <c r="V172" i="2"/>
  <c r="R172" i="2" s="1"/>
  <c r="V236" i="2"/>
  <c r="R236" i="2" s="1"/>
  <c r="V176" i="2"/>
  <c r="R176" i="2" s="1"/>
  <c r="V262" i="2"/>
  <c r="R262" i="2" s="1"/>
  <c r="V125" i="2"/>
  <c r="R125" i="2" s="1"/>
  <c r="V53" i="2"/>
  <c r="R53" i="2" s="1"/>
  <c r="V222" i="2"/>
  <c r="R222" i="2" s="1"/>
  <c r="V26" i="2"/>
  <c r="R26" i="2" s="1"/>
  <c r="V170" i="2"/>
  <c r="R170" i="2" s="1"/>
  <c r="V270" i="2"/>
  <c r="R270" i="2" s="1"/>
  <c r="V48" i="2"/>
  <c r="R48" i="2" s="1"/>
  <c r="V77" i="2"/>
  <c r="R77" i="2" s="1"/>
  <c r="V58" i="2"/>
  <c r="R58" i="2" s="1"/>
  <c r="V216" i="2"/>
  <c r="R216" i="2" s="1"/>
  <c r="V120" i="2"/>
  <c r="R120" i="2" s="1"/>
  <c r="V27" i="2"/>
  <c r="R27" i="2" s="1"/>
  <c r="V219" i="2"/>
  <c r="R219" i="2" s="1"/>
  <c r="V283" i="2"/>
  <c r="R283" i="2" s="1"/>
  <c r="V244" i="2"/>
  <c r="R244" i="2" s="1"/>
  <c r="V102" i="2"/>
  <c r="R102" i="2" s="1"/>
  <c r="V272" i="2"/>
  <c r="R272" i="2" s="1"/>
  <c r="V52" i="2"/>
  <c r="R52" i="2" s="1"/>
  <c r="V221" i="2"/>
  <c r="R221" i="2" s="1"/>
  <c r="V146" i="2"/>
  <c r="R146" i="2" s="1"/>
  <c r="V73" i="2"/>
  <c r="R73" i="2" s="1"/>
  <c r="V202" i="2"/>
  <c r="R202" i="2" s="1"/>
  <c r="V129" i="2"/>
  <c r="R129" i="2" s="1"/>
  <c r="V288" i="2"/>
  <c r="R288" i="2" s="1"/>
  <c r="V223" i="2"/>
  <c r="R223" i="2" s="1"/>
  <c r="V95" i="2"/>
  <c r="R95" i="2" s="1"/>
  <c r="V249" i="2"/>
  <c r="R249" i="2" s="1"/>
  <c r="V79" i="2"/>
  <c r="R79" i="2" s="1"/>
  <c r="V238" i="2"/>
  <c r="R238" i="2" s="1"/>
  <c r="V142" i="2"/>
  <c r="R142" i="2" s="1"/>
  <c r="V143" i="2"/>
  <c r="R143" i="2" s="1"/>
  <c r="V8" i="2"/>
  <c r="R8" i="2" s="1"/>
  <c r="V6" i="2"/>
  <c r="R6" i="2" s="1"/>
  <c r="V7" i="2"/>
  <c r="R7" i="2" s="1"/>
  <c r="V276" i="2"/>
  <c r="R276" i="2" s="1"/>
  <c r="B276" i="2"/>
  <c r="V67" i="2"/>
  <c r="R67" i="2" s="1"/>
  <c r="B67" i="2"/>
  <c r="V203" i="2"/>
  <c r="R203" i="2" s="1"/>
  <c r="B203" i="2"/>
  <c r="V164" i="2"/>
  <c r="R164" i="2" s="1"/>
  <c r="B164" i="2"/>
  <c r="V210" i="2"/>
  <c r="R210" i="2" s="1"/>
  <c r="B210" i="2"/>
  <c r="V106" i="2"/>
  <c r="R106" i="2" s="1"/>
  <c r="B106" i="2"/>
  <c r="V154" i="2"/>
  <c r="R154" i="2" s="1"/>
  <c r="B154" i="2"/>
  <c r="V18" i="2"/>
  <c r="R18" i="2" s="1"/>
  <c r="B18" i="2"/>
  <c r="V116" i="2"/>
  <c r="R116" i="2" s="1"/>
  <c r="B116" i="2"/>
  <c r="V234" i="2"/>
  <c r="R234" i="2" s="1"/>
  <c r="B234" i="2"/>
  <c r="V59" i="2"/>
  <c r="R59" i="2" s="1"/>
  <c r="B59" i="2"/>
  <c r="V187" i="2"/>
  <c r="R187" i="2" s="1"/>
  <c r="B187" i="2"/>
  <c r="V233" i="2"/>
  <c r="R233" i="2" s="1"/>
  <c r="B233" i="2"/>
  <c r="V36" i="2"/>
  <c r="R36" i="2" s="1"/>
  <c r="B36" i="2"/>
  <c r="V227" i="2"/>
  <c r="R227" i="2" s="1"/>
  <c r="B227" i="2"/>
  <c r="V188" i="2"/>
  <c r="R188" i="2" s="1"/>
  <c r="B188" i="2"/>
  <c r="V252" i="2"/>
  <c r="R252" i="2" s="1"/>
  <c r="B252" i="2"/>
  <c r="V12" i="2"/>
  <c r="R12" i="2" s="1"/>
  <c r="B12" i="2"/>
  <c r="V92" i="2"/>
  <c r="R92" i="2" s="1"/>
  <c r="B92" i="2"/>
  <c r="V130" i="2"/>
  <c r="R130" i="2" s="1"/>
  <c r="B130" i="2"/>
  <c r="V189" i="2"/>
  <c r="R189" i="2" s="1"/>
  <c r="B189" i="2"/>
  <c r="V211" i="2"/>
  <c r="R211" i="2" s="1"/>
  <c r="B211" i="2"/>
  <c r="V115" i="2"/>
  <c r="R115" i="2" s="1"/>
  <c r="B115" i="2"/>
  <c r="V179" i="2"/>
  <c r="R179" i="2" s="1"/>
  <c r="B179" i="2"/>
  <c r="V140" i="2"/>
  <c r="R140" i="2" s="1"/>
  <c r="B140" i="2"/>
  <c r="V178" i="2"/>
  <c r="R178" i="2" s="1"/>
  <c r="B178" i="2"/>
  <c r="T12" i="6" l="1"/>
  <c r="U12" i="6" s="1"/>
  <c r="B12" i="6" s="1"/>
  <c r="AD291" i="6"/>
  <c r="Y297" i="6" s="1"/>
  <c r="Z297" i="6" s="1"/>
  <c r="T16" i="6"/>
  <c r="U16" i="6" s="1"/>
  <c r="Y290" i="6"/>
  <c r="Y291" i="6" s="1"/>
  <c r="W293" i="6" s="1"/>
  <c r="X5" i="6"/>
  <c r="N5" i="6"/>
  <c r="B16" i="6"/>
  <c r="AA4" i="6"/>
  <c r="AA5" i="6" s="1"/>
  <c r="AA6" i="6" s="1"/>
  <c r="AA7" i="6" s="1"/>
  <c r="AA8" i="6" s="1"/>
  <c r="AA9" i="6" s="1"/>
  <c r="AA10" i="6" s="1"/>
  <c r="AA11" i="6" s="1"/>
  <c r="AA12" i="6" s="1"/>
  <c r="AA13" i="6" s="1"/>
  <c r="AA14" i="6" s="1"/>
  <c r="AA15" i="6" s="1"/>
  <c r="AA16" i="6" s="1"/>
  <c r="AA17" i="6" s="1"/>
  <c r="AA18" i="6" s="1"/>
  <c r="AA19" i="6" s="1"/>
  <c r="AA20" i="6" s="1"/>
  <c r="AA21" i="6" s="1"/>
  <c r="AA22" i="6" s="1"/>
  <c r="AA23" i="6" s="1"/>
  <c r="AA24" i="6" s="1"/>
  <c r="AA25" i="6" s="1"/>
  <c r="AA26" i="6" s="1"/>
  <c r="AA27" i="6" s="1"/>
  <c r="AA28" i="6" s="1"/>
  <c r="AA29" i="6" s="1"/>
  <c r="AA30" i="6" s="1"/>
  <c r="AA31" i="6" s="1"/>
  <c r="AA32" i="6" s="1"/>
  <c r="AA33" i="6" s="1"/>
  <c r="AA34" i="6" s="1"/>
  <c r="AA35" i="6" s="1"/>
  <c r="AA36" i="6" s="1"/>
  <c r="AA37" i="6" s="1"/>
  <c r="AA38" i="6" s="1"/>
  <c r="AA39" i="6" s="1"/>
  <c r="AA40" i="6" s="1"/>
  <c r="AA41" i="6" s="1"/>
  <c r="AA42" i="6" s="1"/>
  <c r="AA43" i="6" s="1"/>
  <c r="AA44" i="6" s="1"/>
  <c r="AA45" i="6" s="1"/>
  <c r="AA46" i="6" s="1"/>
  <c r="AA47" i="6" s="1"/>
  <c r="AA48" i="6" s="1"/>
  <c r="AA49" i="6" s="1"/>
  <c r="AA50" i="6" s="1"/>
  <c r="AA51" i="6" s="1"/>
  <c r="AA52" i="6" s="1"/>
  <c r="AA53" i="6" s="1"/>
  <c r="AA54" i="6" s="1"/>
  <c r="AA55" i="6" s="1"/>
  <c r="AA56" i="6" s="1"/>
  <c r="AA57" i="6" s="1"/>
  <c r="AA58" i="6" s="1"/>
  <c r="AA59" i="6" s="1"/>
  <c r="AA60" i="6" s="1"/>
  <c r="AA61" i="6" s="1"/>
  <c r="AA62" i="6" s="1"/>
  <c r="AA63" i="6" s="1"/>
  <c r="AA64" i="6" s="1"/>
  <c r="AA65" i="6" s="1"/>
  <c r="AA66" i="6" s="1"/>
  <c r="AA67" i="6" s="1"/>
  <c r="AA68" i="6" s="1"/>
  <c r="AA69" i="6" s="1"/>
  <c r="AA70" i="6" s="1"/>
  <c r="AA71" i="6" s="1"/>
  <c r="AA72" i="6" s="1"/>
  <c r="AA73" i="6" s="1"/>
  <c r="AA74" i="6" s="1"/>
  <c r="AA75" i="6" s="1"/>
  <c r="AA76" i="6" s="1"/>
  <c r="AA77" i="6" s="1"/>
  <c r="AA78" i="6" s="1"/>
  <c r="AA79" i="6" s="1"/>
  <c r="AA80" i="6" s="1"/>
  <c r="AA81" i="6" s="1"/>
  <c r="AA82" i="6" s="1"/>
  <c r="AA83" i="6" s="1"/>
  <c r="AA84" i="6" s="1"/>
  <c r="AA85" i="6" s="1"/>
  <c r="AA86" i="6" s="1"/>
  <c r="AA87" i="6" s="1"/>
  <c r="AA88" i="6" s="1"/>
  <c r="AA89" i="6" s="1"/>
  <c r="AA90" i="6" s="1"/>
  <c r="AA91" i="6" s="1"/>
  <c r="AA92" i="6" s="1"/>
  <c r="AA93" i="6" s="1"/>
  <c r="AA94" i="6" s="1"/>
  <c r="AA95" i="6" s="1"/>
  <c r="AA96" i="6" s="1"/>
  <c r="AA97" i="6" s="1"/>
  <c r="AA98" i="6" s="1"/>
  <c r="AA99" i="6" s="1"/>
  <c r="AA100" i="6" s="1"/>
  <c r="AA101" i="6" s="1"/>
  <c r="AA102" i="6" s="1"/>
  <c r="AA103" i="6" s="1"/>
  <c r="AA104" i="6" s="1"/>
  <c r="AA105" i="6" s="1"/>
  <c r="AA106" i="6" s="1"/>
  <c r="AA107" i="6" s="1"/>
  <c r="AA108" i="6" s="1"/>
  <c r="AA109" i="6" s="1"/>
  <c r="AA110" i="6" s="1"/>
  <c r="AA111" i="6" s="1"/>
  <c r="AA112" i="6" s="1"/>
  <c r="AA113" i="6" s="1"/>
  <c r="AA114" i="6" s="1"/>
  <c r="AA115" i="6" s="1"/>
  <c r="AA116" i="6" s="1"/>
  <c r="AA117" i="6" s="1"/>
  <c r="AA118" i="6" s="1"/>
  <c r="AA119" i="6" s="1"/>
  <c r="AA120" i="6" s="1"/>
  <c r="AA121" i="6" s="1"/>
  <c r="AA122" i="6" s="1"/>
  <c r="AA123" i="6" s="1"/>
  <c r="AA124" i="6" s="1"/>
  <c r="AA125" i="6" s="1"/>
  <c r="AA126" i="6" s="1"/>
  <c r="AA127" i="6" s="1"/>
  <c r="AA128" i="6" s="1"/>
  <c r="AA129" i="6" s="1"/>
  <c r="AA130" i="6" s="1"/>
  <c r="AA131" i="6" s="1"/>
  <c r="AA132" i="6" s="1"/>
  <c r="AA133" i="6" s="1"/>
  <c r="AA134" i="6" s="1"/>
  <c r="AA135" i="6" s="1"/>
  <c r="AA136" i="6" s="1"/>
  <c r="AA137" i="6" s="1"/>
  <c r="AA138" i="6" s="1"/>
  <c r="AA139" i="6" s="1"/>
  <c r="AA140" i="6" s="1"/>
  <c r="AA141" i="6" s="1"/>
  <c r="AA142" i="6" s="1"/>
  <c r="AA143" i="6" s="1"/>
  <c r="AA144" i="6" s="1"/>
  <c r="AA145" i="6" s="1"/>
  <c r="AA146" i="6" s="1"/>
  <c r="AA147" i="6" s="1"/>
  <c r="AA148" i="6" s="1"/>
  <c r="AA149" i="6" s="1"/>
  <c r="AA150" i="6" s="1"/>
  <c r="AA151" i="6" s="1"/>
  <c r="AA152" i="6" s="1"/>
  <c r="AA153" i="6" s="1"/>
  <c r="AA154" i="6" s="1"/>
  <c r="AA155" i="6" s="1"/>
  <c r="AA156" i="6" s="1"/>
  <c r="AA157" i="6" s="1"/>
  <c r="AA158" i="6" s="1"/>
  <c r="AA159" i="6" s="1"/>
  <c r="AA160" i="6" s="1"/>
  <c r="AA161" i="6" s="1"/>
  <c r="AA162" i="6" s="1"/>
  <c r="AA163" i="6" s="1"/>
  <c r="AA164" i="6" s="1"/>
  <c r="AA165" i="6" s="1"/>
  <c r="AA166" i="6" s="1"/>
  <c r="AA167" i="6" s="1"/>
  <c r="AA168" i="6" s="1"/>
  <c r="AA169" i="6" s="1"/>
  <c r="AA170" i="6" s="1"/>
  <c r="AA171" i="6" s="1"/>
  <c r="AA172" i="6" s="1"/>
  <c r="AA173" i="6" s="1"/>
  <c r="AA174" i="6" s="1"/>
  <c r="AA175" i="6" s="1"/>
  <c r="AA176" i="6" s="1"/>
  <c r="AA177" i="6" s="1"/>
  <c r="AA178" i="6" s="1"/>
  <c r="AA179" i="6" s="1"/>
  <c r="AA180" i="6" s="1"/>
  <c r="AA181" i="6" s="1"/>
  <c r="AA182" i="6" s="1"/>
  <c r="AA183" i="6" s="1"/>
  <c r="AA184" i="6" s="1"/>
  <c r="AA185" i="6" s="1"/>
  <c r="AA186" i="6" s="1"/>
  <c r="AA187" i="6" s="1"/>
  <c r="AA188" i="6" s="1"/>
  <c r="AA189" i="6" s="1"/>
  <c r="AA190" i="6" s="1"/>
  <c r="AA191" i="6" s="1"/>
  <c r="AA192" i="6" s="1"/>
  <c r="AA193" i="6" s="1"/>
  <c r="AA194" i="6" s="1"/>
  <c r="AA195" i="6" s="1"/>
  <c r="AA196" i="6" s="1"/>
  <c r="AA197" i="6" s="1"/>
  <c r="AA198" i="6" s="1"/>
  <c r="AA199" i="6" s="1"/>
  <c r="AA200" i="6" s="1"/>
  <c r="AA201" i="6" s="1"/>
  <c r="AA202" i="6" s="1"/>
  <c r="AA203" i="6" s="1"/>
  <c r="AA204" i="6" s="1"/>
  <c r="AA205" i="6" s="1"/>
  <c r="AA206" i="6" s="1"/>
  <c r="AA207" i="6" s="1"/>
  <c r="AA208" i="6" s="1"/>
  <c r="AA209" i="6" s="1"/>
  <c r="AA210" i="6" s="1"/>
  <c r="AA211" i="6" s="1"/>
  <c r="AA212" i="6" s="1"/>
  <c r="AA213" i="6" s="1"/>
  <c r="AA214" i="6" s="1"/>
  <c r="AA215" i="6" s="1"/>
  <c r="AA216" i="6" s="1"/>
  <c r="AA217" i="6" s="1"/>
  <c r="AA218" i="6" s="1"/>
  <c r="AA219" i="6" s="1"/>
  <c r="AA220" i="6" s="1"/>
  <c r="AA221" i="6" s="1"/>
  <c r="AA222" i="6" s="1"/>
  <c r="AA223" i="6" s="1"/>
  <c r="AA224" i="6" s="1"/>
  <c r="AA225" i="6" s="1"/>
  <c r="AA226" i="6" s="1"/>
  <c r="AA227" i="6" s="1"/>
  <c r="AA228" i="6" s="1"/>
  <c r="AA229" i="6" s="1"/>
  <c r="AA230" i="6" s="1"/>
  <c r="AA231" i="6" s="1"/>
  <c r="AA232" i="6" s="1"/>
  <c r="AA233" i="6" s="1"/>
  <c r="AA234" i="6" s="1"/>
  <c r="AA235" i="6" s="1"/>
  <c r="AA236" i="6" s="1"/>
  <c r="AA237" i="6" s="1"/>
  <c r="AA238" i="6" s="1"/>
  <c r="AA239" i="6" s="1"/>
  <c r="AA240" i="6" s="1"/>
  <c r="AA241" i="6" s="1"/>
  <c r="AA242" i="6" s="1"/>
  <c r="AA243" i="6" s="1"/>
  <c r="AA244" i="6" s="1"/>
  <c r="AA245" i="6" s="1"/>
  <c r="AA246" i="6" s="1"/>
  <c r="AA247" i="6" s="1"/>
  <c r="AA248" i="6" s="1"/>
  <c r="AA249" i="6" s="1"/>
  <c r="AA250" i="6" s="1"/>
  <c r="AA251" i="6" s="1"/>
  <c r="AA252" i="6" s="1"/>
  <c r="AA253" i="6" s="1"/>
  <c r="AA254" i="6" s="1"/>
  <c r="AA255" i="6" s="1"/>
  <c r="AA256" i="6" s="1"/>
  <c r="AA257" i="6" s="1"/>
  <c r="AA258" i="6" s="1"/>
  <c r="AA259" i="6" s="1"/>
  <c r="AA260" i="6" s="1"/>
  <c r="AA261" i="6" s="1"/>
  <c r="AA262" i="6" s="1"/>
  <c r="AA263" i="6" s="1"/>
  <c r="AA264" i="6" s="1"/>
  <c r="AA265" i="6" s="1"/>
  <c r="AA266" i="6" s="1"/>
  <c r="AA267" i="6" s="1"/>
  <c r="AA268" i="6" s="1"/>
  <c r="AA269" i="6" s="1"/>
  <c r="AA270" i="6" s="1"/>
  <c r="AA271" i="6" s="1"/>
  <c r="AA272" i="6" s="1"/>
  <c r="AA273" i="6" s="1"/>
  <c r="AA274" i="6" s="1"/>
  <c r="AA275" i="6" s="1"/>
  <c r="AA276" i="6" s="1"/>
  <c r="AA277" i="6" s="1"/>
  <c r="AA278" i="6" s="1"/>
  <c r="AA279" i="6" s="1"/>
  <c r="AA280" i="6" s="1"/>
  <c r="AA281" i="6" s="1"/>
  <c r="AA282" i="6" s="1"/>
  <c r="AA283" i="6" s="1"/>
  <c r="AA284" i="6" s="1"/>
  <c r="AA285" i="6" s="1"/>
  <c r="AA286" i="6" s="1"/>
  <c r="AA287" i="6" s="1"/>
  <c r="AA288" i="6" s="1"/>
  <c r="AA289" i="6" s="1"/>
  <c r="N4" i="6"/>
  <c r="N8" i="6"/>
  <c r="X8" i="6"/>
  <c r="Y298" i="6"/>
  <c r="Z298" i="6" s="1"/>
  <c r="W12" i="6"/>
  <c r="W290" i="6" s="1"/>
  <c r="Q292" i="6"/>
  <c r="V20" i="14"/>
  <c r="C21" i="14" s="1"/>
  <c r="D21" i="14" s="1"/>
  <c r="V21" i="13"/>
  <c r="C22" i="13" s="1"/>
  <c r="D22" i="13" s="1"/>
  <c r="V11" i="12"/>
  <c r="C12" i="12" s="1"/>
  <c r="D12" i="12" s="1"/>
  <c r="D13" i="12" s="1"/>
  <c r="D14" i="12" s="1"/>
  <c r="D15" i="12" s="1"/>
  <c r="D16" i="12" s="1"/>
  <c r="D17" i="12" s="1"/>
  <c r="D18" i="12" s="1"/>
  <c r="D19" i="12" s="1"/>
  <c r="V11" i="11"/>
  <c r="C12" i="11" s="1"/>
  <c r="D12" i="11" s="1"/>
  <c r="D13" i="11" s="1"/>
  <c r="D14" i="11" s="1"/>
  <c r="D15" i="11" s="1"/>
  <c r="D16" i="11" s="1"/>
  <c r="D17" i="11" s="1"/>
  <c r="D18" i="11" s="1"/>
  <c r="D19" i="11" s="1"/>
  <c r="V11" i="10"/>
  <c r="C12" i="10" s="1"/>
  <c r="D12" i="10" s="1"/>
  <c r="D13" i="10" s="1"/>
  <c r="D14" i="10" s="1"/>
  <c r="D15" i="10" s="1"/>
  <c r="D16" i="10" s="1"/>
  <c r="D17" i="10" s="1"/>
  <c r="D18" i="10" s="1"/>
  <c r="D19" i="10" s="1"/>
  <c r="C10" i="9"/>
  <c r="D10" i="9" s="1"/>
  <c r="V10" i="9" s="1"/>
  <c r="AA4" i="2"/>
  <c r="X290" i="6" l="1"/>
  <c r="W291" i="6" s="1"/>
  <c r="V21" i="14"/>
  <c r="C22" i="14" s="1"/>
  <c r="D22" i="14" s="1"/>
  <c r="D23" i="13"/>
  <c r="V22" i="13"/>
  <c r="C23" i="13" s="1"/>
  <c r="V19" i="12"/>
  <c r="C20" i="12" s="1"/>
  <c r="D20" i="12" s="1"/>
  <c r="V19" i="11"/>
  <c r="C20" i="11" s="1"/>
  <c r="D20" i="11" s="1"/>
  <c r="V19" i="10"/>
  <c r="C20" i="10" s="1"/>
  <c r="D20" i="10" s="1"/>
  <c r="C11" i="9"/>
  <c r="D11" i="9" s="1"/>
  <c r="V11" i="9" s="1"/>
  <c r="AA5" i="2"/>
  <c r="AA298" i="6" l="1"/>
  <c r="AA297" i="6"/>
  <c r="W295" i="6"/>
  <c r="X298" i="6" s="1"/>
  <c r="V22" i="14"/>
  <c r="C23" i="14" s="1"/>
  <c r="D23" i="14" s="1"/>
  <c r="V23" i="13"/>
  <c r="C24" i="13" s="1"/>
  <c r="D24" i="13"/>
  <c r="V20" i="12"/>
  <c r="C21" i="12" s="1"/>
  <c r="D21" i="12" s="1"/>
  <c r="V20" i="11"/>
  <c r="C21" i="11" s="1"/>
  <c r="D21" i="11" s="1"/>
  <c r="V20" i="10"/>
  <c r="C21" i="10" s="1"/>
  <c r="D21" i="10" s="1"/>
  <c r="C12" i="9"/>
  <c r="D12" i="9" s="1"/>
  <c r="D13" i="9" s="1"/>
  <c r="D14" i="9" s="1"/>
  <c r="D15" i="9" s="1"/>
  <c r="D16" i="9" s="1"/>
  <c r="D17" i="9" s="1"/>
  <c r="D18" i="9" s="1"/>
  <c r="D19" i="9" s="1"/>
  <c r="V19" i="9" s="1"/>
  <c r="AA6" i="2"/>
  <c r="X297" i="6" l="1"/>
  <c r="V23" i="14"/>
  <c r="C24" i="14" s="1"/>
  <c r="D24" i="14" s="1"/>
  <c r="V24" i="13"/>
  <c r="C25" i="13" s="1"/>
  <c r="D25" i="13"/>
  <c r="V21" i="12"/>
  <c r="C22" i="12" s="1"/>
  <c r="D22" i="12" s="1"/>
  <c r="V21" i="11"/>
  <c r="C22" i="11" s="1"/>
  <c r="D22" i="11" s="1"/>
  <c r="V21" i="10"/>
  <c r="C22" i="10" s="1"/>
  <c r="D22" i="10" s="1"/>
  <c r="C20" i="9"/>
  <c r="D20" i="9" s="1"/>
  <c r="V20" i="9" s="1"/>
  <c r="AA7" i="2"/>
  <c r="V24" i="14" l="1"/>
  <c r="C25" i="14" s="1"/>
  <c r="D25" i="14" s="1"/>
  <c r="V25" i="13"/>
  <c r="C26" i="13" s="1"/>
  <c r="D26" i="13" s="1"/>
  <c r="V22" i="12"/>
  <c r="C23" i="12" s="1"/>
  <c r="D23" i="12" s="1"/>
  <c r="V22" i="11"/>
  <c r="C23" i="11" s="1"/>
  <c r="D23" i="11" s="1"/>
  <c r="V22" i="10"/>
  <c r="C23" i="10" s="1"/>
  <c r="D23" i="10" s="1"/>
  <c r="C21" i="9"/>
  <c r="D21" i="9" s="1"/>
  <c r="V21" i="9" s="1"/>
  <c r="AA8" i="2"/>
  <c r="V25" i="14" l="1"/>
  <c r="C26" i="14" s="1"/>
  <c r="D26" i="14" s="1"/>
  <c r="V26" i="13"/>
  <c r="C27" i="13" s="1"/>
  <c r="D27" i="13" s="1"/>
  <c r="V23" i="12"/>
  <c r="C24" i="12" s="1"/>
  <c r="D24" i="12" s="1"/>
  <c r="V23" i="11"/>
  <c r="C24" i="11" s="1"/>
  <c r="D24" i="11" s="1"/>
  <c r="V23" i="10"/>
  <c r="C24" i="10" s="1"/>
  <c r="D24" i="10" s="1"/>
  <c r="C22" i="9"/>
  <c r="D22" i="9" s="1"/>
  <c r="V22" i="9" s="1"/>
  <c r="AA9" i="2"/>
  <c r="V26" i="14" l="1"/>
  <c r="C27" i="14" s="1"/>
  <c r="D27" i="14" s="1"/>
  <c r="V27" i="13"/>
  <c r="C28" i="13" s="1"/>
  <c r="D28" i="13" s="1"/>
  <c r="V24" i="12"/>
  <c r="C25" i="12" s="1"/>
  <c r="D25" i="12" s="1"/>
  <c r="V24" i="11"/>
  <c r="C25" i="11" s="1"/>
  <c r="D25" i="11" s="1"/>
  <c r="V24" i="10"/>
  <c r="C25" i="10" s="1"/>
  <c r="D25" i="10" s="1"/>
  <c r="C23" i="9"/>
  <c r="D23" i="9" s="1"/>
  <c r="V23" i="9" s="1"/>
  <c r="AA10" i="2"/>
  <c r="V27" i="14" l="1"/>
  <c r="C28" i="14" s="1"/>
  <c r="D28" i="14" s="1"/>
  <c r="V28" i="13"/>
  <c r="C29" i="13" s="1"/>
  <c r="D29" i="13" s="1"/>
  <c r="V25" i="12"/>
  <c r="C26" i="12" s="1"/>
  <c r="D26" i="12" s="1"/>
  <c r="V25" i="11"/>
  <c r="C26" i="11" s="1"/>
  <c r="D26" i="11" s="1"/>
  <c r="V25" i="10"/>
  <c r="C26" i="10" s="1"/>
  <c r="D26" i="10" s="1"/>
  <c r="C24" i="9"/>
  <c r="D24" i="9" s="1"/>
  <c r="V24" i="9" s="1"/>
  <c r="AA11" i="2"/>
  <c r="V28" i="14" l="1"/>
  <c r="C29" i="14" s="1"/>
  <c r="D29" i="14" s="1"/>
  <c r="V29" i="13"/>
  <c r="C30" i="13" s="1"/>
  <c r="D30" i="13" s="1"/>
  <c r="V26" i="12"/>
  <c r="C27" i="12" s="1"/>
  <c r="D27" i="12" s="1"/>
  <c r="V26" i="11"/>
  <c r="C27" i="11" s="1"/>
  <c r="D27" i="11" s="1"/>
  <c r="V26" i="10"/>
  <c r="C27" i="10" s="1"/>
  <c r="D27" i="10" s="1"/>
  <c r="C25" i="9"/>
  <c r="D25" i="9" s="1"/>
  <c r="V25" i="9" s="1"/>
  <c r="AA19" i="2"/>
  <c r="V29" i="14" l="1"/>
  <c r="C30" i="14" s="1"/>
  <c r="D30" i="14" s="1"/>
  <c r="V30" i="13"/>
  <c r="C31" i="13" s="1"/>
  <c r="D31" i="13" s="1"/>
  <c r="V27" i="12"/>
  <c r="C28" i="12" s="1"/>
  <c r="D28" i="12" s="1"/>
  <c r="V27" i="11"/>
  <c r="C28" i="11" s="1"/>
  <c r="D28" i="11" s="1"/>
  <c r="V27" i="10"/>
  <c r="C28" i="10" s="1"/>
  <c r="D28" i="10" s="1"/>
  <c r="C26" i="9"/>
  <c r="D26" i="9" s="1"/>
  <c r="V26" i="9" s="1"/>
  <c r="AA20" i="2"/>
  <c r="V30" i="14" l="1"/>
  <c r="C31" i="14" s="1"/>
  <c r="D31" i="14" s="1"/>
  <c r="V31" i="13"/>
  <c r="C32" i="13" s="1"/>
  <c r="D32" i="13" s="1"/>
  <c r="V28" i="12"/>
  <c r="C29" i="12" s="1"/>
  <c r="D29" i="12" s="1"/>
  <c r="V28" i="11"/>
  <c r="C29" i="11" s="1"/>
  <c r="D29" i="11" s="1"/>
  <c r="V28" i="10"/>
  <c r="C29" i="10" s="1"/>
  <c r="D29" i="10" s="1"/>
  <c r="C27" i="9"/>
  <c r="D27" i="9" s="1"/>
  <c r="V27" i="9" s="1"/>
  <c r="AA21" i="2"/>
  <c r="V31" i="14" l="1"/>
  <c r="C32" i="14" s="1"/>
  <c r="D32" i="14" s="1"/>
  <c r="V32" i="13"/>
  <c r="C33" i="13" s="1"/>
  <c r="D33" i="13" s="1"/>
  <c r="V29" i="12"/>
  <c r="C30" i="12" s="1"/>
  <c r="D30" i="12" s="1"/>
  <c r="V29" i="11"/>
  <c r="C30" i="11" s="1"/>
  <c r="D30" i="11" s="1"/>
  <c r="V29" i="10"/>
  <c r="C30" i="10" s="1"/>
  <c r="D30" i="10" s="1"/>
  <c r="C28" i="9"/>
  <c r="D28" i="9" s="1"/>
  <c r="V28" i="9" s="1"/>
  <c r="AA22" i="2"/>
  <c r="V32" i="14" l="1"/>
  <c r="C33" i="14" s="1"/>
  <c r="D33" i="14" s="1"/>
  <c r="V33" i="13"/>
  <c r="C34" i="13" s="1"/>
  <c r="D34" i="13" s="1"/>
  <c r="V30" i="12"/>
  <c r="C31" i="12" s="1"/>
  <c r="D31" i="12" s="1"/>
  <c r="V30" i="11"/>
  <c r="C31" i="11" s="1"/>
  <c r="D31" i="11" s="1"/>
  <c r="V30" i="10"/>
  <c r="C31" i="10" s="1"/>
  <c r="D31" i="10" s="1"/>
  <c r="C29" i="9"/>
  <c r="D29" i="9" s="1"/>
  <c r="V29" i="9" s="1"/>
  <c r="AA23" i="2"/>
  <c r="V33" i="14" l="1"/>
  <c r="C34" i="14" s="1"/>
  <c r="D34" i="14" s="1"/>
  <c r="V34" i="13"/>
  <c r="C35" i="13" s="1"/>
  <c r="D35" i="13" s="1"/>
  <c r="V31" i="12"/>
  <c r="C32" i="12" s="1"/>
  <c r="D32" i="12" s="1"/>
  <c r="V31" i="11"/>
  <c r="C32" i="11" s="1"/>
  <c r="D32" i="11" s="1"/>
  <c r="V31" i="10"/>
  <c r="C32" i="10" s="1"/>
  <c r="D32" i="10" s="1"/>
  <c r="C30" i="9"/>
  <c r="D30" i="9" s="1"/>
  <c r="V30" i="9" s="1"/>
  <c r="AA24" i="2"/>
  <c r="V34" i="14" l="1"/>
  <c r="C35" i="14" s="1"/>
  <c r="D35" i="14" s="1"/>
  <c r="V35" i="13"/>
  <c r="C36" i="13" s="1"/>
  <c r="D36" i="13" s="1"/>
  <c r="D37" i="13" s="1"/>
  <c r="D38" i="13" s="1"/>
  <c r="D39" i="13" s="1"/>
  <c r="D40" i="13" s="1"/>
  <c r="D41" i="13" s="1"/>
  <c r="D42" i="13" s="1"/>
  <c r="D43" i="13" s="1"/>
  <c r="V32" i="12"/>
  <c r="C33" i="12" s="1"/>
  <c r="D33" i="12" s="1"/>
  <c r="V32" i="11"/>
  <c r="C33" i="11" s="1"/>
  <c r="D33" i="11" s="1"/>
  <c r="V32" i="10"/>
  <c r="C33" i="10" s="1"/>
  <c r="D33" i="10" s="1"/>
  <c r="C31" i="9"/>
  <c r="D31" i="9" s="1"/>
  <c r="V31" i="9" s="1"/>
  <c r="AA25" i="2"/>
  <c r="V35" i="14" l="1"/>
  <c r="C36" i="14" s="1"/>
  <c r="D36" i="14" s="1"/>
  <c r="D37" i="14" s="1"/>
  <c r="D38" i="14" s="1"/>
  <c r="D39" i="14" s="1"/>
  <c r="D40" i="14" s="1"/>
  <c r="D41" i="14" s="1"/>
  <c r="D42" i="14" s="1"/>
  <c r="D43" i="14" s="1"/>
  <c r="V43" i="13"/>
  <c r="C44" i="13" s="1"/>
  <c r="D44" i="13" s="1"/>
  <c r="V33" i="12"/>
  <c r="C34" i="12" s="1"/>
  <c r="D34" i="12" s="1"/>
  <c r="V33" i="11"/>
  <c r="C34" i="11" s="1"/>
  <c r="D34" i="11" s="1"/>
  <c r="V33" i="10"/>
  <c r="C34" i="10" s="1"/>
  <c r="D34" i="10" s="1"/>
  <c r="C32" i="9"/>
  <c r="D32" i="9" s="1"/>
  <c r="V32" i="9" s="1"/>
  <c r="AA26" i="2"/>
  <c r="V43" i="14" l="1"/>
  <c r="C44" i="14" s="1"/>
  <c r="D44" i="14" s="1"/>
  <c r="V44" i="13"/>
  <c r="C45" i="13" s="1"/>
  <c r="D45" i="13" s="1"/>
  <c r="V34" i="12"/>
  <c r="C35" i="12" s="1"/>
  <c r="D35" i="12" s="1"/>
  <c r="V34" i="11"/>
  <c r="C35" i="11" s="1"/>
  <c r="D35" i="11" s="1"/>
  <c r="V34" i="10"/>
  <c r="C35" i="10" s="1"/>
  <c r="D35" i="10" s="1"/>
  <c r="C33" i="9"/>
  <c r="D33" i="9" s="1"/>
  <c r="V33" i="9" s="1"/>
  <c r="AA27" i="2"/>
  <c r="V44" i="14" l="1"/>
  <c r="C45" i="14" s="1"/>
  <c r="D45" i="14" s="1"/>
  <c r="V45" i="13"/>
  <c r="C46" i="13" s="1"/>
  <c r="D46" i="13" s="1"/>
  <c r="V35" i="12"/>
  <c r="C36" i="12" s="1"/>
  <c r="D36" i="12" s="1"/>
  <c r="D37" i="12" s="1"/>
  <c r="D38" i="12" s="1"/>
  <c r="D39" i="12" s="1"/>
  <c r="D40" i="12" s="1"/>
  <c r="D41" i="12" s="1"/>
  <c r="D42" i="12" s="1"/>
  <c r="D43" i="12" s="1"/>
  <c r="V35" i="11"/>
  <c r="C36" i="11" s="1"/>
  <c r="D36" i="11" s="1"/>
  <c r="D37" i="11" s="1"/>
  <c r="D38" i="11" s="1"/>
  <c r="D39" i="11" s="1"/>
  <c r="D40" i="11" s="1"/>
  <c r="D41" i="11" s="1"/>
  <c r="D42" i="11" s="1"/>
  <c r="D43" i="11" s="1"/>
  <c r="V35" i="10"/>
  <c r="C36" i="10" s="1"/>
  <c r="D36" i="10" s="1"/>
  <c r="D37" i="10" s="1"/>
  <c r="D38" i="10" s="1"/>
  <c r="D39" i="10" s="1"/>
  <c r="D40" i="10" s="1"/>
  <c r="D41" i="10" s="1"/>
  <c r="D42" i="10" s="1"/>
  <c r="D43" i="10" s="1"/>
  <c r="C34" i="9"/>
  <c r="D34" i="9" s="1"/>
  <c r="V34" i="9" s="1"/>
  <c r="AA28" i="2"/>
  <c r="V45" i="14" l="1"/>
  <c r="C46" i="14" s="1"/>
  <c r="D46" i="14" s="1"/>
  <c r="V46" i="13"/>
  <c r="C47" i="13" s="1"/>
  <c r="D47" i="13" s="1"/>
  <c r="V43" i="12"/>
  <c r="C44" i="12" s="1"/>
  <c r="D44" i="12" s="1"/>
  <c r="V43" i="11"/>
  <c r="C44" i="11" s="1"/>
  <c r="D44" i="11" s="1"/>
  <c r="V43" i="10"/>
  <c r="C44" i="10" s="1"/>
  <c r="D44" i="10" s="1"/>
  <c r="C35" i="9"/>
  <c r="D35" i="9" s="1"/>
  <c r="V35" i="9" s="1"/>
  <c r="AA29" i="2"/>
  <c r="V46" i="14" l="1"/>
  <c r="C47" i="14" s="1"/>
  <c r="D47" i="14" s="1"/>
  <c r="V47" i="13"/>
  <c r="C48" i="13" s="1"/>
  <c r="D48" i="13" s="1"/>
  <c r="V44" i="12"/>
  <c r="C45" i="12" s="1"/>
  <c r="D45" i="12" s="1"/>
  <c r="V44" i="11"/>
  <c r="C45" i="11" s="1"/>
  <c r="D45" i="11" s="1"/>
  <c r="V44" i="10"/>
  <c r="C45" i="10" s="1"/>
  <c r="D45" i="10" s="1"/>
  <c r="C36" i="9"/>
  <c r="D36" i="9" s="1"/>
  <c r="D37" i="9" s="1"/>
  <c r="D38" i="9" s="1"/>
  <c r="D39" i="9" s="1"/>
  <c r="D40" i="9" s="1"/>
  <c r="D41" i="9" s="1"/>
  <c r="D42" i="9" s="1"/>
  <c r="D43" i="9" s="1"/>
  <c r="V43" i="9" s="1"/>
  <c r="AA30" i="2"/>
  <c r="V47" i="14" l="1"/>
  <c r="C48" i="14" s="1"/>
  <c r="D48" i="14" s="1"/>
  <c r="V48" i="13"/>
  <c r="C49" i="13" s="1"/>
  <c r="D49" i="13" s="1"/>
  <c r="V45" i="12"/>
  <c r="C46" i="12" s="1"/>
  <c r="D46" i="12" s="1"/>
  <c r="V45" i="11"/>
  <c r="C46" i="11" s="1"/>
  <c r="D46" i="11" s="1"/>
  <c r="V45" i="10"/>
  <c r="C46" i="10" s="1"/>
  <c r="D46" i="10" s="1"/>
  <c r="C44" i="9"/>
  <c r="D44" i="9" s="1"/>
  <c r="V44" i="9" s="1"/>
  <c r="AA31" i="2"/>
  <c r="V48" i="14" l="1"/>
  <c r="C49" i="14" s="1"/>
  <c r="D49" i="14" s="1"/>
  <c r="V49" i="13"/>
  <c r="C50" i="13" s="1"/>
  <c r="D50" i="13" s="1"/>
  <c r="V46" i="12"/>
  <c r="C47" i="12" s="1"/>
  <c r="D47" i="12" s="1"/>
  <c r="V46" i="11"/>
  <c r="C47" i="11" s="1"/>
  <c r="D47" i="11" s="1"/>
  <c r="V46" i="10"/>
  <c r="C47" i="10" s="1"/>
  <c r="D47" i="10" s="1"/>
  <c r="C45" i="9"/>
  <c r="D45" i="9" s="1"/>
  <c r="V45" i="9" s="1"/>
  <c r="AA32" i="2"/>
  <c r="V49" i="14" l="1"/>
  <c r="C50" i="14" s="1"/>
  <c r="D50" i="14" s="1"/>
  <c r="V50" i="13"/>
  <c r="C51" i="13" s="1"/>
  <c r="D51" i="13" s="1"/>
  <c r="V47" i="12"/>
  <c r="C48" i="12" s="1"/>
  <c r="D48" i="12" s="1"/>
  <c r="V47" i="11"/>
  <c r="C48" i="11" s="1"/>
  <c r="D48" i="11" s="1"/>
  <c r="V47" i="10"/>
  <c r="C48" i="10" s="1"/>
  <c r="D48" i="10" s="1"/>
  <c r="C46" i="9"/>
  <c r="D46" i="9" s="1"/>
  <c r="V46" i="9" s="1"/>
  <c r="AA33" i="2"/>
  <c r="V50" i="14" l="1"/>
  <c r="C51" i="14" s="1"/>
  <c r="D51" i="14" s="1"/>
  <c r="V51" i="13"/>
  <c r="C52" i="13" s="1"/>
  <c r="D52" i="13" s="1"/>
  <c r="V48" i="12"/>
  <c r="C49" i="12" s="1"/>
  <c r="D49" i="12" s="1"/>
  <c r="V48" i="11"/>
  <c r="C49" i="11" s="1"/>
  <c r="D49" i="11" s="1"/>
  <c r="V48" i="10"/>
  <c r="C49" i="10" s="1"/>
  <c r="D49" i="10" s="1"/>
  <c r="C47" i="9"/>
  <c r="D47" i="9" s="1"/>
  <c r="V47" i="9" s="1"/>
  <c r="AA34" i="2"/>
  <c r="V51" i="14" l="1"/>
  <c r="C52" i="14" s="1"/>
  <c r="D52" i="14" s="1"/>
  <c r="V52" i="13"/>
  <c r="C53" i="13" s="1"/>
  <c r="D53" i="13" s="1"/>
  <c r="V49" i="12"/>
  <c r="C50" i="12" s="1"/>
  <c r="D50" i="12" s="1"/>
  <c r="V49" i="11"/>
  <c r="C50" i="11" s="1"/>
  <c r="D50" i="11" s="1"/>
  <c r="V49" i="10"/>
  <c r="C50" i="10" s="1"/>
  <c r="D50" i="10" s="1"/>
  <c r="C48" i="9"/>
  <c r="D48" i="9" s="1"/>
  <c r="V48" i="9" s="1"/>
  <c r="AA35" i="2"/>
  <c r="V52" i="14" l="1"/>
  <c r="C53" i="14" s="1"/>
  <c r="D53" i="14" s="1"/>
  <c r="V53" i="13"/>
  <c r="C54" i="13" s="1"/>
  <c r="D54" i="13" s="1"/>
  <c r="V50" i="12"/>
  <c r="C51" i="12" s="1"/>
  <c r="D51" i="12" s="1"/>
  <c r="V50" i="11"/>
  <c r="C51" i="11" s="1"/>
  <c r="D51" i="11" s="1"/>
  <c r="V50" i="10"/>
  <c r="C51" i="10" s="1"/>
  <c r="D51" i="10" s="1"/>
  <c r="C49" i="9"/>
  <c r="D49" i="9" s="1"/>
  <c r="V49" i="9" s="1"/>
  <c r="AA43" i="2"/>
  <c r="V53" i="14" l="1"/>
  <c r="C54" i="14" s="1"/>
  <c r="D54" i="14" s="1"/>
  <c r="V54" i="13"/>
  <c r="C55" i="13" s="1"/>
  <c r="D55" i="13" s="1"/>
  <c r="V51" i="12"/>
  <c r="C52" i="12" s="1"/>
  <c r="D52" i="12" s="1"/>
  <c r="V51" i="11"/>
  <c r="C52" i="11" s="1"/>
  <c r="D52" i="11" s="1"/>
  <c r="V51" i="10"/>
  <c r="C52" i="10" s="1"/>
  <c r="D52" i="10" s="1"/>
  <c r="C50" i="9"/>
  <c r="D50" i="9" s="1"/>
  <c r="V50" i="9" s="1"/>
  <c r="AA44" i="2"/>
  <c r="V54" i="14" l="1"/>
  <c r="C55" i="14" s="1"/>
  <c r="D55" i="14" s="1"/>
  <c r="V55" i="13"/>
  <c r="C56" i="13" s="1"/>
  <c r="D56" i="13" s="1"/>
  <c r="V52" i="12"/>
  <c r="C53" i="12" s="1"/>
  <c r="D53" i="12" s="1"/>
  <c r="V52" i="11"/>
  <c r="C53" i="11" s="1"/>
  <c r="D53" i="11" s="1"/>
  <c r="V52" i="10"/>
  <c r="C53" i="10" s="1"/>
  <c r="D53" i="10" s="1"/>
  <c r="C51" i="9"/>
  <c r="D51" i="9" s="1"/>
  <c r="V51" i="9" s="1"/>
  <c r="AA45" i="2"/>
  <c r="V55" i="14" l="1"/>
  <c r="C56" i="14" s="1"/>
  <c r="D56" i="14" s="1"/>
  <c r="V56" i="13"/>
  <c r="C57" i="13" s="1"/>
  <c r="D57" i="13" s="1"/>
  <c r="V53" i="12"/>
  <c r="C54" i="12" s="1"/>
  <c r="D54" i="12" s="1"/>
  <c r="V53" i="11"/>
  <c r="C54" i="11" s="1"/>
  <c r="D54" i="11" s="1"/>
  <c r="V53" i="10"/>
  <c r="C54" i="10" s="1"/>
  <c r="D54" i="10" s="1"/>
  <c r="C52" i="9"/>
  <c r="D52" i="9" s="1"/>
  <c r="V52" i="9" s="1"/>
  <c r="AA46" i="2"/>
  <c r="V56" i="14" l="1"/>
  <c r="C57" i="14" s="1"/>
  <c r="D57" i="14" s="1"/>
  <c r="V57" i="13"/>
  <c r="C58" i="13" s="1"/>
  <c r="D58" i="13" s="1"/>
  <c r="V54" i="12"/>
  <c r="C55" i="12" s="1"/>
  <c r="D55" i="12" s="1"/>
  <c r="V54" i="11"/>
  <c r="C55" i="11" s="1"/>
  <c r="D55" i="11" s="1"/>
  <c r="V54" i="10"/>
  <c r="C55" i="10" s="1"/>
  <c r="D55" i="10" s="1"/>
  <c r="C53" i="9"/>
  <c r="D53" i="9" s="1"/>
  <c r="V53" i="9" s="1"/>
  <c r="AA47" i="2"/>
  <c r="V57" i="14" l="1"/>
  <c r="C58" i="14" s="1"/>
  <c r="D58" i="14" s="1"/>
  <c r="V58" i="13"/>
  <c r="C59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V55" i="12"/>
  <c r="C56" i="12" s="1"/>
  <c r="D56" i="12" s="1"/>
  <c r="V55" i="11"/>
  <c r="C56" i="11" s="1"/>
  <c r="D56" i="11" s="1"/>
  <c r="V55" i="10"/>
  <c r="C56" i="10" s="1"/>
  <c r="D56" i="10" s="1"/>
  <c r="C54" i="9"/>
  <c r="D54" i="9" s="1"/>
  <c r="V54" i="9" s="1"/>
  <c r="AA48" i="2"/>
  <c r="V58" i="14" l="1"/>
  <c r="C59" i="14" s="1"/>
  <c r="D59" i="14" s="1"/>
  <c r="D60" i="14" s="1"/>
  <c r="D61" i="14" s="1"/>
  <c r="D62" i="14" s="1"/>
  <c r="D63" i="14" s="1"/>
  <c r="D64" i="14" s="1"/>
  <c r="D65" i="14" s="1"/>
  <c r="D66" i="14" s="1"/>
  <c r="D67" i="14" s="1"/>
  <c r="D68" i="14" s="1"/>
  <c r="V68" i="13"/>
  <c r="C69" i="13" s="1"/>
  <c r="D69" i="13" s="1"/>
  <c r="V56" i="12"/>
  <c r="C57" i="12" s="1"/>
  <c r="D57" i="12" s="1"/>
  <c r="V56" i="11"/>
  <c r="C57" i="11" s="1"/>
  <c r="D57" i="11" s="1"/>
  <c r="V56" i="10"/>
  <c r="C57" i="10" s="1"/>
  <c r="D57" i="10" s="1"/>
  <c r="C55" i="9"/>
  <c r="D55" i="9" s="1"/>
  <c r="V55" i="9" s="1"/>
  <c r="AA49" i="2"/>
  <c r="V68" i="14" l="1"/>
  <c r="C69" i="14" s="1"/>
  <c r="D69" i="14" s="1"/>
  <c r="V69" i="13"/>
  <c r="C70" i="13" s="1"/>
  <c r="D70" i="13" s="1"/>
  <c r="V57" i="12"/>
  <c r="C58" i="12" s="1"/>
  <c r="D58" i="12" s="1"/>
  <c r="V57" i="11"/>
  <c r="C58" i="11" s="1"/>
  <c r="D58" i="11" s="1"/>
  <c r="V57" i="10"/>
  <c r="C58" i="10" s="1"/>
  <c r="D58" i="10" s="1"/>
  <c r="C56" i="9"/>
  <c r="D56" i="9" s="1"/>
  <c r="V56" i="9" s="1"/>
  <c r="AA50" i="2"/>
  <c r="V69" i="14" l="1"/>
  <c r="C70" i="14" s="1"/>
  <c r="D70" i="14" s="1"/>
  <c r="V70" i="13"/>
  <c r="C71" i="13" s="1"/>
  <c r="D71" i="13" s="1"/>
  <c r="V58" i="12"/>
  <c r="C59" i="12" s="1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V58" i="11"/>
  <c r="C59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V58" i="10"/>
  <c r="C59" i="10" s="1"/>
  <c r="D59" i="10" s="1"/>
  <c r="D60" i="10" s="1"/>
  <c r="D61" i="10" s="1"/>
  <c r="D62" i="10" s="1"/>
  <c r="D63" i="10" s="1"/>
  <c r="D64" i="10" s="1"/>
  <c r="D65" i="10" s="1"/>
  <c r="D66" i="10" s="1"/>
  <c r="D67" i="10" s="1"/>
  <c r="D68" i="10" s="1"/>
  <c r="C57" i="9"/>
  <c r="D57" i="9" s="1"/>
  <c r="V57" i="9" s="1"/>
  <c r="AA51" i="2"/>
  <c r="V70" i="14" l="1"/>
  <c r="C71" i="14" s="1"/>
  <c r="D71" i="14" s="1"/>
  <c r="V71" i="13"/>
  <c r="C72" i="13" s="1"/>
  <c r="D72" i="13" s="1"/>
  <c r="V68" i="12"/>
  <c r="C69" i="12" s="1"/>
  <c r="D69" i="12" s="1"/>
  <c r="V68" i="11"/>
  <c r="C69" i="11" s="1"/>
  <c r="D69" i="11" s="1"/>
  <c r="V68" i="10"/>
  <c r="C69" i="10" s="1"/>
  <c r="D69" i="10" s="1"/>
  <c r="C58" i="9"/>
  <c r="D58" i="9" s="1"/>
  <c r="V58" i="9" s="1"/>
  <c r="AA52" i="2"/>
  <c r="V71" i="14" l="1"/>
  <c r="C72" i="14" s="1"/>
  <c r="D72" i="14" s="1"/>
  <c r="V72" i="13"/>
  <c r="C73" i="13" s="1"/>
  <c r="D73" i="13" s="1"/>
  <c r="V69" i="12"/>
  <c r="C70" i="12" s="1"/>
  <c r="D70" i="12" s="1"/>
  <c r="V69" i="11"/>
  <c r="C70" i="11" s="1"/>
  <c r="D70" i="11" s="1"/>
  <c r="V69" i="10"/>
  <c r="C70" i="10" s="1"/>
  <c r="D70" i="10" s="1"/>
  <c r="C59" i="9"/>
  <c r="D59" i="9" s="1"/>
  <c r="D60" i="9" s="1"/>
  <c r="D61" i="9" s="1"/>
  <c r="D62" i="9" s="1"/>
  <c r="D63" i="9" s="1"/>
  <c r="D64" i="9" s="1"/>
  <c r="D65" i="9" s="1"/>
  <c r="D66" i="9" s="1"/>
  <c r="D67" i="9" s="1"/>
  <c r="D68" i="9" s="1"/>
  <c r="V68" i="9" s="1"/>
  <c r="AA53" i="2"/>
  <c r="V72" i="14" l="1"/>
  <c r="C73" i="14" s="1"/>
  <c r="D73" i="14" s="1"/>
  <c r="V73" i="13"/>
  <c r="C74" i="13" s="1"/>
  <c r="D74" i="13" s="1"/>
  <c r="V70" i="12"/>
  <c r="C71" i="12" s="1"/>
  <c r="D71" i="12" s="1"/>
  <c r="V70" i="11"/>
  <c r="C71" i="11" s="1"/>
  <c r="D71" i="11" s="1"/>
  <c r="V70" i="10"/>
  <c r="C71" i="10" s="1"/>
  <c r="D71" i="10" s="1"/>
  <c r="C69" i="9"/>
  <c r="D69" i="9" s="1"/>
  <c r="V69" i="9" s="1"/>
  <c r="AA54" i="2"/>
  <c r="V73" i="14" l="1"/>
  <c r="C74" i="14" s="1"/>
  <c r="D74" i="14" s="1"/>
  <c r="V74" i="13"/>
  <c r="C75" i="13" s="1"/>
  <c r="D75" i="13" s="1"/>
  <c r="V71" i="12"/>
  <c r="C72" i="12" s="1"/>
  <c r="D72" i="12" s="1"/>
  <c r="V71" i="11"/>
  <c r="C72" i="11" s="1"/>
  <c r="D72" i="11" s="1"/>
  <c r="V71" i="10"/>
  <c r="C72" i="10" s="1"/>
  <c r="D72" i="10" s="1"/>
  <c r="C70" i="9"/>
  <c r="D70" i="9" s="1"/>
  <c r="V70" i="9" s="1"/>
  <c r="AA55" i="2"/>
  <c r="V74" i="14" l="1"/>
  <c r="C75" i="14" s="1"/>
  <c r="D75" i="14" s="1"/>
  <c r="D76" i="13"/>
  <c r="V75" i="13"/>
  <c r="C76" i="13" s="1"/>
  <c r="V72" i="12"/>
  <c r="C73" i="12" s="1"/>
  <c r="D73" i="12" s="1"/>
  <c r="V72" i="11"/>
  <c r="C73" i="11" s="1"/>
  <c r="D73" i="11" s="1"/>
  <c r="V72" i="10"/>
  <c r="C73" i="10" s="1"/>
  <c r="D73" i="10" s="1"/>
  <c r="C71" i="9"/>
  <c r="D71" i="9" s="1"/>
  <c r="V71" i="9" s="1"/>
  <c r="AA56" i="2"/>
  <c r="V75" i="14" l="1"/>
  <c r="C76" i="14" s="1"/>
  <c r="D76" i="14" s="1"/>
  <c r="V76" i="13"/>
  <c r="C77" i="13" s="1"/>
  <c r="D77" i="13"/>
  <c r="V73" i="12"/>
  <c r="C74" i="12" s="1"/>
  <c r="D74" i="12" s="1"/>
  <c r="V73" i="11"/>
  <c r="C74" i="11" s="1"/>
  <c r="D74" i="11" s="1"/>
  <c r="V73" i="10"/>
  <c r="C74" i="10" s="1"/>
  <c r="D74" i="10" s="1"/>
  <c r="C72" i="9"/>
  <c r="D72" i="9" s="1"/>
  <c r="V72" i="9" s="1"/>
  <c r="AA57" i="2"/>
  <c r="V76" i="14" l="1"/>
  <c r="C77" i="14" s="1"/>
  <c r="D77" i="14" s="1"/>
  <c r="V77" i="13"/>
  <c r="C78" i="13" s="1"/>
  <c r="D78" i="13" s="1"/>
  <c r="V74" i="12"/>
  <c r="C75" i="12" s="1"/>
  <c r="D75" i="12" s="1"/>
  <c r="V74" i="11"/>
  <c r="C75" i="11" s="1"/>
  <c r="D75" i="11" s="1"/>
  <c r="V74" i="10"/>
  <c r="C75" i="10" s="1"/>
  <c r="D75" i="10" s="1"/>
  <c r="C73" i="9"/>
  <c r="D73" i="9" s="1"/>
  <c r="V73" i="9" s="1"/>
  <c r="AA58" i="2"/>
  <c r="V77" i="14" l="1"/>
  <c r="C78" i="14" s="1"/>
  <c r="D78" i="14" s="1"/>
  <c r="V78" i="13"/>
  <c r="C79" i="13" s="1"/>
  <c r="D79" i="13"/>
  <c r="V75" i="12"/>
  <c r="C76" i="12" s="1"/>
  <c r="D76" i="12" s="1"/>
  <c r="V75" i="11"/>
  <c r="C76" i="11" s="1"/>
  <c r="D76" i="11" s="1"/>
  <c r="V75" i="10"/>
  <c r="C76" i="10" s="1"/>
  <c r="D76" i="10" s="1"/>
  <c r="C74" i="9"/>
  <c r="D74" i="9" s="1"/>
  <c r="V74" i="9" s="1"/>
  <c r="AA68" i="2"/>
  <c r="V78" i="14" l="1"/>
  <c r="C79" i="14" s="1"/>
  <c r="D79" i="14" s="1"/>
  <c r="V79" i="13"/>
  <c r="C80" i="13" s="1"/>
  <c r="D80" i="13" s="1"/>
  <c r="V76" i="12"/>
  <c r="C77" i="12" s="1"/>
  <c r="D77" i="12" s="1"/>
  <c r="V76" i="11"/>
  <c r="C77" i="11" s="1"/>
  <c r="D77" i="11" s="1"/>
  <c r="V76" i="10"/>
  <c r="C77" i="10" s="1"/>
  <c r="D77" i="10" s="1"/>
  <c r="C75" i="9"/>
  <c r="D75" i="9" s="1"/>
  <c r="V75" i="9" s="1"/>
  <c r="AA69" i="2"/>
  <c r="V79" i="14" l="1"/>
  <c r="C80" i="14" s="1"/>
  <c r="D80" i="14" s="1"/>
  <c r="V80" i="13"/>
  <c r="C81" i="13" s="1"/>
  <c r="D81" i="13" s="1"/>
  <c r="V77" i="12"/>
  <c r="C78" i="12" s="1"/>
  <c r="D78" i="12" s="1"/>
  <c r="V77" i="11"/>
  <c r="C78" i="11" s="1"/>
  <c r="D78" i="11" s="1"/>
  <c r="V77" i="10"/>
  <c r="C78" i="10" s="1"/>
  <c r="D78" i="10"/>
  <c r="C76" i="9"/>
  <c r="D76" i="9" s="1"/>
  <c r="V76" i="9" s="1"/>
  <c r="AA70" i="2"/>
  <c r="V80" i="14" l="1"/>
  <c r="C81" i="14" s="1"/>
  <c r="D81" i="14" s="1"/>
  <c r="V81" i="13"/>
  <c r="C82" i="13" s="1"/>
  <c r="D82" i="13" s="1"/>
  <c r="V78" i="12"/>
  <c r="C79" i="12" s="1"/>
  <c r="D79" i="12" s="1"/>
  <c r="V78" i="11"/>
  <c r="C79" i="11" s="1"/>
  <c r="D79" i="11" s="1"/>
  <c r="V78" i="10"/>
  <c r="C79" i="10" s="1"/>
  <c r="D79" i="10" s="1"/>
  <c r="C77" i="9"/>
  <c r="D77" i="9" s="1"/>
  <c r="V77" i="9" s="1"/>
  <c r="AA71" i="2"/>
  <c r="V81" i="14" l="1"/>
  <c r="C82" i="14" s="1"/>
  <c r="D82" i="14" s="1"/>
  <c r="V82" i="13"/>
  <c r="C83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V79" i="12"/>
  <c r="C80" i="12" s="1"/>
  <c r="D80" i="12" s="1"/>
  <c r="V79" i="11"/>
  <c r="C80" i="11" s="1"/>
  <c r="D80" i="11" s="1"/>
  <c r="V79" i="10"/>
  <c r="C80" i="10" s="1"/>
  <c r="D80" i="10" s="1"/>
  <c r="C78" i="9"/>
  <c r="D78" i="9" s="1"/>
  <c r="V78" i="9" s="1"/>
  <c r="AA72" i="2"/>
  <c r="V82" i="14" l="1"/>
  <c r="C83" i="14" s="1"/>
  <c r="D83" i="14" s="1"/>
  <c r="D84" i="14" s="1"/>
  <c r="D85" i="14" s="1"/>
  <c r="D86" i="14" s="1"/>
  <c r="D87" i="14" s="1"/>
  <c r="D88" i="14" s="1"/>
  <c r="D89" i="14" s="1"/>
  <c r="D90" i="14" s="1"/>
  <c r="D91" i="14" s="1"/>
  <c r="D92" i="14" s="1"/>
  <c r="D93" i="14" s="1"/>
  <c r="V93" i="13"/>
  <c r="C94" i="13" s="1"/>
  <c r="D94" i="13" s="1"/>
  <c r="V80" i="12"/>
  <c r="C81" i="12" s="1"/>
  <c r="D81" i="12" s="1"/>
  <c r="V80" i="11"/>
  <c r="C81" i="11" s="1"/>
  <c r="D81" i="11" s="1"/>
  <c r="V80" i="10"/>
  <c r="C81" i="10" s="1"/>
  <c r="D81" i="10" s="1"/>
  <c r="C79" i="9"/>
  <c r="D79" i="9" s="1"/>
  <c r="V79" i="9" s="1"/>
  <c r="AA73" i="2"/>
  <c r="V93" i="14" l="1"/>
  <c r="C94" i="14" s="1"/>
  <c r="D94" i="14" s="1"/>
  <c r="V94" i="13"/>
  <c r="C95" i="13" s="1"/>
  <c r="D95" i="13" s="1"/>
  <c r="V81" i="12"/>
  <c r="C82" i="12" s="1"/>
  <c r="D82" i="12" s="1"/>
  <c r="V81" i="11"/>
  <c r="C82" i="11" s="1"/>
  <c r="D82" i="11" s="1"/>
  <c r="V81" i="10"/>
  <c r="C82" i="10" s="1"/>
  <c r="D82" i="10" s="1"/>
  <c r="C80" i="9"/>
  <c r="D80" i="9" s="1"/>
  <c r="V80" i="9" s="1"/>
  <c r="AA74" i="2"/>
  <c r="V94" i="14" l="1"/>
  <c r="C95" i="14" s="1"/>
  <c r="D95" i="14" s="1"/>
  <c r="V95" i="13"/>
  <c r="C96" i="13" s="1"/>
  <c r="D96" i="13" s="1"/>
  <c r="V82" i="12"/>
  <c r="C83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V82" i="11"/>
  <c r="C83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V82" i="10"/>
  <c r="C83" i="10" s="1"/>
  <c r="D83" i="10" s="1"/>
  <c r="D84" i="10" s="1"/>
  <c r="D85" i="10" s="1"/>
  <c r="D86" i="10" s="1"/>
  <c r="D87" i="10" s="1"/>
  <c r="D88" i="10" s="1"/>
  <c r="D89" i="10" s="1"/>
  <c r="D90" i="10" s="1"/>
  <c r="D91" i="10" s="1"/>
  <c r="D92" i="10" s="1"/>
  <c r="D93" i="10" s="1"/>
  <c r="C81" i="9"/>
  <c r="D81" i="9" s="1"/>
  <c r="V81" i="9" s="1"/>
  <c r="AA75" i="2"/>
  <c r="V95" i="14" l="1"/>
  <c r="C96" i="14" s="1"/>
  <c r="D96" i="14" s="1"/>
  <c r="V96" i="13"/>
  <c r="C97" i="13" s="1"/>
  <c r="D97" i="13" s="1"/>
  <c r="V93" i="12"/>
  <c r="C94" i="12" s="1"/>
  <c r="D94" i="12" s="1"/>
  <c r="V93" i="11"/>
  <c r="C94" i="11" s="1"/>
  <c r="D94" i="11" s="1"/>
  <c r="V93" i="10"/>
  <c r="C94" i="10" s="1"/>
  <c r="D94" i="10" s="1"/>
  <c r="C82" i="9"/>
  <c r="D82" i="9" s="1"/>
  <c r="V82" i="9" s="1"/>
  <c r="AA76" i="2"/>
  <c r="V96" i="14" l="1"/>
  <c r="C97" i="14" s="1"/>
  <c r="D97" i="14" s="1"/>
  <c r="V97" i="13"/>
  <c r="C98" i="13" s="1"/>
  <c r="D98" i="13" s="1"/>
  <c r="V94" i="12"/>
  <c r="C95" i="12" s="1"/>
  <c r="D95" i="12" s="1"/>
  <c r="V94" i="11"/>
  <c r="C95" i="11" s="1"/>
  <c r="D95" i="11" s="1"/>
  <c r="V94" i="10"/>
  <c r="C95" i="10" s="1"/>
  <c r="D95" i="10" s="1"/>
  <c r="C83" i="9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D93" i="9" s="1"/>
  <c r="V93" i="9" s="1"/>
  <c r="AA77" i="2"/>
  <c r="V97" i="14" l="1"/>
  <c r="C98" i="14" s="1"/>
  <c r="D98" i="14" s="1"/>
  <c r="V98" i="13"/>
  <c r="C99" i="13" s="1"/>
  <c r="D99" i="13" s="1"/>
  <c r="V95" i="12"/>
  <c r="C96" i="12" s="1"/>
  <c r="D96" i="12" s="1"/>
  <c r="V95" i="11"/>
  <c r="C96" i="11" s="1"/>
  <c r="D96" i="11" s="1"/>
  <c r="V95" i="10"/>
  <c r="C96" i="10" s="1"/>
  <c r="D96" i="10" s="1"/>
  <c r="C94" i="9"/>
  <c r="D94" i="9" s="1"/>
  <c r="V94" i="9" s="1"/>
  <c r="AA78" i="2"/>
  <c r="V98" i="14" l="1"/>
  <c r="C99" i="14" s="1"/>
  <c r="D99" i="14" s="1"/>
  <c r="V99" i="13"/>
  <c r="C100" i="13" s="1"/>
  <c r="D100" i="13" s="1"/>
  <c r="V96" i="12"/>
  <c r="C97" i="12" s="1"/>
  <c r="D97" i="12" s="1"/>
  <c r="V96" i="11"/>
  <c r="C97" i="11" s="1"/>
  <c r="D97" i="11" s="1"/>
  <c r="V96" i="10"/>
  <c r="C97" i="10" s="1"/>
  <c r="D97" i="10" s="1"/>
  <c r="C95" i="9"/>
  <c r="D95" i="9" s="1"/>
  <c r="V95" i="9" s="1"/>
  <c r="AA79" i="2"/>
  <c r="V99" i="14" l="1"/>
  <c r="C100" i="14" s="1"/>
  <c r="D100" i="14" s="1"/>
  <c r="V100" i="13"/>
  <c r="C101" i="13" s="1"/>
  <c r="D101" i="13" s="1"/>
  <c r="V97" i="12"/>
  <c r="C98" i="12" s="1"/>
  <c r="D98" i="12" s="1"/>
  <c r="V97" i="11"/>
  <c r="C98" i="11" s="1"/>
  <c r="D98" i="11" s="1"/>
  <c r="V97" i="10"/>
  <c r="C98" i="10" s="1"/>
  <c r="D98" i="10" s="1"/>
  <c r="C96" i="9"/>
  <c r="D96" i="9" s="1"/>
  <c r="V96" i="9" s="1"/>
  <c r="AA80" i="2"/>
  <c r="V100" i="14" l="1"/>
  <c r="C101" i="14" s="1"/>
  <c r="D101" i="14" s="1"/>
  <c r="V101" i="13"/>
  <c r="C102" i="13" s="1"/>
  <c r="D102" i="13" s="1"/>
  <c r="V98" i="12"/>
  <c r="C99" i="12" s="1"/>
  <c r="D99" i="12" s="1"/>
  <c r="V98" i="11"/>
  <c r="C99" i="11" s="1"/>
  <c r="D99" i="11" s="1"/>
  <c r="V98" i="10"/>
  <c r="C99" i="10" s="1"/>
  <c r="D99" i="10" s="1"/>
  <c r="C97" i="9"/>
  <c r="D97" i="9" s="1"/>
  <c r="V97" i="9" s="1"/>
  <c r="AA81" i="2"/>
  <c r="V101" i="14" l="1"/>
  <c r="C102" i="14" s="1"/>
  <c r="D102" i="14" s="1"/>
  <c r="V102" i="13"/>
  <c r="C103" i="13" s="1"/>
  <c r="D103" i="13" s="1"/>
  <c r="V99" i="12"/>
  <c r="C100" i="12" s="1"/>
  <c r="D100" i="12" s="1"/>
  <c r="V99" i="11"/>
  <c r="C100" i="11" s="1"/>
  <c r="D100" i="11" s="1"/>
  <c r="V99" i="10"/>
  <c r="C100" i="10" s="1"/>
  <c r="D100" i="10" s="1"/>
  <c r="C98" i="9"/>
  <c r="D98" i="9" s="1"/>
  <c r="V98" i="9" s="1"/>
  <c r="AA82" i="2"/>
  <c r="V102" i="14" l="1"/>
  <c r="C103" i="14" s="1"/>
  <c r="D103" i="14" s="1"/>
  <c r="V103" i="13"/>
  <c r="C104" i="13" s="1"/>
  <c r="D104" i="13" s="1"/>
  <c r="V100" i="12"/>
  <c r="C101" i="12" s="1"/>
  <c r="D101" i="12" s="1"/>
  <c r="V100" i="11"/>
  <c r="C101" i="11" s="1"/>
  <c r="D101" i="11" s="1"/>
  <c r="V100" i="10"/>
  <c r="C101" i="10" s="1"/>
  <c r="D101" i="10" s="1"/>
  <c r="C99" i="9"/>
  <c r="D99" i="9" s="1"/>
  <c r="V99" i="9" s="1"/>
  <c r="AA93" i="2"/>
  <c r="V103" i="14" l="1"/>
  <c r="C104" i="14" s="1"/>
  <c r="D104" i="14" s="1"/>
  <c r="V104" i="13"/>
  <c r="C105" i="13" s="1"/>
  <c r="D105" i="13" s="1"/>
  <c r="V101" i="12"/>
  <c r="C102" i="12" s="1"/>
  <c r="D102" i="12" s="1"/>
  <c r="V101" i="11"/>
  <c r="C102" i="11" s="1"/>
  <c r="D102" i="11" s="1"/>
  <c r="V101" i="10"/>
  <c r="C102" i="10" s="1"/>
  <c r="D102" i="10" s="1"/>
  <c r="C100" i="9"/>
  <c r="D100" i="9" s="1"/>
  <c r="V100" i="9" s="1"/>
  <c r="AA94" i="2"/>
  <c r="V104" i="14" l="1"/>
  <c r="C105" i="14" s="1"/>
  <c r="D105" i="14" s="1"/>
  <c r="V105" i="13"/>
  <c r="C106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V102" i="12"/>
  <c r="C103" i="12" s="1"/>
  <c r="D103" i="12" s="1"/>
  <c r="V102" i="11"/>
  <c r="C103" i="11" s="1"/>
  <c r="D103" i="11" s="1"/>
  <c r="V102" i="10"/>
  <c r="C103" i="10" s="1"/>
  <c r="D103" i="10" s="1"/>
  <c r="C101" i="9"/>
  <c r="D101" i="9" s="1"/>
  <c r="V101" i="9" s="1"/>
  <c r="AA95" i="2"/>
  <c r="V105" i="14" l="1"/>
  <c r="C106" i="14" s="1"/>
  <c r="D106" i="14" s="1"/>
  <c r="D107" i="14" s="1"/>
  <c r="D108" i="14" s="1"/>
  <c r="D109" i="14" s="1"/>
  <c r="D110" i="14" s="1"/>
  <c r="D111" i="14" s="1"/>
  <c r="D112" i="14" s="1"/>
  <c r="D113" i="14" s="1"/>
  <c r="D114" i="14" s="1"/>
  <c r="D115" i="14" s="1"/>
  <c r="D116" i="14" s="1"/>
  <c r="D117" i="14" s="1"/>
  <c r="V117" i="13"/>
  <c r="C118" i="13" s="1"/>
  <c r="D118" i="13" s="1"/>
  <c r="V103" i="12"/>
  <c r="C104" i="12" s="1"/>
  <c r="D104" i="12" s="1"/>
  <c r="V103" i="11"/>
  <c r="C104" i="11" s="1"/>
  <c r="D104" i="11" s="1"/>
  <c r="V103" i="10"/>
  <c r="C104" i="10" s="1"/>
  <c r="D104" i="10" s="1"/>
  <c r="C102" i="9"/>
  <c r="D102" i="9" s="1"/>
  <c r="V102" i="9" s="1"/>
  <c r="AA96" i="2"/>
  <c r="V117" i="14" l="1"/>
  <c r="C118" i="14" s="1"/>
  <c r="D118" i="14" s="1"/>
  <c r="V118" i="13"/>
  <c r="C119" i="13" s="1"/>
  <c r="D119" i="13" s="1"/>
  <c r="V104" i="12"/>
  <c r="C105" i="12" s="1"/>
  <c r="D105" i="12" s="1"/>
  <c r="V104" i="11"/>
  <c r="C105" i="11" s="1"/>
  <c r="D105" i="11" s="1"/>
  <c r="V104" i="10"/>
  <c r="C105" i="10" s="1"/>
  <c r="D105" i="10" s="1"/>
  <c r="C103" i="9"/>
  <c r="D103" i="9" s="1"/>
  <c r="V103" i="9" s="1"/>
  <c r="AA97" i="2"/>
  <c r="V118" i="14" l="1"/>
  <c r="C119" i="14" s="1"/>
  <c r="D119" i="14" s="1"/>
  <c r="V119" i="13"/>
  <c r="C120" i="13" s="1"/>
  <c r="D120" i="13" s="1"/>
  <c r="V105" i="12"/>
  <c r="C106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V105" i="11"/>
  <c r="C106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V105" i="10"/>
  <c r="C106" i="10" s="1"/>
  <c r="D106" i="10" s="1"/>
  <c r="D107" i="10" s="1"/>
  <c r="D108" i="10" s="1"/>
  <c r="D109" i="10" s="1"/>
  <c r="D110" i="10" s="1"/>
  <c r="D111" i="10" s="1"/>
  <c r="D112" i="10" s="1"/>
  <c r="D113" i="10" s="1"/>
  <c r="D114" i="10" s="1"/>
  <c r="D115" i="10" s="1"/>
  <c r="D116" i="10" s="1"/>
  <c r="D117" i="10" s="1"/>
  <c r="C104" i="9"/>
  <c r="D104" i="9" s="1"/>
  <c r="V104" i="9" s="1"/>
  <c r="AA98" i="2"/>
  <c r="V119" i="14" l="1"/>
  <c r="C120" i="14" s="1"/>
  <c r="D120" i="14" s="1"/>
  <c r="V120" i="13"/>
  <c r="C121" i="13" s="1"/>
  <c r="D121" i="13" s="1"/>
  <c r="V117" i="12"/>
  <c r="C118" i="12" s="1"/>
  <c r="D118" i="12" s="1"/>
  <c r="V117" i="11"/>
  <c r="C118" i="11" s="1"/>
  <c r="D118" i="11" s="1"/>
  <c r="V117" i="10"/>
  <c r="C118" i="10" s="1"/>
  <c r="D118" i="10" s="1"/>
  <c r="C105" i="9"/>
  <c r="D105" i="9" s="1"/>
  <c r="V105" i="9" s="1"/>
  <c r="AA99" i="2"/>
  <c r="V120" i="14" l="1"/>
  <c r="C121" i="14" s="1"/>
  <c r="D121" i="14" s="1"/>
  <c r="V121" i="13"/>
  <c r="C122" i="13" s="1"/>
  <c r="D122" i="13" s="1"/>
  <c r="V118" i="12"/>
  <c r="C119" i="12" s="1"/>
  <c r="D119" i="12" s="1"/>
  <c r="V118" i="11"/>
  <c r="C119" i="11" s="1"/>
  <c r="D119" i="11" s="1"/>
  <c r="V118" i="10"/>
  <c r="C119" i="10" s="1"/>
  <c r="D119" i="10" s="1"/>
  <c r="C106" i="9"/>
  <c r="D106" i="9" s="1"/>
  <c r="D107" i="9" s="1"/>
  <c r="D108" i="9" s="1"/>
  <c r="D109" i="9" s="1"/>
  <c r="D110" i="9" s="1"/>
  <c r="D111" i="9" s="1"/>
  <c r="D112" i="9" s="1"/>
  <c r="D113" i="9" s="1"/>
  <c r="D114" i="9" s="1"/>
  <c r="D115" i="9" s="1"/>
  <c r="D116" i="9" s="1"/>
  <c r="D117" i="9" s="1"/>
  <c r="V117" i="9" s="1"/>
  <c r="AA100" i="2"/>
  <c r="V121" i="14" l="1"/>
  <c r="C122" i="14" s="1"/>
  <c r="D122" i="14" s="1"/>
  <c r="V122" i="13"/>
  <c r="C123" i="13" s="1"/>
  <c r="D123" i="13" s="1"/>
  <c r="V119" i="12"/>
  <c r="C120" i="12" s="1"/>
  <c r="D120" i="12" s="1"/>
  <c r="V119" i="11"/>
  <c r="C120" i="11" s="1"/>
  <c r="D120" i="11" s="1"/>
  <c r="V119" i="10"/>
  <c r="C120" i="10" s="1"/>
  <c r="D120" i="10" s="1"/>
  <c r="C118" i="9"/>
  <c r="D118" i="9" s="1"/>
  <c r="V118" i="9" s="1"/>
  <c r="AA101" i="2"/>
  <c r="V122" i="14" l="1"/>
  <c r="C123" i="14" s="1"/>
  <c r="D123" i="14" s="1"/>
  <c r="V123" i="13"/>
  <c r="C124" i="13" s="1"/>
  <c r="D124" i="13" s="1"/>
  <c r="V120" i="12"/>
  <c r="C121" i="12" s="1"/>
  <c r="D121" i="12" s="1"/>
  <c r="V120" i="11"/>
  <c r="C121" i="11" s="1"/>
  <c r="D121" i="11" s="1"/>
  <c r="V120" i="10"/>
  <c r="C121" i="10" s="1"/>
  <c r="D121" i="10" s="1"/>
  <c r="C119" i="9"/>
  <c r="D119" i="9" s="1"/>
  <c r="V119" i="9" s="1"/>
  <c r="AA102" i="2"/>
  <c r="V123" i="14" l="1"/>
  <c r="C124" i="14" s="1"/>
  <c r="D124" i="14" s="1"/>
  <c r="V124" i="13"/>
  <c r="C125" i="13" s="1"/>
  <c r="D125" i="13" s="1"/>
  <c r="V121" i="12"/>
  <c r="C122" i="12" s="1"/>
  <c r="D122" i="12" s="1"/>
  <c r="V121" i="11"/>
  <c r="C122" i="11" s="1"/>
  <c r="D122" i="11" s="1"/>
  <c r="V121" i="10"/>
  <c r="C122" i="10" s="1"/>
  <c r="D122" i="10" s="1"/>
  <c r="C120" i="9"/>
  <c r="D120" i="9" s="1"/>
  <c r="V120" i="9" s="1"/>
  <c r="AA103" i="2"/>
  <c r="V124" i="14" l="1"/>
  <c r="C125" i="14" s="1"/>
  <c r="D125" i="14" s="1"/>
  <c r="V125" i="13"/>
  <c r="C126" i="13" s="1"/>
  <c r="D126" i="13" s="1"/>
  <c r="V122" i="12"/>
  <c r="C123" i="12" s="1"/>
  <c r="D123" i="12" s="1"/>
  <c r="V122" i="11"/>
  <c r="C123" i="11" s="1"/>
  <c r="D123" i="11" s="1"/>
  <c r="V122" i="10"/>
  <c r="C123" i="10" s="1"/>
  <c r="D123" i="10" s="1"/>
  <c r="C121" i="9"/>
  <c r="D121" i="9" s="1"/>
  <c r="V121" i="9" s="1"/>
  <c r="AA104" i="2"/>
  <c r="V125" i="14" l="1"/>
  <c r="C126" i="14" s="1"/>
  <c r="D126" i="14" s="1"/>
  <c r="V126" i="13"/>
  <c r="C127" i="13" s="1"/>
  <c r="D127" i="13" s="1"/>
  <c r="V123" i="12"/>
  <c r="C124" i="12" s="1"/>
  <c r="D124" i="12" s="1"/>
  <c r="V123" i="11"/>
  <c r="C124" i="11" s="1"/>
  <c r="D124" i="11" s="1"/>
  <c r="V123" i="10"/>
  <c r="C124" i="10" s="1"/>
  <c r="D124" i="10" s="1"/>
  <c r="C122" i="9"/>
  <c r="D122" i="9" s="1"/>
  <c r="V122" i="9" s="1"/>
  <c r="AA105" i="2"/>
  <c r="V126" i="14" l="1"/>
  <c r="C127" i="14" s="1"/>
  <c r="D127" i="14" s="1"/>
  <c r="V127" i="13"/>
  <c r="C128" i="13" s="1"/>
  <c r="D128" i="13" s="1"/>
  <c r="V124" i="12"/>
  <c r="C125" i="12" s="1"/>
  <c r="D125" i="12" s="1"/>
  <c r="V124" i="11"/>
  <c r="C125" i="11" s="1"/>
  <c r="D125" i="11" s="1"/>
  <c r="V124" i="10"/>
  <c r="C125" i="10" s="1"/>
  <c r="D125" i="10" s="1"/>
  <c r="C123" i="9"/>
  <c r="D123" i="9" s="1"/>
  <c r="V123" i="9" s="1"/>
  <c r="AA117" i="2"/>
  <c r="V127" i="14" l="1"/>
  <c r="C128" i="14" s="1"/>
  <c r="D128" i="14" s="1"/>
  <c r="V128" i="13"/>
  <c r="C129" i="13" s="1"/>
  <c r="D129" i="13" s="1"/>
  <c r="V125" i="12"/>
  <c r="C126" i="12" s="1"/>
  <c r="D126" i="12" s="1"/>
  <c r="V125" i="11"/>
  <c r="C126" i="11" s="1"/>
  <c r="D126" i="11" s="1"/>
  <c r="V125" i="10"/>
  <c r="C126" i="10" s="1"/>
  <c r="D126" i="10" s="1"/>
  <c r="C124" i="9"/>
  <c r="D124" i="9" s="1"/>
  <c r="V124" i="9" s="1"/>
  <c r="AA118" i="2"/>
  <c r="V128" i="14" l="1"/>
  <c r="C129" i="14" s="1"/>
  <c r="D129" i="14" s="1"/>
  <c r="V129" i="13"/>
  <c r="C130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V126" i="12"/>
  <c r="C127" i="12" s="1"/>
  <c r="D127" i="12" s="1"/>
  <c r="V126" i="11"/>
  <c r="C127" i="11" s="1"/>
  <c r="D127" i="11" s="1"/>
  <c r="V126" i="10"/>
  <c r="C127" i="10" s="1"/>
  <c r="D127" i="10" s="1"/>
  <c r="C125" i="9"/>
  <c r="D125" i="9" s="1"/>
  <c r="V125" i="9" s="1"/>
  <c r="AA119" i="2"/>
  <c r="V129" i="14" l="1"/>
  <c r="C130" i="14" s="1"/>
  <c r="D130" i="14" s="1"/>
  <c r="D131" i="14" s="1"/>
  <c r="D132" i="14" s="1"/>
  <c r="D133" i="14" s="1"/>
  <c r="D134" i="14" s="1"/>
  <c r="D135" i="14" s="1"/>
  <c r="D136" i="14" s="1"/>
  <c r="D137" i="14" s="1"/>
  <c r="D138" i="14" s="1"/>
  <c r="D139" i="14" s="1"/>
  <c r="D140" i="14" s="1"/>
  <c r="D141" i="14" s="1"/>
  <c r="V141" i="13"/>
  <c r="C142" i="13" s="1"/>
  <c r="D142" i="13" s="1"/>
  <c r="V127" i="12"/>
  <c r="C128" i="12" s="1"/>
  <c r="D128" i="12" s="1"/>
  <c r="V127" i="11"/>
  <c r="C128" i="11" s="1"/>
  <c r="D128" i="11" s="1"/>
  <c r="V127" i="10"/>
  <c r="C128" i="10" s="1"/>
  <c r="D128" i="10" s="1"/>
  <c r="C126" i="9"/>
  <c r="D126" i="9" s="1"/>
  <c r="V126" i="9" s="1"/>
  <c r="AA120" i="2"/>
  <c r="V141" i="14" l="1"/>
  <c r="C142" i="14" s="1"/>
  <c r="D142" i="14" s="1"/>
  <c r="V142" i="13"/>
  <c r="C143" i="13" s="1"/>
  <c r="D143" i="13" s="1"/>
  <c r="V128" i="12"/>
  <c r="C129" i="12" s="1"/>
  <c r="D129" i="12" s="1"/>
  <c r="V128" i="11"/>
  <c r="C129" i="11" s="1"/>
  <c r="D129" i="11" s="1"/>
  <c r="V128" i="10"/>
  <c r="C129" i="10" s="1"/>
  <c r="D129" i="10" s="1"/>
  <c r="C127" i="9"/>
  <c r="D127" i="9" s="1"/>
  <c r="V127" i="9" s="1"/>
  <c r="AA121" i="2"/>
  <c r="V142" i="14" l="1"/>
  <c r="C143" i="14" s="1"/>
  <c r="D143" i="14" s="1"/>
  <c r="V143" i="13"/>
  <c r="C144" i="13" s="1"/>
  <c r="D144" i="13" s="1"/>
  <c r="V129" i="12"/>
  <c r="C130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V129" i="11"/>
  <c r="C130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D140" i="11" s="1"/>
  <c r="D141" i="11" s="1"/>
  <c r="V129" i="10"/>
  <c r="C130" i="10" s="1"/>
  <c r="D130" i="10" s="1"/>
  <c r="D131" i="10" s="1"/>
  <c r="D132" i="10" s="1"/>
  <c r="D133" i="10" s="1"/>
  <c r="D134" i="10" s="1"/>
  <c r="D135" i="10" s="1"/>
  <c r="D136" i="10" s="1"/>
  <c r="D137" i="10" s="1"/>
  <c r="D138" i="10" s="1"/>
  <c r="D139" i="10" s="1"/>
  <c r="D140" i="10" s="1"/>
  <c r="D141" i="10" s="1"/>
  <c r="C128" i="9"/>
  <c r="D128" i="9" s="1"/>
  <c r="V128" i="9" s="1"/>
  <c r="AA122" i="2"/>
  <c r="V143" i="14" l="1"/>
  <c r="C144" i="14" s="1"/>
  <c r="D144" i="14" s="1"/>
  <c r="V144" i="13"/>
  <c r="C145" i="13" s="1"/>
  <c r="D145" i="13" s="1"/>
  <c r="V141" i="12"/>
  <c r="C142" i="12" s="1"/>
  <c r="D142" i="12" s="1"/>
  <c r="V141" i="11"/>
  <c r="C142" i="11" s="1"/>
  <c r="D142" i="11" s="1"/>
  <c r="V141" i="10"/>
  <c r="C142" i="10" s="1"/>
  <c r="D142" i="10" s="1"/>
  <c r="C129" i="9"/>
  <c r="D129" i="9" s="1"/>
  <c r="V129" i="9" s="1"/>
  <c r="AA123" i="2"/>
  <c r="V144" i="14" l="1"/>
  <c r="C145" i="14" s="1"/>
  <c r="D145" i="14" s="1"/>
  <c r="V145" i="13"/>
  <c r="C146" i="13" s="1"/>
  <c r="D146" i="13" s="1"/>
  <c r="V142" i="12"/>
  <c r="C143" i="12" s="1"/>
  <c r="D143" i="12" s="1"/>
  <c r="V142" i="11"/>
  <c r="C143" i="11" s="1"/>
  <c r="D143" i="11" s="1"/>
  <c r="V142" i="10"/>
  <c r="C143" i="10" s="1"/>
  <c r="D143" i="10" s="1"/>
  <c r="C130" i="9"/>
  <c r="D130" i="9" s="1"/>
  <c r="D131" i="9" s="1"/>
  <c r="D132" i="9" s="1"/>
  <c r="D133" i="9" s="1"/>
  <c r="D134" i="9" s="1"/>
  <c r="D135" i="9" s="1"/>
  <c r="D136" i="9" s="1"/>
  <c r="D137" i="9" s="1"/>
  <c r="D138" i="9" s="1"/>
  <c r="D139" i="9" s="1"/>
  <c r="D140" i="9" s="1"/>
  <c r="D141" i="9" s="1"/>
  <c r="V141" i="9" s="1"/>
  <c r="AA124" i="2"/>
  <c r="V145" i="14" l="1"/>
  <c r="C146" i="14" s="1"/>
  <c r="D146" i="14" s="1"/>
  <c r="V146" i="13"/>
  <c r="C147" i="13" s="1"/>
  <c r="D147" i="13" s="1"/>
  <c r="V143" i="12"/>
  <c r="C144" i="12" s="1"/>
  <c r="D144" i="12" s="1"/>
  <c r="V143" i="11"/>
  <c r="C144" i="11" s="1"/>
  <c r="D144" i="11" s="1"/>
  <c r="V143" i="10"/>
  <c r="C144" i="10" s="1"/>
  <c r="D144" i="10" s="1"/>
  <c r="C142" i="9"/>
  <c r="D142" i="9" s="1"/>
  <c r="V142" i="9" s="1"/>
  <c r="AA125" i="2"/>
  <c r="V146" i="14" l="1"/>
  <c r="C147" i="14" s="1"/>
  <c r="D147" i="14" s="1"/>
  <c r="V147" i="13"/>
  <c r="C148" i="13" s="1"/>
  <c r="D148" i="13" s="1"/>
  <c r="V144" i="12"/>
  <c r="C145" i="12" s="1"/>
  <c r="D145" i="12" s="1"/>
  <c r="V144" i="11"/>
  <c r="C145" i="11" s="1"/>
  <c r="D145" i="11" s="1"/>
  <c r="V144" i="10"/>
  <c r="C145" i="10" s="1"/>
  <c r="D145" i="10" s="1"/>
  <c r="C143" i="9"/>
  <c r="D143" i="9" s="1"/>
  <c r="V143" i="9" s="1"/>
  <c r="AA126" i="2"/>
  <c r="V147" i="14" l="1"/>
  <c r="C148" i="14" s="1"/>
  <c r="D148" i="14" s="1"/>
  <c r="V148" i="13"/>
  <c r="C149" i="13" s="1"/>
  <c r="D149" i="13" s="1"/>
  <c r="V145" i="12"/>
  <c r="C146" i="12" s="1"/>
  <c r="D146" i="12" s="1"/>
  <c r="V145" i="11"/>
  <c r="C146" i="11" s="1"/>
  <c r="D146" i="11" s="1"/>
  <c r="V145" i="10"/>
  <c r="C146" i="10" s="1"/>
  <c r="D146" i="10" s="1"/>
  <c r="C144" i="9"/>
  <c r="D144" i="9" s="1"/>
  <c r="V144" i="9" s="1"/>
  <c r="AA127" i="2"/>
  <c r="V148" i="14" l="1"/>
  <c r="C149" i="14" s="1"/>
  <c r="D149" i="14" s="1"/>
  <c r="V149" i="13"/>
  <c r="C150" i="13" s="1"/>
  <c r="D150" i="13" s="1"/>
  <c r="V146" i="12"/>
  <c r="C147" i="12" s="1"/>
  <c r="D147" i="12" s="1"/>
  <c r="V146" i="11"/>
  <c r="C147" i="11" s="1"/>
  <c r="D147" i="11" s="1"/>
  <c r="V146" i="10"/>
  <c r="C147" i="10" s="1"/>
  <c r="D147" i="10" s="1"/>
  <c r="C145" i="9"/>
  <c r="D145" i="9" s="1"/>
  <c r="V145" i="9" s="1"/>
  <c r="AA128" i="2"/>
  <c r="V149" i="14" l="1"/>
  <c r="C150" i="14" s="1"/>
  <c r="D150" i="14" s="1"/>
  <c r="V150" i="13"/>
  <c r="C151" i="13" s="1"/>
  <c r="D151" i="13" s="1"/>
  <c r="V147" i="12"/>
  <c r="C148" i="12" s="1"/>
  <c r="D148" i="12" s="1"/>
  <c r="V147" i="11"/>
  <c r="C148" i="11" s="1"/>
  <c r="D148" i="11" s="1"/>
  <c r="V147" i="10"/>
  <c r="C148" i="10" s="1"/>
  <c r="D148" i="10" s="1"/>
  <c r="C146" i="9"/>
  <c r="D146" i="9" s="1"/>
  <c r="V146" i="9" s="1"/>
  <c r="AA129" i="2"/>
  <c r="V150" i="14" l="1"/>
  <c r="C151" i="14" s="1"/>
  <c r="D151" i="14" s="1"/>
  <c r="V151" i="13"/>
  <c r="C152" i="13" s="1"/>
  <c r="D152" i="13" s="1"/>
  <c r="V148" i="12"/>
  <c r="C149" i="12" s="1"/>
  <c r="D149" i="12" s="1"/>
  <c r="V148" i="11"/>
  <c r="C149" i="11" s="1"/>
  <c r="D149" i="11" s="1"/>
  <c r="V148" i="10"/>
  <c r="C149" i="10" s="1"/>
  <c r="D149" i="10" s="1"/>
  <c r="C147" i="9"/>
  <c r="D147" i="9" s="1"/>
  <c r="V147" i="9" s="1"/>
  <c r="AA141" i="2"/>
  <c r="V151" i="14" l="1"/>
  <c r="C152" i="14" s="1"/>
  <c r="D152" i="14" s="1"/>
  <c r="V152" i="13"/>
  <c r="C153" i="13" s="1"/>
  <c r="D153" i="13" s="1"/>
  <c r="V149" i="12"/>
  <c r="C150" i="12" s="1"/>
  <c r="D150" i="12" s="1"/>
  <c r="V149" i="11"/>
  <c r="C150" i="11" s="1"/>
  <c r="D150" i="11" s="1"/>
  <c r="V149" i="10"/>
  <c r="C150" i="10" s="1"/>
  <c r="D150" i="10" s="1"/>
  <c r="C148" i="9"/>
  <c r="D148" i="9" s="1"/>
  <c r="V148" i="9" s="1"/>
  <c r="AA142" i="2"/>
  <c r="V152" i="14" l="1"/>
  <c r="C153" i="14" s="1"/>
  <c r="D153" i="14" s="1"/>
  <c r="V153" i="13"/>
  <c r="C154" i="13" s="1"/>
  <c r="D154" i="13" s="1"/>
  <c r="D155" i="13" s="1"/>
  <c r="D156" i="13" s="1"/>
  <c r="D157" i="13" s="1"/>
  <c r="D158" i="13" s="1"/>
  <c r="D159" i="13" s="1"/>
  <c r="D160" i="13" s="1"/>
  <c r="D161" i="13" s="1"/>
  <c r="D162" i="13" s="1"/>
  <c r="D163" i="13" s="1"/>
  <c r="D164" i="13" s="1"/>
  <c r="D165" i="13" s="1"/>
  <c r="D166" i="13" s="1"/>
  <c r="V150" i="12"/>
  <c r="C151" i="12" s="1"/>
  <c r="D151" i="12" s="1"/>
  <c r="V150" i="11"/>
  <c r="C151" i="11" s="1"/>
  <c r="D151" i="11" s="1"/>
  <c r="V150" i="10"/>
  <c r="C151" i="10" s="1"/>
  <c r="D151" i="10" s="1"/>
  <c r="C149" i="9"/>
  <c r="D149" i="9" s="1"/>
  <c r="V149" i="9" s="1"/>
  <c r="AA143" i="2"/>
  <c r="V153" i="14" l="1"/>
  <c r="C154" i="14" s="1"/>
  <c r="D154" i="14" s="1"/>
  <c r="D155" i="14" s="1"/>
  <c r="D156" i="14" s="1"/>
  <c r="D157" i="14" s="1"/>
  <c r="D158" i="14" s="1"/>
  <c r="D159" i="14" s="1"/>
  <c r="D160" i="14" s="1"/>
  <c r="D161" i="14" s="1"/>
  <c r="D162" i="14" s="1"/>
  <c r="D163" i="14" s="1"/>
  <c r="D164" i="14" s="1"/>
  <c r="D165" i="14" s="1"/>
  <c r="D166" i="14" s="1"/>
  <c r="V166" i="13"/>
  <c r="C167" i="13" s="1"/>
  <c r="D167" i="13" s="1"/>
  <c r="V151" i="12"/>
  <c r="C152" i="12" s="1"/>
  <c r="D152" i="12" s="1"/>
  <c r="V151" i="11"/>
  <c r="C152" i="11" s="1"/>
  <c r="D152" i="11" s="1"/>
  <c r="V151" i="10"/>
  <c r="C152" i="10" s="1"/>
  <c r="D152" i="10" s="1"/>
  <c r="C150" i="9"/>
  <c r="D150" i="9" s="1"/>
  <c r="V150" i="9" s="1"/>
  <c r="AA144" i="2"/>
  <c r="V166" i="14" l="1"/>
  <c r="C167" i="14" s="1"/>
  <c r="D167" i="14" s="1"/>
  <c r="V167" i="13"/>
  <c r="C168" i="13" s="1"/>
  <c r="D168" i="13" s="1"/>
  <c r="V152" i="12"/>
  <c r="C153" i="12" s="1"/>
  <c r="D153" i="12" s="1"/>
  <c r="V152" i="11"/>
  <c r="C153" i="11" s="1"/>
  <c r="D153" i="11" s="1"/>
  <c r="V152" i="10"/>
  <c r="C153" i="10" s="1"/>
  <c r="D153" i="10" s="1"/>
  <c r="C151" i="9"/>
  <c r="D151" i="9" s="1"/>
  <c r="V151" i="9" s="1"/>
  <c r="AA145" i="2"/>
  <c r="V167" i="14" l="1"/>
  <c r="C168" i="14" s="1"/>
  <c r="D168" i="14" s="1"/>
  <c r="V168" i="13"/>
  <c r="C169" i="13" s="1"/>
  <c r="D169" i="13" s="1"/>
  <c r="V153" i="12"/>
  <c r="C154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V153" i="11"/>
  <c r="C154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V153" i="10"/>
  <c r="C154" i="10" s="1"/>
  <c r="D154" i="10" s="1"/>
  <c r="D155" i="10" s="1"/>
  <c r="D156" i="10" s="1"/>
  <c r="D157" i="10" s="1"/>
  <c r="D158" i="10" s="1"/>
  <c r="D159" i="10" s="1"/>
  <c r="D160" i="10" s="1"/>
  <c r="D161" i="10" s="1"/>
  <c r="D162" i="10" s="1"/>
  <c r="D163" i="10" s="1"/>
  <c r="D164" i="10" s="1"/>
  <c r="D165" i="10" s="1"/>
  <c r="D166" i="10" s="1"/>
  <c r="C152" i="9"/>
  <c r="D152" i="9" s="1"/>
  <c r="V152" i="9" s="1"/>
  <c r="AA146" i="2"/>
  <c r="V168" i="14" l="1"/>
  <c r="C169" i="14" s="1"/>
  <c r="D169" i="14" s="1"/>
  <c r="V169" i="13"/>
  <c r="C170" i="13" s="1"/>
  <c r="D170" i="13" s="1"/>
  <c r="V166" i="12"/>
  <c r="C167" i="12" s="1"/>
  <c r="D167" i="12" s="1"/>
  <c r="V166" i="11"/>
  <c r="C167" i="11" s="1"/>
  <c r="D167" i="11"/>
  <c r="V166" i="10"/>
  <c r="C167" i="10" s="1"/>
  <c r="D167" i="10" s="1"/>
  <c r="C153" i="9"/>
  <c r="D153" i="9" s="1"/>
  <c r="V153" i="9" s="1"/>
  <c r="AA147" i="2"/>
  <c r="V169" i="14" l="1"/>
  <c r="C170" i="14" s="1"/>
  <c r="D170" i="14" s="1"/>
  <c r="V170" i="13"/>
  <c r="C171" i="13" s="1"/>
  <c r="D171" i="13" s="1"/>
  <c r="V167" i="12"/>
  <c r="C168" i="12" s="1"/>
  <c r="D168" i="12" s="1"/>
  <c r="V167" i="11"/>
  <c r="C168" i="11" s="1"/>
  <c r="D168" i="11" s="1"/>
  <c r="V167" i="10"/>
  <c r="C168" i="10" s="1"/>
  <c r="D168" i="10" s="1"/>
  <c r="C154" i="9"/>
  <c r="D154" i="9" s="1"/>
  <c r="D155" i="9" s="1"/>
  <c r="D156" i="9" s="1"/>
  <c r="D157" i="9" s="1"/>
  <c r="D158" i="9" s="1"/>
  <c r="D159" i="9" s="1"/>
  <c r="D160" i="9" s="1"/>
  <c r="D161" i="9" s="1"/>
  <c r="D162" i="9" s="1"/>
  <c r="D163" i="9" s="1"/>
  <c r="D164" i="9" s="1"/>
  <c r="D165" i="9" s="1"/>
  <c r="D166" i="9" s="1"/>
  <c r="V166" i="9" s="1"/>
  <c r="AA148" i="2"/>
  <c r="V170" i="14" l="1"/>
  <c r="C171" i="14" s="1"/>
  <c r="D171" i="14" s="1"/>
  <c r="V171" i="13"/>
  <c r="C172" i="13" s="1"/>
  <c r="D172" i="13" s="1"/>
  <c r="V168" i="12"/>
  <c r="C169" i="12" s="1"/>
  <c r="D169" i="12" s="1"/>
  <c r="V168" i="11"/>
  <c r="C169" i="11" s="1"/>
  <c r="D169" i="11" s="1"/>
  <c r="V168" i="10"/>
  <c r="C169" i="10" s="1"/>
  <c r="D169" i="10" s="1"/>
  <c r="C167" i="9"/>
  <c r="D167" i="9" s="1"/>
  <c r="V167" i="9" s="1"/>
  <c r="AA149" i="2"/>
  <c r="V171" i="14" l="1"/>
  <c r="C172" i="14" s="1"/>
  <c r="D172" i="14" s="1"/>
  <c r="V172" i="13"/>
  <c r="C173" i="13" s="1"/>
  <c r="D173" i="13" s="1"/>
  <c r="V169" i="12"/>
  <c r="C170" i="12" s="1"/>
  <c r="D170" i="12" s="1"/>
  <c r="V169" i="11"/>
  <c r="C170" i="11" s="1"/>
  <c r="D170" i="11" s="1"/>
  <c r="V169" i="10"/>
  <c r="C170" i="10" s="1"/>
  <c r="D170" i="10" s="1"/>
  <c r="C168" i="9"/>
  <c r="D168" i="9" s="1"/>
  <c r="V168" i="9" s="1"/>
  <c r="AA150" i="2"/>
  <c r="V172" i="14" l="1"/>
  <c r="C173" i="14" s="1"/>
  <c r="D173" i="14" s="1"/>
  <c r="V173" i="13"/>
  <c r="C174" i="13" s="1"/>
  <c r="D174" i="13" s="1"/>
  <c r="V170" i="12"/>
  <c r="C171" i="12" s="1"/>
  <c r="D171" i="12" s="1"/>
  <c r="V170" i="11"/>
  <c r="C171" i="11" s="1"/>
  <c r="D171" i="11" s="1"/>
  <c r="V170" i="10"/>
  <c r="C171" i="10" s="1"/>
  <c r="D171" i="10" s="1"/>
  <c r="C169" i="9"/>
  <c r="D169" i="9" s="1"/>
  <c r="V169" i="9" s="1"/>
  <c r="AA151" i="2"/>
  <c r="V173" i="14" l="1"/>
  <c r="C174" i="14" s="1"/>
  <c r="D174" i="14" s="1"/>
  <c r="V174" i="13"/>
  <c r="C175" i="13" s="1"/>
  <c r="D175" i="13" s="1"/>
  <c r="V171" i="12"/>
  <c r="C172" i="12" s="1"/>
  <c r="D172" i="12" s="1"/>
  <c r="V171" i="11"/>
  <c r="C172" i="11" s="1"/>
  <c r="D172" i="11" s="1"/>
  <c r="V171" i="10"/>
  <c r="C172" i="10" s="1"/>
  <c r="D172" i="10" s="1"/>
  <c r="C170" i="9"/>
  <c r="D170" i="9" s="1"/>
  <c r="V170" i="9" s="1"/>
  <c r="AA152" i="2"/>
  <c r="V174" i="14" l="1"/>
  <c r="C175" i="14" s="1"/>
  <c r="D175" i="14" s="1"/>
  <c r="V175" i="13"/>
  <c r="C176" i="13" s="1"/>
  <c r="D176" i="13" s="1"/>
  <c r="V172" i="12"/>
  <c r="C173" i="12" s="1"/>
  <c r="D173" i="12" s="1"/>
  <c r="V172" i="11"/>
  <c r="C173" i="11" s="1"/>
  <c r="D173" i="11" s="1"/>
  <c r="V172" i="10"/>
  <c r="C173" i="10" s="1"/>
  <c r="D173" i="10" s="1"/>
  <c r="C171" i="9"/>
  <c r="D171" i="9" s="1"/>
  <c r="V171" i="9" s="1"/>
  <c r="AA153" i="2"/>
  <c r="V175" i="14" l="1"/>
  <c r="C176" i="14" s="1"/>
  <c r="D176" i="14" s="1"/>
  <c r="V176" i="13"/>
  <c r="C177" i="13" s="1"/>
  <c r="D177" i="13" s="1"/>
  <c r="V173" i="12"/>
  <c r="C174" i="12" s="1"/>
  <c r="D174" i="12" s="1"/>
  <c r="V173" i="11"/>
  <c r="C174" i="11" s="1"/>
  <c r="D174" i="11" s="1"/>
  <c r="V173" i="10"/>
  <c r="C174" i="10" s="1"/>
  <c r="D174" i="10" s="1"/>
  <c r="C172" i="9"/>
  <c r="D172" i="9" s="1"/>
  <c r="V172" i="9" s="1"/>
  <c r="AA166" i="2"/>
  <c r="V176" i="14" l="1"/>
  <c r="C177" i="14" s="1"/>
  <c r="D177" i="14" s="1"/>
  <c r="V177" i="13"/>
  <c r="C178" i="13" s="1"/>
  <c r="D178" i="13" s="1"/>
  <c r="D179" i="13" s="1"/>
  <c r="D180" i="13" s="1"/>
  <c r="D181" i="13" s="1"/>
  <c r="D182" i="13" s="1"/>
  <c r="D183" i="13" s="1"/>
  <c r="D184" i="13" s="1"/>
  <c r="D185" i="13" s="1"/>
  <c r="D186" i="13" s="1"/>
  <c r="D187" i="13" s="1"/>
  <c r="D188" i="13" s="1"/>
  <c r="D189" i="13" s="1"/>
  <c r="D190" i="13" s="1"/>
  <c r="V174" i="12"/>
  <c r="C175" i="12" s="1"/>
  <c r="D175" i="12" s="1"/>
  <c r="V174" i="11"/>
  <c r="C175" i="11" s="1"/>
  <c r="D175" i="11" s="1"/>
  <c r="V174" i="10"/>
  <c r="C175" i="10" s="1"/>
  <c r="D175" i="10" s="1"/>
  <c r="C173" i="9"/>
  <c r="D173" i="9" s="1"/>
  <c r="V173" i="9" s="1"/>
  <c r="AA167" i="2"/>
  <c r="V177" i="14" l="1"/>
  <c r="C178" i="14" s="1"/>
  <c r="D178" i="14" s="1"/>
  <c r="D179" i="14" s="1"/>
  <c r="D180" i="14" s="1"/>
  <c r="D181" i="14" s="1"/>
  <c r="D182" i="14" s="1"/>
  <c r="D183" i="14" s="1"/>
  <c r="D184" i="14" s="1"/>
  <c r="D185" i="14" s="1"/>
  <c r="D186" i="14" s="1"/>
  <c r="D187" i="14" s="1"/>
  <c r="D188" i="14" s="1"/>
  <c r="D189" i="14" s="1"/>
  <c r="D190" i="14" s="1"/>
  <c r="V190" i="13"/>
  <c r="C191" i="13" s="1"/>
  <c r="D191" i="13" s="1"/>
  <c r="V175" i="12"/>
  <c r="C176" i="12" s="1"/>
  <c r="D176" i="12" s="1"/>
  <c r="V175" i="11"/>
  <c r="C176" i="11" s="1"/>
  <c r="D176" i="11" s="1"/>
  <c r="V175" i="10"/>
  <c r="C176" i="10" s="1"/>
  <c r="D176" i="10" s="1"/>
  <c r="C174" i="9"/>
  <c r="D174" i="9" s="1"/>
  <c r="V174" i="9" s="1"/>
  <c r="AA168" i="2"/>
  <c r="V190" i="14" l="1"/>
  <c r="C191" i="14" s="1"/>
  <c r="D191" i="14" s="1"/>
  <c r="V191" i="13"/>
  <c r="C192" i="13" s="1"/>
  <c r="D192" i="13" s="1"/>
  <c r="V176" i="12"/>
  <c r="C177" i="12" s="1"/>
  <c r="D177" i="12" s="1"/>
  <c r="V176" i="11"/>
  <c r="C177" i="11" s="1"/>
  <c r="D177" i="11" s="1"/>
  <c r="V176" i="10"/>
  <c r="C177" i="10" s="1"/>
  <c r="D177" i="10" s="1"/>
  <c r="C175" i="9"/>
  <c r="D175" i="9" s="1"/>
  <c r="V175" i="9" s="1"/>
  <c r="AA169" i="2"/>
  <c r="V191" i="14" l="1"/>
  <c r="C192" i="14" s="1"/>
  <c r="D192" i="14" s="1"/>
  <c r="V192" i="13"/>
  <c r="C193" i="13" s="1"/>
  <c r="D193" i="13" s="1"/>
  <c r="V177" i="12"/>
  <c r="C178" i="12" s="1"/>
  <c r="D178" i="12" s="1"/>
  <c r="D179" i="12" s="1"/>
  <c r="D180" i="12" s="1"/>
  <c r="D181" i="12" s="1"/>
  <c r="D182" i="12" s="1"/>
  <c r="D183" i="12" s="1"/>
  <c r="D184" i="12" s="1"/>
  <c r="D185" i="12" s="1"/>
  <c r="D186" i="12" s="1"/>
  <c r="D187" i="12" s="1"/>
  <c r="D188" i="12" s="1"/>
  <c r="D189" i="12" s="1"/>
  <c r="D190" i="12" s="1"/>
  <c r="V177" i="11"/>
  <c r="C178" i="11" s="1"/>
  <c r="D178" i="11" s="1"/>
  <c r="D179" i="11" s="1"/>
  <c r="D180" i="11" s="1"/>
  <c r="D181" i="11" s="1"/>
  <c r="D182" i="11" s="1"/>
  <c r="D183" i="11" s="1"/>
  <c r="D184" i="11" s="1"/>
  <c r="D185" i="11" s="1"/>
  <c r="D186" i="11" s="1"/>
  <c r="D187" i="11" s="1"/>
  <c r="D188" i="11" s="1"/>
  <c r="D189" i="11" s="1"/>
  <c r="D190" i="11" s="1"/>
  <c r="V177" i="10"/>
  <c r="C178" i="10" s="1"/>
  <c r="D178" i="10" s="1"/>
  <c r="D179" i="10" s="1"/>
  <c r="D180" i="10" s="1"/>
  <c r="D181" i="10" s="1"/>
  <c r="D182" i="10" s="1"/>
  <c r="D183" i="10" s="1"/>
  <c r="D184" i="10" s="1"/>
  <c r="D185" i="10" s="1"/>
  <c r="D186" i="10" s="1"/>
  <c r="D187" i="10" s="1"/>
  <c r="D188" i="10" s="1"/>
  <c r="D189" i="10" s="1"/>
  <c r="D190" i="10" s="1"/>
  <c r="C176" i="9"/>
  <c r="D176" i="9" s="1"/>
  <c r="V176" i="9" s="1"/>
  <c r="AA170" i="2"/>
  <c r="V192" i="14" l="1"/>
  <c r="C193" i="14" s="1"/>
  <c r="D193" i="14" s="1"/>
  <c r="V193" i="13"/>
  <c r="C194" i="13" s="1"/>
  <c r="D194" i="13" s="1"/>
  <c r="V190" i="12"/>
  <c r="C191" i="12" s="1"/>
  <c r="D191" i="12" s="1"/>
  <c r="V190" i="11"/>
  <c r="C191" i="11" s="1"/>
  <c r="D191" i="11" s="1"/>
  <c r="V190" i="10"/>
  <c r="C191" i="10" s="1"/>
  <c r="D191" i="10" s="1"/>
  <c r="C177" i="9"/>
  <c r="D177" i="9" s="1"/>
  <c r="V177" i="9" s="1"/>
  <c r="AA171" i="2"/>
  <c r="V193" i="14" l="1"/>
  <c r="C194" i="14" s="1"/>
  <c r="D194" i="14" s="1"/>
  <c r="V194" i="13"/>
  <c r="C195" i="13" s="1"/>
  <c r="D195" i="13" s="1"/>
  <c r="V191" i="12"/>
  <c r="C192" i="12" s="1"/>
  <c r="D192" i="12" s="1"/>
  <c r="V191" i="11"/>
  <c r="C192" i="11" s="1"/>
  <c r="D192" i="11" s="1"/>
  <c r="V191" i="10"/>
  <c r="C192" i="10" s="1"/>
  <c r="D192" i="10" s="1"/>
  <c r="C178" i="9"/>
  <c r="D178" i="9" s="1"/>
  <c r="D179" i="9" s="1"/>
  <c r="D180" i="9" s="1"/>
  <c r="D181" i="9" s="1"/>
  <c r="D182" i="9" s="1"/>
  <c r="D183" i="9" s="1"/>
  <c r="D184" i="9" s="1"/>
  <c r="D185" i="9" s="1"/>
  <c r="D186" i="9" s="1"/>
  <c r="D187" i="9" s="1"/>
  <c r="D188" i="9" s="1"/>
  <c r="D189" i="9" s="1"/>
  <c r="D190" i="9" s="1"/>
  <c r="V190" i="9" s="1"/>
  <c r="AA172" i="2"/>
  <c r="V194" i="14" l="1"/>
  <c r="C195" i="14" s="1"/>
  <c r="D195" i="14" s="1"/>
  <c r="V195" i="13"/>
  <c r="C196" i="13" s="1"/>
  <c r="D196" i="13" s="1"/>
  <c r="V192" i="12"/>
  <c r="C193" i="12" s="1"/>
  <c r="D193" i="12" s="1"/>
  <c r="V192" i="11"/>
  <c r="C193" i="11" s="1"/>
  <c r="D193" i="11" s="1"/>
  <c r="V192" i="10"/>
  <c r="C193" i="10" s="1"/>
  <c r="D193" i="10" s="1"/>
  <c r="C191" i="9"/>
  <c r="D191" i="9" s="1"/>
  <c r="V191" i="9" s="1"/>
  <c r="AA173" i="2"/>
  <c r="V195" i="14" l="1"/>
  <c r="C196" i="14" s="1"/>
  <c r="D196" i="14" s="1"/>
  <c r="V196" i="13"/>
  <c r="C197" i="13" s="1"/>
  <c r="D197" i="13" s="1"/>
  <c r="V193" i="12"/>
  <c r="C194" i="12" s="1"/>
  <c r="D194" i="12" s="1"/>
  <c r="V193" i="11"/>
  <c r="C194" i="11" s="1"/>
  <c r="D194" i="11" s="1"/>
  <c r="V193" i="10"/>
  <c r="C194" i="10" s="1"/>
  <c r="D194" i="10" s="1"/>
  <c r="C192" i="9"/>
  <c r="D192" i="9" s="1"/>
  <c r="V192" i="9" s="1"/>
  <c r="AA174" i="2"/>
  <c r="V196" i="14" l="1"/>
  <c r="C197" i="14" s="1"/>
  <c r="D197" i="14" s="1"/>
  <c r="V197" i="13"/>
  <c r="C198" i="13" s="1"/>
  <c r="D198" i="13" s="1"/>
  <c r="V194" i="12"/>
  <c r="C195" i="12" s="1"/>
  <c r="D195" i="12" s="1"/>
  <c r="V194" i="11"/>
  <c r="C195" i="11" s="1"/>
  <c r="D195" i="11" s="1"/>
  <c r="V194" i="10"/>
  <c r="C195" i="10" s="1"/>
  <c r="D195" i="10" s="1"/>
  <c r="C193" i="9"/>
  <c r="D193" i="9" s="1"/>
  <c r="V193" i="9" s="1"/>
  <c r="AA175" i="2"/>
  <c r="V197" i="14" l="1"/>
  <c r="C198" i="14" s="1"/>
  <c r="D198" i="14" s="1"/>
  <c r="V198" i="13"/>
  <c r="C199" i="13" s="1"/>
  <c r="D199" i="13"/>
  <c r="V195" i="12"/>
  <c r="C196" i="12" s="1"/>
  <c r="D196" i="12" s="1"/>
  <c r="V195" i="11"/>
  <c r="C196" i="11" s="1"/>
  <c r="D196" i="11" s="1"/>
  <c r="V195" i="10"/>
  <c r="C196" i="10" s="1"/>
  <c r="D196" i="10" s="1"/>
  <c r="C194" i="9"/>
  <c r="D194" i="9" s="1"/>
  <c r="V194" i="9" s="1"/>
  <c r="AA176" i="2"/>
  <c r="V198" i="14" l="1"/>
  <c r="C199" i="14" s="1"/>
  <c r="D199" i="14" s="1"/>
  <c r="D200" i="13"/>
  <c r="V199" i="13"/>
  <c r="C200" i="13" s="1"/>
  <c r="V196" i="12"/>
  <c r="C197" i="12" s="1"/>
  <c r="D197" i="12" s="1"/>
  <c r="V196" i="11"/>
  <c r="C197" i="11" s="1"/>
  <c r="D197" i="11" s="1"/>
  <c r="V196" i="10"/>
  <c r="C197" i="10" s="1"/>
  <c r="D197" i="10" s="1"/>
  <c r="C195" i="9"/>
  <c r="D195" i="9" s="1"/>
  <c r="V195" i="9" s="1"/>
  <c r="AA177" i="2"/>
  <c r="V199" i="14" l="1"/>
  <c r="C200" i="14" s="1"/>
  <c r="D200" i="14" s="1"/>
  <c r="V200" i="13"/>
  <c r="C201" i="13" s="1"/>
  <c r="D201" i="13" s="1"/>
  <c r="V197" i="12"/>
  <c r="C198" i="12" s="1"/>
  <c r="D198" i="12" s="1"/>
  <c r="V197" i="11"/>
  <c r="C198" i="11" s="1"/>
  <c r="D198" i="11" s="1"/>
  <c r="V197" i="10"/>
  <c r="C198" i="10" s="1"/>
  <c r="D198" i="10" s="1"/>
  <c r="C196" i="9"/>
  <c r="D196" i="9" s="1"/>
  <c r="V196" i="9" s="1"/>
  <c r="AA190" i="2"/>
  <c r="V200" i="14" l="1"/>
  <c r="C201" i="14" s="1"/>
  <c r="D201" i="14" s="1"/>
  <c r="V201" i="13"/>
  <c r="C202" i="13" s="1"/>
  <c r="D202" i="13" s="1"/>
  <c r="V198" i="12"/>
  <c r="C199" i="12" s="1"/>
  <c r="D199" i="12" s="1"/>
  <c r="V198" i="11"/>
  <c r="C199" i="11" s="1"/>
  <c r="D199" i="11" s="1"/>
  <c r="V198" i="10"/>
  <c r="C199" i="10" s="1"/>
  <c r="D199" i="10" s="1"/>
  <c r="C197" i="9"/>
  <c r="D197" i="9" s="1"/>
  <c r="V197" i="9" s="1"/>
  <c r="AA191" i="2"/>
  <c r="V201" i="14" l="1"/>
  <c r="C202" i="14" s="1"/>
  <c r="D202" i="14" s="1"/>
  <c r="V202" i="13"/>
  <c r="C203" i="13" s="1"/>
  <c r="D203" i="13" s="1"/>
  <c r="D204" i="13" s="1"/>
  <c r="D205" i="13" s="1"/>
  <c r="D206" i="13" s="1"/>
  <c r="D207" i="13" s="1"/>
  <c r="D208" i="13" s="1"/>
  <c r="D209" i="13" s="1"/>
  <c r="D210" i="13" s="1"/>
  <c r="D211" i="13" s="1"/>
  <c r="D212" i="13" s="1"/>
  <c r="V199" i="12"/>
  <c r="C200" i="12" s="1"/>
  <c r="D200" i="12" s="1"/>
  <c r="V199" i="11"/>
  <c r="C200" i="11" s="1"/>
  <c r="D200" i="11" s="1"/>
  <c r="V199" i="10"/>
  <c r="C200" i="10" s="1"/>
  <c r="D200" i="10" s="1"/>
  <c r="C198" i="9"/>
  <c r="D198" i="9" s="1"/>
  <c r="V198" i="9" s="1"/>
  <c r="AA192" i="2"/>
  <c r="V202" i="14" l="1"/>
  <c r="C203" i="14" s="1"/>
  <c r="D203" i="14" s="1"/>
  <c r="D204" i="14" s="1"/>
  <c r="D205" i="14" s="1"/>
  <c r="D206" i="14" s="1"/>
  <c r="D207" i="14" s="1"/>
  <c r="D208" i="14" s="1"/>
  <c r="D209" i="14" s="1"/>
  <c r="D210" i="14" s="1"/>
  <c r="D211" i="14" s="1"/>
  <c r="D212" i="14" s="1"/>
  <c r="V212" i="13"/>
  <c r="C213" i="13" s="1"/>
  <c r="D213" i="13" s="1"/>
  <c r="V200" i="12"/>
  <c r="C201" i="12" s="1"/>
  <c r="D201" i="12" s="1"/>
  <c r="V200" i="11"/>
  <c r="C201" i="11" s="1"/>
  <c r="D201" i="11" s="1"/>
  <c r="V200" i="10"/>
  <c r="C201" i="10" s="1"/>
  <c r="D201" i="10" s="1"/>
  <c r="C199" i="9"/>
  <c r="D199" i="9" s="1"/>
  <c r="V199" i="9" s="1"/>
  <c r="AA193" i="2"/>
  <c r="V212" i="14" l="1"/>
  <c r="C213" i="14" s="1"/>
  <c r="D213" i="14" s="1"/>
  <c r="V213" i="13"/>
  <c r="C214" i="13" s="1"/>
  <c r="D214" i="13" s="1"/>
  <c r="V201" i="12"/>
  <c r="C202" i="12" s="1"/>
  <c r="D202" i="12" s="1"/>
  <c r="V201" i="11"/>
  <c r="C202" i="11" s="1"/>
  <c r="D202" i="11" s="1"/>
  <c r="V201" i="10"/>
  <c r="C202" i="10" s="1"/>
  <c r="D202" i="10" s="1"/>
  <c r="C200" i="9"/>
  <c r="D200" i="9" s="1"/>
  <c r="V200" i="9" s="1"/>
  <c r="AA194" i="2"/>
  <c r="V213" i="14" l="1"/>
  <c r="C214" i="14" s="1"/>
  <c r="D214" i="14" s="1"/>
  <c r="V214" i="13"/>
  <c r="C215" i="13" s="1"/>
  <c r="D215" i="13" s="1"/>
  <c r="V202" i="12"/>
  <c r="C203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V202" i="11"/>
  <c r="C203" i="11" s="1"/>
  <c r="D203" i="11" s="1"/>
  <c r="D204" i="11" s="1"/>
  <c r="D205" i="11" s="1"/>
  <c r="D206" i="11" s="1"/>
  <c r="D207" i="11" s="1"/>
  <c r="D208" i="11" s="1"/>
  <c r="D209" i="11" s="1"/>
  <c r="D210" i="11" s="1"/>
  <c r="D211" i="11" s="1"/>
  <c r="D212" i="11" s="1"/>
  <c r="V202" i="10"/>
  <c r="C203" i="10" s="1"/>
  <c r="D203" i="10" s="1"/>
  <c r="D204" i="10" s="1"/>
  <c r="D205" i="10" s="1"/>
  <c r="D206" i="10" s="1"/>
  <c r="D207" i="10" s="1"/>
  <c r="D208" i="10" s="1"/>
  <c r="D209" i="10" s="1"/>
  <c r="D210" i="10" s="1"/>
  <c r="D211" i="10" s="1"/>
  <c r="D212" i="10" s="1"/>
  <c r="C201" i="9"/>
  <c r="D201" i="9" s="1"/>
  <c r="V201" i="9" s="1"/>
  <c r="AA195" i="2"/>
  <c r="V214" i="14" l="1"/>
  <c r="C215" i="14" s="1"/>
  <c r="D215" i="14" s="1"/>
  <c r="V215" i="13"/>
  <c r="C216" i="13" s="1"/>
  <c r="D216" i="13" s="1"/>
  <c r="V212" i="12"/>
  <c r="C213" i="12" s="1"/>
  <c r="D213" i="12" s="1"/>
  <c r="V212" i="11"/>
  <c r="C213" i="11" s="1"/>
  <c r="D213" i="11" s="1"/>
  <c r="V212" i="10"/>
  <c r="C213" i="10" s="1"/>
  <c r="D213" i="10" s="1"/>
  <c r="C202" i="9"/>
  <c r="D202" i="9" s="1"/>
  <c r="V202" i="9" s="1"/>
  <c r="AA196" i="2"/>
  <c r="V215" i="14" l="1"/>
  <c r="C216" i="14" s="1"/>
  <c r="D216" i="14" s="1"/>
  <c r="V216" i="13"/>
  <c r="C217" i="13" s="1"/>
  <c r="D217" i="13" s="1"/>
  <c r="V213" i="12"/>
  <c r="C214" i="12" s="1"/>
  <c r="D214" i="12" s="1"/>
  <c r="V213" i="11"/>
  <c r="C214" i="11" s="1"/>
  <c r="D214" i="11" s="1"/>
  <c r="V213" i="10"/>
  <c r="C214" i="10" s="1"/>
  <c r="D214" i="10" s="1"/>
  <c r="C203" i="9"/>
  <c r="D203" i="9" s="1"/>
  <c r="D204" i="9" s="1"/>
  <c r="D205" i="9" s="1"/>
  <c r="D206" i="9" s="1"/>
  <c r="D207" i="9" s="1"/>
  <c r="D208" i="9" s="1"/>
  <c r="D209" i="9" s="1"/>
  <c r="D210" i="9" s="1"/>
  <c r="D211" i="9" s="1"/>
  <c r="D212" i="9" s="1"/>
  <c r="V212" i="9" s="1"/>
  <c r="AA197" i="2"/>
  <c r="V216" i="14" l="1"/>
  <c r="C217" i="14" s="1"/>
  <c r="D217" i="14" s="1"/>
  <c r="V217" i="13"/>
  <c r="C218" i="13" s="1"/>
  <c r="D218" i="13" s="1"/>
  <c r="V214" i="12"/>
  <c r="C215" i="12" s="1"/>
  <c r="D215" i="12" s="1"/>
  <c r="V214" i="11"/>
  <c r="C215" i="11" s="1"/>
  <c r="D215" i="11" s="1"/>
  <c r="V214" i="10"/>
  <c r="C215" i="10" s="1"/>
  <c r="D215" i="10"/>
  <c r="C213" i="9"/>
  <c r="D213" i="9" s="1"/>
  <c r="V213" i="9" s="1"/>
  <c r="AA198" i="2"/>
  <c r="V217" i="14" l="1"/>
  <c r="C218" i="14" s="1"/>
  <c r="D218" i="14" s="1"/>
  <c r="V218" i="13"/>
  <c r="C219" i="13" s="1"/>
  <c r="D219" i="13" s="1"/>
  <c r="V215" i="12"/>
  <c r="C216" i="12" s="1"/>
  <c r="D216" i="12" s="1"/>
  <c r="V215" i="11"/>
  <c r="C216" i="11" s="1"/>
  <c r="D216" i="11" s="1"/>
  <c r="V215" i="10"/>
  <c r="C216" i="10" s="1"/>
  <c r="D216" i="10" s="1"/>
  <c r="C214" i="9"/>
  <c r="D214" i="9" s="1"/>
  <c r="V214" i="9" s="1"/>
  <c r="AA199" i="2"/>
  <c r="V218" i="14" l="1"/>
  <c r="C219" i="14" s="1"/>
  <c r="D219" i="14" s="1"/>
  <c r="V219" i="13"/>
  <c r="C220" i="13" s="1"/>
  <c r="D220" i="13" s="1"/>
  <c r="V216" i="12"/>
  <c r="C217" i="12" s="1"/>
  <c r="D217" i="12" s="1"/>
  <c r="V216" i="11"/>
  <c r="C217" i="11" s="1"/>
  <c r="D217" i="11" s="1"/>
  <c r="V216" i="10"/>
  <c r="C217" i="10" s="1"/>
  <c r="D217" i="10" s="1"/>
  <c r="C215" i="9"/>
  <c r="D215" i="9" s="1"/>
  <c r="V215" i="9" s="1"/>
  <c r="AA200" i="2"/>
  <c r="V219" i="14" l="1"/>
  <c r="C220" i="14" s="1"/>
  <c r="D220" i="14" s="1"/>
  <c r="V220" i="13"/>
  <c r="C221" i="13" s="1"/>
  <c r="D221" i="13" s="1"/>
  <c r="V217" i="12"/>
  <c r="C218" i="12" s="1"/>
  <c r="D218" i="12" s="1"/>
  <c r="V217" i="11"/>
  <c r="C218" i="11" s="1"/>
  <c r="D218" i="11" s="1"/>
  <c r="V217" i="10"/>
  <c r="C218" i="10" s="1"/>
  <c r="D218" i="10" s="1"/>
  <c r="C216" i="9"/>
  <c r="D216" i="9" s="1"/>
  <c r="V216" i="9" s="1"/>
  <c r="AA201" i="2"/>
  <c r="V220" i="14" l="1"/>
  <c r="C221" i="14" s="1"/>
  <c r="D221" i="14" s="1"/>
  <c r="V221" i="13"/>
  <c r="C222" i="13" s="1"/>
  <c r="D222" i="13" s="1"/>
  <c r="V218" i="12"/>
  <c r="C219" i="12" s="1"/>
  <c r="D219" i="12" s="1"/>
  <c r="V218" i="11"/>
  <c r="C219" i="11" s="1"/>
  <c r="D219" i="11" s="1"/>
  <c r="V218" i="10"/>
  <c r="C219" i="10" s="1"/>
  <c r="D219" i="10" s="1"/>
  <c r="C217" i="9"/>
  <c r="D217" i="9" s="1"/>
  <c r="V217" i="9" s="1"/>
  <c r="AA202" i="2"/>
  <c r="V221" i="14" l="1"/>
  <c r="C222" i="14" s="1"/>
  <c r="D222" i="14" s="1"/>
  <c r="V222" i="13"/>
  <c r="C223" i="13" s="1"/>
  <c r="D223" i="13" s="1"/>
  <c r="V219" i="12"/>
  <c r="C220" i="12" s="1"/>
  <c r="D220" i="12" s="1"/>
  <c r="V219" i="11"/>
  <c r="C220" i="11" s="1"/>
  <c r="D220" i="11" s="1"/>
  <c r="V219" i="10"/>
  <c r="C220" i="10" s="1"/>
  <c r="D220" i="10" s="1"/>
  <c r="C218" i="9"/>
  <c r="D218" i="9" s="1"/>
  <c r="V218" i="9" s="1"/>
  <c r="AA212" i="2"/>
  <c r="V222" i="14" l="1"/>
  <c r="C223" i="14" s="1"/>
  <c r="D223" i="14" s="1"/>
  <c r="V223" i="13"/>
  <c r="C224" i="13" s="1"/>
  <c r="D224" i="13" s="1"/>
  <c r="V220" i="12"/>
  <c r="C221" i="12" s="1"/>
  <c r="D221" i="12" s="1"/>
  <c r="V220" i="11"/>
  <c r="C221" i="11" s="1"/>
  <c r="D221" i="11"/>
  <c r="V220" i="10"/>
  <c r="C221" i="10" s="1"/>
  <c r="D221" i="10" s="1"/>
  <c r="C219" i="9"/>
  <c r="D219" i="9" s="1"/>
  <c r="V219" i="9" s="1"/>
  <c r="AA213" i="2"/>
  <c r="V223" i="14" l="1"/>
  <c r="C224" i="14" s="1"/>
  <c r="D224" i="14" s="1"/>
  <c r="V224" i="13"/>
  <c r="C225" i="13" s="1"/>
  <c r="D225" i="13" s="1"/>
  <c r="V221" i="12"/>
  <c r="C222" i="12" s="1"/>
  <c r="D222" i="12" s="1"/>
  <c r="V221" i="11"/>
  <c r="C222" i="11" s="1"/>
  <c r="D222" i="11" s="1"/>
  <c r="V221" i="10"/>
  <c r="C222" i="10" s="1"/>
  <c r="D222" i="10" s="1"/>
  <c r="C220" i="9"/>
  <c r="D220" i="9" s="1"/>
  <c r="V220" i="9" s="1"/>
  <c r="AA214" i="2"/>
  <c r="V224" i="14" l="1"/>
  <c r="C225" i="14" s="1"/>
  <c r="D225" i="14" s="1"/>
  <c r="V225" i="13"/>
  <c r="C226" i="13" s="1"/>
  <c r="D226" i="13" s="1"/>
  <c r="V222" i="12"/>
  <c r="C223" i="12" s="1"/>
  <c r="D223" i="12" s="1"/>
  <c r="V222" i="11"/>
  <c r="C223" i="11" s="1"/>
  <c r="D223" i="11" s="1"/>
  <c r="V222" i="10"/>
  <c r="C223" i="10" s="1"/>
  <c r="D223" i="10" s="1"/>
  <c r="C221" i="9"/>
  <c r="D221" i="9" s="1"/>
  <c r="V221" i="9" s="1"/>
  <c r="AA215" i="2"/>
  <c r="V225" i="14" l="1"/>
  <c r="C226" i="14" s="1"/>
  <c r="D226" i="14" s="1"/>
  <c r="V226" i="13"/>
  <c r="C227" i="13" s="1"/>
  <c r="D227" i="13" s="1"/>
  <c r="D228" i="13" s="1"/>
  <c r="D229" i="13" s="1"/>
  <c r="D230" i="13" s="1"/>
  <c r="D231" i="13" s="1"/>
  <c r="D232" i="13" s="1"/>
  <c r="D233" i="13" s="1"/>
  <c r="D234" i="13" s="1"/>
  <c r="D235" i="13" s="1"/>
  <c r="V223" i="12"/>
  <c r="C224" i="12" s="1"/>
  <c r="D224" i="12" s="1"/>
  <c r="V223" i="11"/>
  <c r="C224" i="11" s="1"/>
  <c r="D224" i="11" s="1"/>
  <c r="V223" i="10"/>
  <c r="C224" i="10" s="1"/>
  <c r="D224" i="10" s="1"/>
  <c r="C222" i="9"/>
  <c r="D222" i="9" s="1"/>
  <c r="V222" i="9" s="1"/>
  <c r="AA216" i="2"/>
  <c r="V226" i="14" l="1"/>
  <c r="C227" i="14" s="1"/>
  <c r="D227" i="14" s="1"/>
  <c r="D228" i="14" s="1"/>
  <c r="D229" i="14" s="1"/>
  <c r="D230" i="14" s="1"/>
  <c r="D231" i="14" s="1"/>
  <c r="D232" i="14" s="1"/>
  <c r="D233" i="14" s="1"/>
  <c r="D234" i="14" s="1"/>
  <c r="D235" i="14" s="1"/>
  <c r="V235" i="13"/>
  <c r="C236" i="13" s="1"/>
  <c r="D236" i="13" s="1"/>
  <c r="V224" i="12"/>
  <c r="C225" i="12" s="1"/>
  <c r="D225" i="12" s="1"/>
  <c r="V224" i="11"/>
  <c r="C225" i="11" s="1"/>
  <c r="D225" i="11" s="1"/>
  <c r="V224" i="10"/>
  <c r="C225" i="10" s="1"/>
  <c r="D225" i="10" s="1"/>
  <c r="C223" i="9"/>
  <c r="D223" i="9" s="1"/>
  <c r="V223" i="9" s="1"/>
  <c r="AA217" i="2"/>
  <c r="V235" i="14" l="1"/>
  <c r="C236" i="14" s="1"/>
  <c r="D236" i="14" s="1"/>
  <c r="V236" i="13"/>
  <c r="C237" i="13" s="1"/>
  <c r="D237" i="13" s="1"/>
  <c r="V225" i="12"/>
  <c r="C226" i="12" s="1"/>
  <c r="D226" i="12" s="1"/>
  <c r="V225" i="11"/>
  <c r="C226" i="11" s="1"/>
  <c r="D226" i="11" s="1"/>
  <c r="V225" i="10"/>
  <c r="C226" i="10" s="1"/>
  <c r="D226" i="10" s="1"/>
  <c r="C224" i="9"/>
  <c r="D224" i="9" s="1"/>
  <c r="V224" i="9" s="1"/>
  <c r="AA218" i="2"/>
  <c r="V236" i="14" l="1"/>
  <c r="C237" i="14" s="1"/>
  <c r="D237" i="14" s="1"/>
  <c r="V237" i="13"/>
  <c r="C238" i="13" s="1"/>
  <c r="D238" i="13" s="1"/>
  <c r="V226" i="12"/>
  <c r="C227" i="12" s="1"/>
  <c r="D227" i="12" s="1"/>
  <c r="D228" i="12" s="1"/>
  <c r="D229" i="12" s="1"/>
  <c r="D230" i="12" s="1"/>
  <c r="D231" i="12" s="1"/>
  <c r="D232" i="12" s="1"/>
  <c r="D233" i="12" s="1"/>
  <c r="D234" i="12" s="1"/>
  <c r="D235" i="12" s="1"/>
  <c r="V226" i="11"/>
  <c r="C227" i="11" s="1"/>
  <c r="D227" i="11" s="1"/>
  <c r="D228" i="11" s="1"/>
  <c r="D229" i="11" s="1"/>
  <c r="D230" i="11" s="1"/>
  <c r="D231" i="11" s="1"/>
  <c r="D232" i="11" s="1"/>
  <c r="D233" i="11" s="1"/>
  <c r="D234" i="11" s="1"/>
  <c r="D235" i="11" s="1"/>
  <c r="V226" i="10"/>
  <c r="C227" i="10" s="1"/>
  <c r="D227" i="10"/>
  <c r="D228" i="10" s="1"/>
  <c r="D229" i="10" s="1"/>
  <c r="D230" i="10" s="1"/>
  <c r="D231" i="10" s="1"/>
  <c r="D232" i="10" s="1"/>
  <c r="D233" i="10" s="1"/>
  <c r="D234" i="10" s="1"/>
  <c r="D235" i="10" s="1"/>
  <c r="C225" i="9"/>
  <c r="D225" i="9" s="1"/>
  <c r="V225" i="9" s="1"/>
  <c r="AA219" i="2"/>
  <c r="V237" i="14" l="1"/>
  <c r="C238" i="14" s="1"/>
  <c r="D238" i="14" s="1"/>
  <c r="V238" i="13"/>
  <c r="C239" i="13" s="1"/>
  <c r="D239" i="13" s="1"/>
  <c r="V235" i="12"/>
  <c r="C236" i="12" s="1"/>
  <c r="D236" i="12" s="1"/>
  <c r="V235" i="11"/>
  <c r="C236" i="11" s="1"/>
  <c r="D236" i="11" s="1"/>
  <c r="V235" i="10"/>
  <c r="C236" i="10" s="1"/>
  <c r="D236" i="10" s="1"/>
  <c r="C226" i="9"/>
  <c r="D226" i="9" s="1"/>
  <c r="V226" i="9" s="1"/>
  <c r="AA220" i="2"/>
  <c r="V238" i="14" l="1"/>
  <c r="C239" i="14" s="1"/>
  <c r="D239" i="14" s="1"/>
  <c r="V239" i="13"/>
  <c r="C240" i="13" s="1"/>
  <c r="D240" i="13" s="1"/>
  <c r="V236" i="12"/>
  <c r="C237" i="12" s="1"/>
  <c r="D237" i="12" s="1"/>
  <c r="V236" i="11"/>
  <c r="C237" i="11" s="1"/>
  <c r="D237" i="11" s="1"/>
  <c r="V236" i="10"/>
  <c r="C237" i="10" s="1"/>
  <c r="D237" i="10" s="1"/>
  <c r="C227" i="9"/>
  <c r="D227" i="9" s="1"/>
  <c r="D228" i="9" s="1"/>
  <c r="D229" i="9" s="1"/>
  <c r="D230" i="9" s="1"/>
  <c r="D231" i="9" s="1"/>
  <c r="D232" i="9" s="1"/>
  <c r="D233" i="9" s="1"/>
  <c r="D234" i="9" s="1"/>
  <c r="D235" i="9" s="1"/>
  <c r="V235" i="9" s="1"/>
  <c r="AA221" i="2"/>
  <c r="V239" i="14" l="1"/>
  <c r="C240" i="14" s="1"/>
  <c r="D240" i="14" s="1"/>
  <c r="V240" i="13"/>
  <c r="C241" i="13" s="1"/>
  <c r="D241" i="13" s="1"/>
  <c r="V237" i="12"/>
  <c r="C238" i="12" s="1"/>
  <c r="D238" i="12" s="1"/>
  <c r="V237" i="11"/>
  <c r="C238" i="11" s="1"/>
  <c r="D238" i="11" s="1"/>
  <c r="V237" i="10"/>
  <c r="C238" i="10" s="1"/>
  <c r="D238" i="10" s="1"/>
  <c r="C236" i="9"/>
  <c r="D236" i="9" s="1"/>
  <c r="V236" i="9" s="1"/>
  <c r="AA222" i="2"/>
  <c r="V240" i="14" l="1"/>
  <c r="C241" i="14" s="1"/>
  <c r="D241" i="14" s="1"/>
  <c r="V241" i="13"/>
  <c r="C242" i="13" s="1"/>
  <c r="D242" i="13" s="1"/>
  <c r="V238" i="12"/>
  <c r="C239" i="12" s="1"/>
  <c r="D239" i="12" s="1"/>
  <c r="V238" i="11"/>
  <c r="C239" i="11" s="1"/>
  <c r="D239" i="11" s="1"/>
  <c r="V238" i="10"/>
  <c r="C239" i="10" s="1"/>
  <c r="D239" i="10" s="1"/>
  <c r="C237" i="9"/>
  <c r="D237" i="9" s="1"/>
  <c r="V237" i="9" s="1"/>
  <c r="AA223" i="2"/>
  <c r="V241" i="14" l="1"/>
  <c r="C242" i="14" s="1"/>
  <c r="D242" i="14" s="1"/>
  <c r="V242" i="13"/>
  <c r="C243" i="13" s="1"/>
  <c r="D243" i="13" s="1"/>
  <c r="V239" i="12"/>
  <c r="C240" i="12" s="1"/>
  <c r="D240" i="12" s="1"/>
  <c r="V239" i="11"/>
  <c r="C240" i="11" s="1"/>
  <c r="D240" i="11" s="1"/>
  <c r="V239" i="10"/>
  <c r="C240" i="10" s="1"/>
  <c r="D240" i="10" s="1"/>
  <c r="C238" i="9"/>
  <c r="D238" i="9" s="1"/>
  <c r="V238" i="9" s="1"/>
  <c r="AA224" i="2"/>
  <c r="V242" i="14" l="1"/>
  <c r="C243" i="14" s="1"/>
  <c r="D243" i="14" s="1"/>
  <c r="V243" i="13"/>
  <c r="C244" i="13" s="1"/>
  <c r="D244" i="13" s="1"/>
  <c r="V240" i="12"/>
  <c r="C241" i="12" s="1"/>
  <c r="D241" i="12" s="1"/>
  <c r="V240" i="11"/>
  <c r="C241" i="11" s="1"/>
  <c r="D241" i="11" s="1"/>
  <c r="V240" i="10"/>
  <c r="C241" i="10" s="1"/>
  <c r="D241" i="10" s="1"/>
  <c r="C239" i="9"/>
  <c r="D239" i="9" s="1"/>
  <c r="V239" i="9" s="1"/>
  <c r="AA225" i="2"/>
  <c r="V243" i="14" l="1"/>
  <c r="C244" i="14" s="1"/>
  <c r="D244" i="14" s="1"/>
  <c r="V244" i="13"/>
  <c r="C245" i="13" s="1"/>
  <c r="D245" i="13" s="1"/>
  <c r="V241" i="12"/>
  <c r="C242" i="12" s="1"/>
  <c r="D242" i="12" s="1"/>
  <c r="V241" i="11"/>
  <c r="C242" i="11" s="1"/>
  <c r="D242" i="11" s="1"/>
  <c r="V241" i="10"/>
  <c r="C242" i="10" s="1"/>
  <c r="D242" i="10" s="1"/>
  <c r="C240" i="9"/>
  <c r="D240" i="9" s="1"/>
  <c r="V240" i="9" s="1"/>
  <c r="AA226" i="2"/>
  <c r="V244" i="14" l="1"/>
  <c r="C245" i="14" s="1"/>
  <c r="D245" i="14" s="1"/>
  <c r="V245" i="13"/>
  <c r="C246" i="13" s="1"/>
  <c r="D246" i="13" s="1"/>
  <c r="V242" i="12"/>
  <c r="C243" i="12" s="1"/>
  <c r="D243" i="12" s="1"/>
  <c r="V242" i="11"/>
  <c r="C243" i="11" s="1"/>
  <c r="D243" i="11" s="1"/>
  <c r="V242" i="10"/>
  <c r="C243" i="10" s="1"/>
  <c r="D243" i="10" s="1"/>
  <c r="C241" i="9"/>
  <c r="D241" i="9" s="1"/>
  <c r="V241" i="9" s="1"/>
  <c r="AA235" i="2"/>
  <c r="V245" i="14" l="1"/>
  <c r="C246" i="14" s="1"/>
  <c r="D246" i="14" s="1"/>
  <c r="V246" i="13"/>
  <c r="C247" i="13" s="1"/>
  <c r="D247" i="13" s="1"/>
  <c r="V243" i="12"/>
  <c r="C244" i="12" s="1"/>
  <c r="D244" i="12" s="1"/>
  <c r="V243" i="11"/>
  <c r="C244" i="11" s="1"/>
  <c r="D244" i="11" s="1"/>
  <c r="V243" i="10"/>
  <c r="C244" i="10" s="1"/>
  <c r="D244" i="10" s="1"/>
  <c r="C242" i="9"/>
  <c r="D242" i="9" s="1"/>
  <c r="V242" i="9" s="1"/>
  <c r="AA236" i="2"/>
  <c r="V246" i="14" l="1"/>
  <c r="C247" i="14" s="1"/>
  <c r="D247" i="14" s="1"/>
  <c r="V247" i="13"/>
  <c r="C248" i="13" s="1"/>
  <c r="D248" i="13" s="1"/>
  <c r="V244" i="12"/>
  <c r="C245" i="12" s="1"/>
  <c r="D245" i="12" s="1"/>
  <c r="V244" i="11"/>
  <c r="C245" i="11" s="1"/>
  <c r="D245" i="11" s="1"/>
  <c r="V244" i="10"/>
  <c r="C245" i="10" s="1"/>
  <c r="D245" i="10" s="1"/>
  <c r="C243" i="9"/>
  <c r="D243" i="9" s="1"/>
  <c r="V243" i="9" s="1"/>
  <c r="AA237" i="2"/>
  <c r="V247" i="14" l="1"/>
  <c r="C248" i="14" s="1"/>
  <c r="D248" i="14" s="1"/>
  <c r="V248" i="13"/>
  <c r="C249" i="13" s="1"/>
  <c r="D249" i="13" s="1"/>
  <c r="V245" i="12"/>
  <c r="C246" i="12" s="1"/>
  <c r="D246" i="12"/>
  <c r="V245" i="11"/>
  <c r="C246" i="11" s="1"/>
  <c r="D246" i="11" s="1"/>
  <c r="V245" i="10"/>
  <c r="C246" i="10" s="1"/>
  <c r="D246" i="10" s="1"/>
  <c r="C244" i="9"/>
  <c r="D244" i="9" s="1"/>
  <c r="V244" i="9" s="1"/>
  <c r="AA238" i="2"/>
  <c r="V248" i="14" l="1"/>
  <c r="C249" i="14" s="1"/>
  <c r="D249" i="14" s="1"/>
  <c r="V249" i="13"/>
  <c r="C250" i="13" s="1"/>
  <c r="D250" i="13" s="1"/>
  <c r="V246" i="12"/>
  <c r="C247" i="12" s="1"/>
  <c r="D247" i="12" s="1"/>
  <c r="V246" i="11"/>
  <c r="C247" i="11" s="1"/>
  <c r="D247" i="11" s="1"/>
  <c r="V246" i="10"/>
  <c r="C247" i="10" s="1"/>
  <c r="D247" i="10" s="1"/>
  <c r="C245" i="9"/>
  <c r="D245" i="9" s="1"/>
  <c r="V245" i="9" s="1"/>
  <c r="AA239" i="2"/>
  <c r="V249" i="14" l="1"/>
  <c r="C250" i="14" s="1"/>
  <c r="D250" i="14" s="1"/>
  <c r="V250" i="13"/>
  <c r="C251" i="13" s="1"/>
  <c r="D251" i="13" s="1"/>
  <c r="V247" i="12"/>
  <c r="C248" i="12" s="1"/>
  <c r="D248" i="12" s="1"/>
  <c r="V247" i="11"/>
  <c r="C248" i="11" s="1"/>
  <c r="D248" i="11" s="1"/>
  <c r="V247" i="10"/>
  <c r="C248" i="10" s="1"/>
  <c r="D248" i="10" s="1"/>
  <c r="C246" i="9"/>
  <c r="D246" i="9" s="1"/>
  <c r="V246" i="9" s="1"/>
  <c r="AA240" i="2"/>
  <c r="V250" i="14" l="1"/>
  <c r="C251" i="14" s="1"/>
  <c r="D251" i="14" s="1"/>
  <c r="V251" i="13"/>
  <c r="C252" i="13" s="1"/>
  <c r="D252" i="13" s="1"/>
  <c r="D253" i="13" s="1"/>
  <c r="D254" i="13" s="1"/>
  <c r="D255" i="13" s="1"/>
  <c r="D256" i="13" s="1"/>
  <c r="D257" i="13" s="1"/>
  <c r="D258" i="13" s="1"/>
  <c r="V248" i="12"/>
  <c r="C249" i="12" s="1"/>
  <c r="D249" i="12" s="1"/>
  <c r="V248" i="11"/>
  <c r="C249" i="11" s="1"/>
  <c r="D249" i="11" s="1"/>
  <c r="V248" i="10"/>
  <c r="C249" i="10" s="1"/>
  <c r="D249" i="10" s="1"/>
  <c r="C247" i="9"/>
  <c r="D247" i="9" s="1"/>
  <c r="V247" i="9" s="1"/>
  <c r="AA241" i="2"/>
  <c r="V251" i="14" l="1"/>
  <c r="C252" i="14" s="1"/>
  <c r="D252" i="14" s="1"/>
  <c r="D253" i="14" s="1"/>
  <c r="D254" i="14" s="1"/>
  <c r="D255" i="14" s="1"/>
  <c r="D256" i="14" s="1"/>
  <c r="D257" i="14" s="1"/>
  <c r="D258" i="14" s="1"/>
  <c r="V258" i="13"/>
  <c r="C259" i="13" s="1"/>
  <c r="D259" i="13" s="1"/>
  <c r="V249" i="12"/>
  <c r="C250" i="12" s="1"/>
  <c r="D250" i="12" s="1"/>
  <c r="V249" i="11"/>
  <c r="C250" i="11" s="1"/>
  <c r="D250" i="11" s="1"/>
  <c r="V249" i="10"/>
  <c r="C250" i="10" s="1"/>
  <c r="D250" i="10" s="1"/>
  <c r="C248" i="9"/>
  <c r="D248" i="9" s="1"/>
  <c r="V248" i="9" s="1"/>
  <c r="AA242" i="2"/>
  <c r="V258" i="14" l="1"/>
  <c r="C259" i="14" s="1"/>
  <c r="D259" i="14" s="1"/>
  <c r="V259" i="13"/>
  <c r="C260" i="13" s="1"/>
  <c r="D260" i="13" s="1"/>
  <c r="V250" i="12"/>
  <c r="C251" i="12" s="1"/>
  <c r="D251" i="12" s="1"/>
  <c r="V250" i="11"/>
  <c r="C251" i="11" s="1"/>
  <c r="D251" i="11" s="1"/>
  <c r="V250" i="10"/>
  <c r="C251" i="10" s="1"/>
  <c r="D251" i="10" s="1"/>
  <c r="C249" i="9"/>
  <c r="D249" i="9" s="1"/>
  <c r="V249" i="9" s="1"/>
  <c r="AA243" i="2"/>
  <c r="V259" i="14" l="1"/>
  <c r="C260" i="14" s="1"/>
  <c r="D260" i="14" s="1"/>
  <c r="V260" i="13"/>
  <c r="C261" i="13" s="1"/>
  <c r="D261" i="13" s="1"/>
  <c r="V251" i="12"/>
  <c r="C252" i="12" s="1"/>
  <c r="D252" i="12" s="1"/>
  <c r="D253" i="12" s="1"/>
  <c r="D254" i="12" s="1"/>
  <c r="D255" i="12" s="1"/>
  <c r="D256" i="12" s="1"/>
  <c r="D257" i="12" s="1"/>
  <c r="D258" i="12" s="1"/>
  <c r="V251" i="11"/>
  <c r="C252" i="11" s="1"/>
  <c r="D252" i="11" s="1"/>
  <c r="D253" i="11" s="1"/>
  <c r="D254" i="11" s="1"/>
  <c r="D255" i="11" s="1"/>
  <c r="D256" i="11" s="1"/>
  <c r="D257" i="11" s="1"/>
  <c r="D258" i="11" s="1"/>
  <c r="V251" i="10"/>
  <c r="C252" i="10" s="1"/>
  <c r="D252" i="10" s="1"/>
  <c r="D253" i="10" s="1"/>
  <c r="D254" i="10" s="1"/>
  <c r="D255" i="10" s="1"/>
  <c r="D256" i="10" s="1"/>
  <c r="D257" i="10" s="1"/>
  <c r="D258" i="10" s="1"/>
  <c r="C250" i="9"/>
  <c r="D250" i="9" s="1"/>
  <c r="V250" i="9" s="1"/>
  <c r="AA244" i="2"/>
  <c r="V260" i="14" l="1"/>
  <c r="C261" i="14" s="1"/>
  <c r="D261" i="14" s="1"/>
  <c r="V261" i="13"/>
  <c r="C262" i="13" s="1"/>
  <c r="D262" i="13"/>
  <c r="V258" i="12"/>
  <c r="C259" i="12" s="1"/>
  <c r="D259" i="12" s="1"/>
  <c r="V258" i="11"/>
  <c r="C259" i="11" s="1"/>
  <c r="D259" i="11" s="1"/>
  <c r="V258" i="10"/>
  <c r="C259" i="10" s="1"/>
  <c r="D259" i="10" s="1"/>
  <c r="C251" i="9"/>
  <c r="D251" i="9" s="1"/>
  <c r="V251" i="9" s="1"/>
  <c r="AA245" i="2"/>
  <c r="V261" i="14" l="1"/>
  <c r="C262" i="14" s="1"/>
  <c r="D262" i="14" s="1"/>
  <c r="V262" i="13"/>
  <c r="C263" i="13" s="1"/>
  <c r="D263" i="13" s="1"/>
  <c r="V259" i="12"/>
  <c r="C260" i="12" s="1"/>
  <c r="D260" i="12" s="1"/>
  <c r="V259" i="11"/>
  <c r="C260" i="11" s="1"/>
  <c r="D260" i="11" s="1"/>
  <c r="V259" i="10"/>
  <c r="C260" i="10" s="1"/>
  <c r="D260" i="10" s="1"/>
  <c r="C252" i="9"/>
  <c r="D252" i="9" s="1"/>
  <c r="D253" i="9" s="1"/>
  <c r="D254" i="9" s="1"/>
  <c r="D255" i="9" s="1"/>
  <c r="D256" i="9" s="1"/>
  <c r="D257" i="9" s="1"/>
  <c r="D258" i="9" s="1"/>
  <c r="V258" i="9" s="1"/>
  <c r="AA246" i="2"/>
  <c r="V262" i="14" l="1"/>
  <c r="C263" i="14" s="1"/>
  <c r="D263" i="14" s="1"/>
  <c r="V263" i="13"/>
  <c r="C264" i="13" s="1"/>
  <c r="D264" i="13" s="1"/>
  <c r="V260" i="12"/>
  <c r="C261" i="12" s="1"/>
  <c r="D261" i="12" s="1"/>
  <c r="V260" i="11"/>
  <c r="C261" i="11" s="1"/>
  <c r="D261" i="11" s="1"/>
  <c r="V260" i="10"/>
  <c r="C261" i="10" s="1"/>
  <c r="D261" i="10" s="1"/>
  <c r="C259" i="9"/>
  <c r="D259" i="9" s="1"/>
  <c r="V259" i="9" s="1"/>
  <c r="AA247" i="2"/>
  <c r="V263" i="14" l="1"/>
  <c r="C264" i="14" s="1"/>
  <c r="D264" i="14" s="1"/>
  <c r="V264" i="13"/>
  <c r="C265" i="13" s="1"/>
  <c r="D265" i="13" s="1"/>
  <c r="V261" i="12"/>
  <c r="C262" i="12" s="1"/>
  <c r="D262" i="12" s="1"/>
  <c r="V261" i="11"/>
  <c r="C262" i="11" s="1"/>
  <c r="D262" i="11" s="1"/>
  <c r="V261" i="10"/>
  <c r="C262" i="10" s="1"/>
  <c r="D262" i="10" s="1"/>
  <c r="C260" i="9"/>
  <c r="D260" i="9" s="1"/>
  <c r="V260" i="9" s="1"/>
  <c r="AA248" i="2"/>
  <c r="V264" i="14" l="1"/>
  <c r="C265" i="14" s="1"/>
  <c r="D265" i="14" s="1"/>
  <c r="V265" i="13"/>
  <c r="C266" i="13" s="1"/>
  <c r="D266" i="13" s="1"/>
  <c r="V262" i="12"/>
  <c r="C263" i="12" s="1"/>
  <c r="D263" i="12" s="1"/>
  <c r="V262" i="11"/>
  <c r="C263" i="11" s="1"/>
  <c r="D263" i="11" s="1"/>
  <c r="V262" i="10"/>
  <c r="C263" i="10" s="1"/>
  <c r="D263" i="10" s="1"/>
  <c r="C261" i="9"/>
  <c r="D261" i="9" s="1"/>
  <c r="V261" i="9" s="1"/>
  <c r="AA249" i="2"/>
  <c r="V265" i="14" l="1"/>
  <c r="C266" i="14" s="1"/>
  <c r="D266" i="14" s="1"/>
  <c r="V266" i="13"/>
  <c r="C267" i="13" s="1"/>
  <c r="D267" i="13" s="1"/>
  <c r="V263" i="12"/>
  <c r="C264" i="12" s="1"/>
  <c r="D264" i="12" s="1"/>
  <c r="V263" i="11"/>
  <c r="C264" i="11" s="1"/>
  <c r="D264" i="11" s="1"/>
  <c r="V263" i="10"/>
  <c r="C264" i="10" s="1"/>
  <c r="D264" i="10" s="1"/>
  <c r="C262" i="9"/>
  <c r="D262" i="9" s="1"/>
  <c r="V262" i="9" s="1"/>
  <c r="AA250" i="2"/>
  <c r="V266" i="14" l="1"/>
  <c r="C267" i="14" s="1"/>
  <c r="D267" i="14" s="1"/>
  <c r="V267" i="13"/>
  <c r="C268" i="13" s="1"/>
  <c r="D268" i="13" s="1"/>
  <c r="V264" i="12"/>
  <c r="C265" i="12" s="1"/>
  <c r="D265" i="12" s="1"/>
  <c r="V264" i="11"/>
  <c r="C265" i="11" s="1"/>
  <c r="D265" i="11" s="1"/>
  <c r="V264" i="10"/>
  <c r="C265" i="10" s="1"/>
  <c r="D265" i="10" s="1"/>
  <c r="C263" i="9"/>
  <c r="D263" i="9" s="1"/>
  <c r="V263" i="9" s="1"/>
  <c r="AA251" i="2"/>
  <c r="V267" i="14" l="1"/>
  <c r="C268" i="14" s="1"/>
  <c r="D268" i="14" s="1"/>
  <c r="V268" i="13"/>
  <c r="C269" i="13" s="1"/>
  <c r="D269" i="13" s="1"/>
  <c r="V265" i="12"/>
  <c r="C266" i="12" s="1"/>
  <c r="D266" i="12" s="1"/>
  <c r="V265" i="11"/>
  <c r="C266" i="11" s="1"/>
  <c r="D266" i="11" s="1"/>
  <c r="V265" i="10"/>
  <c r="C266" i="10" s="1"/>
  <c r="D266" i="10" s="1"/>
  <c r="C264" i="9"/>
  <c r="D264" i="9" s="1"/>
  <c r="V264" i="9" s="1"/>
  <c r="AA258" i="2"/>
  <c r="V268" i="14" l="1"/>
  <c r="C269" i="14" s="1"/>
  <c r="D269" i="14" s="1"/>
  <c r="V269" i="13"/>
  <c r="C270" i="13" s="1"/>
  <c r="D270" i="13" s="1"/>
  <c r="V266" i="12"/>
  <c r="C267" i="12" s="1"/>
  <c r="D267" i="12" s="1"/>
  <c r="V266" i="11"/>
  <c r="C267" i="11" s="1"/>
  <c r="D267" i="11" s="1"/>
  <c r="V266" i="10"/>
  <c r="C267" i="10" s="1"/>
  <c r="D267" i="10" s="1"/>
  <c r="C265" i="9"/>
  <c r="D265" i="9" s="1"/>
  <c r="V265" i="9" s="1"/>
  <c r="AA259" i="2"/>
  <c r="V269" i="14" l="1"/>
  <c r="C270" i="14" s="1"/>
  <c r="D270" i="14" s="1"/>
  <c r="V270" i="13"/>
  <c r="C271" i="13" s="1"/>
  <c r="D271" i="13" s="1"/>
  <c r="V267" i="12"/>
  <c r="C268" i="12" s="1"/>
  <c r="D268" i="12" s="1"/>
  <c r="V267" i="11"/>
  <c r="C268" i="11" s="1"/>
  <c r="D268" i="11" s="1"/>
  <c r="V267" i="10"/>
  <c r="C268" i="10" s="1"/>
  <c r="D268" i="10" s="1"/>
  <c r="C266" i="9"/>
  <c r="D266" i="9" s="1"/>
  <c r="V266" i="9" s="1"/>
  <c r="AA260" i="2"/>
  <c r="V270" i="14" l="1"/>
  <c r="C271" i="14" s="1"/>
  <c r="D271" i="14" s="1"/>
  <c r="V271" i="13"/>
  <c r="C272" i="13" s="1"/>
  <c r="D272" i="13" s="1"/>
  <c r="V268" i="12"/>
  <c r="C269" i="12" s="1"/>
  <c r="D269" i="12" s="1"/>
  <c r="V268" i="11"/>
  <c r="C269" i="11" s="1"/>
  <c r="D269" i="11" s="1"/>
  <c r="V268" i="10"/>
  <c r="C269" i="10" s="1"/>
  <c r="D269" i="10" s="1"/>
  <c r="C267" i="9"/>
  <c r="D267" i="9" s="1"/>
  <c r="V267" i="9" s="1"/>
  <c r="AA261" i="2"/>
  <c r="V271" i="14" l="1"/>
  <c r="C272" i="14" s="1"/>
  <c r="D272" i="14" s="1"/>
  <c r="V272" i="13"/>
  <c r="C273" i="13" s="1"/>
  <c r="D273" i="13" s="1"/>
  <c r="V269" i="12"/>
  <c r="C270" i="12" s="1"/>
  <c r="D270" i="12" s="1"/>
  <c r="V269" i="11"/>
  <c r="C270" i="11" s="1"/>
  <c r="D270" i="11" s="1"/>
  <c r="V269" i="10"/>
  <c r="C270" i="10" s="1"/>
  <c r="D270" i="10" s="1"/>
  <c r="C268" i="9"/>
  <c r="D268" i="9" s="1"/>
  <c r="V268" i="9" s="1"/>
  <c r="AA262" i="2"/>
  <c r="V272" i="14" l="1"/>
  <c r="C273" i="14" s="1"/>
  <c r="D273" i="14" s="1"/>
  <c r="V273" i="13"/>
  <c r="C274" i="13" s="1"/>
  <c r="D274" i="13"/>
  <c r="V270" i="12"/>
  <c r="C271" i="12" s="1"/>
  <c r="D271" i="12" s="1"/>
  <c r="V270" i="11"/>
  <c r="C271" i="11" s="1"/>
  <c r="D271" i="11" s="1"/>
  <c r="V270" i="10"/>
  <c r="C271" i="10" s="1"/>
  <c r="D271" i="10" s="1"/>
  <c r="C269" i="9"/>
  <c r="D269" i="9" s="1"/>
  <c r="V269" i="9" s="1"/>
  <c r="AA263" i="2"/>
  <c r="V273" i="14" l="1"/>
  <c r="C274" i="14" s="1"/>
  <c r="D274" i="14" s="1"/>
  <c r="V274" i="13"/>
  <c r="C275" i="13" s="1"/>
  <c r="D275" i="13" s="1"/>
  <c r="V271" i="12"/>
  <c r="C272" i="12" s="1"/>
  <c r="D272" i="12" s="1"/>
  <c r="V271" i="11"/>
  <c r="C272" i="11" s="1"/>
  <c r="D272" i="11" s="1"/>
  <c r="V271" i="10"/>
  <c r="C272" i="10" s="1"/>
  <c r="D272" i="10" s="1"/>
  <c r="C270" i="9"/>
  <c r="D270" i="9" s="1"/>
  <c r="V270" i="9" s="1"/>
  <c r="AA264" i="2"/>
  <c r="V274" i="14" l="1"/>
  <c r="C275" i="14" s="1"/>
  <c r="D275" i="14" s="1"/>
  <c r="V275" i="13"/>
  <c r="C276" i="13" s="1"/>
  <c r="D276" i="13" s="1"/>
  <c r="D277" i="13" s="1"/>
  <c r="D278" i="13" s="1"/>
  <c r="D279" i="13" s="1"/>
  <c r="D280" i="13" s="1"/>
  <c r="D281" i="13" s="1"/>
  <c r="D282" i="13" s="1"/>
  <c r="V272" i="12"/>
  <c r="C273" i="12" s="1"/>
  <c r="D273" i="12" s="1"/>
  <c r="V272" i="11"/>
  <c r="C273" i="11" s="1"/>
  <c r="D273" i="11" s="1"/>
  <c r="V272" i="10"/>
  <c r="C273" i="10" s="1"/>
  <c r="D273" i="10" s="1"/>
  <c r="C271" i="9"/>
  <c r="D271" i="9" s="1"/>
  <c r="V271" i="9" s="1"/>
  <c r="AA265" i="2"/>
  <c r="V275" i="14" l="1"/>
  <c r="C276" i="14" s="1"/>
  <c r="D276" i="14" s="1"/>
  <c r="D277" i="14" s="1"/>
  <c r="D278" i="14" s="1"/>
  <c r="D279" i="14" s="1"/>
  <c r="D280" i="14" s="1"/>
  <c r="D281" i="14" s="1"/>
  <c r="D282" i="14" s="1"/>
  <c r="V282" i="13"/>
  <c r="C283" i="13" s="1"/>
  <c r="D283" i="13" s="1"/>
  <c r="V273" i="12"/>
  <c r="C274" i="12" s="1"/>
  <c r="D274" i="12" s="1"/>
  <c r="V273" i="11"/>
  <c r="C274" i="11" s="1"/>
  <c r="D274" i="11" s="1"/>
  <c r="V273" i="10"/>
  <c r="C274" i="10" s="1"/>
  <c r="D274" i="10" s="1"/>
  <c r="C272" i="9"/>
  <c r="D272" i="9" s="1"/>
  <c r="V272" i="9" s="1"/>
  <c r="AA266" i="2"/>
  <c r="V282" i="14" l="1"/>
  <c r="C283" i="14" s="1"/>
  <c r="D283" i="14" s="1"/>
  <c r="V283" i="13"/>
  <c r="C284" i="13" s="1"/>
  <c r="D284" i="13" s="1"/>
  <c r="V274" i="12"/>
  <c r="C275" i="12" s="1"/>
  <c r="D275" i="12" s="1"/>
  <c r="V274" i="11"/>
  <c r="C275" i="11" s="1"/>
  <c r="D275" i="11" s="1"/>
  <c r="V274" i="10"/>
  <c r="C275" i="10" s="1"/>
  <c r="D275" i="10" s="1"/>
  <c r="C273" i="9"/>
  <c r="D273" i="9" s="1"/>
  <c r="V273" i="9" s="1"/>
  <c r="AA267" i="2"/>
  <c r="V283" i="14" l="1"/>
  <c r="C284" i="14" s="1"/>
  <c r="D284" i="14" s="1"/>
  <c r="V284" i="13"/>
  <c r="C285" i="13" s="1"/>
  <c r="D285" i="13" s="1"/>
  <c r="V275" i="12"/>
  <c r="C276" i="12" s="1"/>
  <c r="D276" i="12" s="1"/>
  <c r="D277" i="12" s="1"/>
  <c r="D278" i="12" s="1"/>
  <c r="D279" i="12" s="1"/>
  <c r="D280" i="12" s="1"/>
  <c r="D281" i="12" s="1"/>
  <c r="D282" i="12" s="1"/>
  <c r="V275" i="11"/>
  <c r="C276" i="11" s="1"/>
  <c r="D276" i="11" s="1"/>
  <c r="D277" i="11" s="1"/>
  <c r="D278" i="11" s="1"/>
  <c r="D279" i="11" s="1"/>
  <c r="D280" i="11" s="1"/>
  <c r="D281" i="11" s="1"/>
  <c r="D282" i="11" s="1"/>
  <c r="V275" i="10"/>
  <c r="C276" i="10" s="1"/>
  <c r="D276" i="10" s="1"/>
  <c r="D277" i="10" s="1"/>
  <c r="D278" i="10" s="1"/>
  <c r="D279" i="10" s="1"/>
  <c r="D280" i="10" s="1"/>
  <c r="D281" i="10" s="1"/>
  <c r="D282" i="10" s="1"/>
  <c r="C274" i="9"/>
  <c r="D274" i="9" s="1"/>
  <c r="V274" i="9" s="1"/>
  <c r="AA268" i="2"/>
  <c r="V284" i="14" l="1"/>
  <c r="C285" i="14" s="1"/>
  <c r="D285" i="14" s="1"/>
  <c r="V285" i="13"/>
  <c r="C286" i="13" s="1"/>
  <c r="D286" i="13" s="1"/>
  <c r="V282" i="12"/>
  <c r="C283" i="12" s="1"/>
  <c r="D283" i="12" s="1"/>
  <c r="V282" i="11"/>
  <c r="C283" i="11" s="1"/>
  <c r="D283" i="11" s="1"/>
  <c r="V282" i="10"/>
  <c r="C283" i="10" s="1"/>
  <c r="D283" i="10" s="1"/>
  <c r="C275" i="9"/>
  <c r="D275" i="9" s="1"/>
  <c r="V275" i="9" s="1"/>
  <c r="AA269" i="2"/>
  <c r="V285" i="14" l="1"/>
  <c r="C286" i="14" s="1"/>
  <c r="D286" i="14" s="1"/>
  <c r="V286" i="13"/>
  <c r="C287" i="13" s="1"/>
  <c r="D287" i="13" s="1"/>
  <c r="V283" i="12"/>
  <c r="C284" i="12" s="1"/>
  <c r="D284" i="12" s="1"/>
  <c r="V283" i="11"/>
  <c r="C284" i="11" s="1"/>
  <c r="D284" i="11" s="1"/>
  <c r="V283" i="10"/>
  <c r="C284" i="10" s="1"/>
  <c r="D284" i="10" s="1"/>
  <c r="C276" i="9"/>
  <c r="D276" i="9" s="1"/>
  <c r="D277" i="9" s="1"/>
  <c r="D278" i="9" s="1"/>
  <c r="D279" i="9" s="1"/>
  <c r="D280" i="9" s="1"/>
  <c r="D281" i="9" s="1"/>
  <c r="D282" i="9" s="1"/>
  <c r="V282" i="9" s="1"/>
  <c r="AA270" i="2"/>
  <c r="V286" i="14" l="1"/>
  <c r="C287" i="14" s="1"/>
  <c r="D287" i="14" s="1"/>
  <c r="V287" i="13"/>
  <c r="C288" i="13" s="1"/>
  <c r="D288" i="13" s="1"/>
  <c r="V284" i="12"/>
  <c r="C285" i="12" s="1"/>
  <c r="D285" i="12" s="1"/>
  <c r="V284" i="11"/>
  <c r="C285" i="11" s="1"/>
  <c r="D285" i="11" s="1"/>
  <c r="V284" i="10"/>
  <c r="C285" i="10" s="1"/>
  <c r="D285" i="10" s="1"/>
  <c r="C283" i="9"/>
  <c r="D283" i="9" s="1"/>
  <c r="V283" i="9" s="1"/>
  <c r="AA271" i="2"/>
  <c r="V287" i="14" l="1"/>
  <c r="C288" i="14" s="1"/>
  <c r="D288" i="14" s="1"/>
  <c r="V288" i="13"/>
  <c r="C289" i="13" s="1"/>
  <c r="D289" i="13" s="1"/>
  <c r="V289" i="13" s="1"/>
  <c r="V285" i="12"/>
  <c r="C286" i="12" s="1"/>
  <c r="D286" i="12" s="1"/>
  <c r="V285" i="11"/>
  <c r="C286" i="11" s="1"/>
  <c r="D286" i="11" s="1"/>
  <c r="V285" i="10"/>
  <c r="C286" i="10" s="1"/>
  <c r="D286" i="10" s="1"/>
  <c r="C284" i="9"/>
  <c r="D284" i="9" s="1"/>
  <c r="V284" i="9" s="1"/>
  <c r="AA272" i="2"/>
  <c r="V288" i="14" l="1"/>
  <c r="C289" i="14" s="1"/>
  <c r="D289" i="14"/>
  <c r="V289" i="14" s="1"/>
  <c r="V286" i="12"/>
  <c r="C287" i="12" s="1"/>
  <c r="D287" i="12" s="1"/>
  <c r="V286" i="11"/>
  <c r="C287" i="11" s="1"/>
  <c r="D287" i="11" s="1"/>
  <c r="V286" i="10"/>
  <c r="C287" i="10" s="1"/>
  <c r="D287" i="10" s="1"/>
  <c r="C285" i="9"/>
  <c r="D285" i="9" s="1"/>
  <c r="V285" i="9" s="1"/>
  <c r="AA273" i="2"/>
  <c r="V287" i="12" l="1"/>
  <c r="C288" i="12" s="1"/>
  <c r="D288" i="12" s="1"/>
  <c r="V287" i="11"/>
  <c r="C288" i="11" s="1"/>
  <c r="D288" i="11" s="1"/>
  <c r="V287" i="10"/>
  <c r="C288" i="10" s="1"/>
  <c r="D288" i="10" s="1"/>
  <c r="C286" i="9"/>
  <c r="D286" i="9" s="1"/>
  <c r="V286" i="9" s="1"/>
  <c r="AA274" i="2"/>
  <c r="V288" i="12" l="1"/>
  <c r="C289" i="12" s="1"/>
  <c r="D289" i="12" s="1"/>
  <c r="V289" i="12" s="1"/>
  <c r="V288" i="11"/>
  <c r="C289" i="11" s="1"/>
  <c r="D289" i="11" s="1"/>
  <c r="V289" i="11" s="1"/>
  <c r="V288" i="10"/>
  <c r="C289" i="10" s="1"/>
  <c r="D289" i="10" s="1"/>
  <c r="V289" i="10" s="1"/>
  <c r="C287" i="9"/>
  <c r="D287" i="9" s="1"/>
  <c r="V287" i="9" s="1"/>
  <c r="AA275" i="2"/>
  <c r="C288" i="9" l="1"/>
  <c r="D288" i="9" s="1"/>
  <c r="V288" i="9" s="1"/>
  <c r="AA282" i="2"/>
  <c r="C289" i="9" l="1"/>
  <c r="AA283" i="2"/>
  <c r="D289" i="9" l="1"/>
  <c r="V289" i="9" s="1"/>
  <c r="AA284" i="2"/>
  <c r="AA285" i="2" l="1"/>
  <c r="AA286" i="2" l="1"/>
  <c r="AA287" i="2" l="1"/>
  <c r="AA288" i="2" l="1"/>
  <c r="AA289" i="2" l="1"/>
  <c r="D3" i="6"/>
  <c r="V3" i="6" s="1"/>
  <c r="C4" i="6" s="1"/>
  <c r="D4" i="6" l="1"/>
  <c r="V4" i="6" l="1"/>
  <c r="C5" i="6" s="1"/>
  <c r="D5" i="6" s="1"/>
  <c r="V5" i="6" l="1"/>
  <c r="C6" i="6" s="1"/>
  <c r="D6" i="6" s="1"/>
  <c r="V6" i="6" l="1"/>
  <c r="C7" i="6" s="1"/>
  <c r="D7" i="6" s="1"/>
  <c r="V7" i="6" l="1"/>
  <c r="C8" i="6" s="1"/>
  <c r="D8" i="6" s="1"/>
  <c r="V8" i="6" l="1"/>
  <c r="C9" i="6" s="1"/>
  <c r="D9" i="6" s="1"/>
  <c r="V9" i="6" l="1"/>
  <c r="C10" i="6" s="1"/>
  <c r="D10" i="6" s="1"/>
  <c r="V10" i="6" l="1"/>
  <c r="C11" i="6" s="1"/>
  <c r="D11" i="6" s="1"/>
  <c r="V11" i="6" l="1"/>
  <c r="C12" i="6" s="1"/>
  <c r="D12" i="6" s="1"/>
  <c r="D13" i="6" s="1"/>
  <c r="D14" i="6" s="1"/>
  <c r="D15" i="6" s="1"/>
  <c r="D16" i="6" s="1"/>
  <c r="D17" i="6" s="1"/>
  <c r="D18" i="6" s="1"/>
  <c r="D19" i="6" s="1"/>
  <c r="V19" i="6" l="1"/>
  <c r="C20" i="6" s="1"/>
  <c r="D20" i="6" s="1"/>
  <c r="V20" i="6" l="1"/>
  <c r="C21" i="6" s="1"/>
  <c r="D21" i="6" s="1"/>
  <c r="V21" i="6" l="1"/>
  <c r="C22" i="6" s="1"/>
  <c r="D22" i="6" s="1"/>
  <c r="V22" i="6" l="1"/>
  <c r="C23" i="6" s="1"/>
  <c r="D23" i="6" s="1"/>
  <c r="V23" i="6" l="1"/>
  <c r="C24" i="6" s="1"/>
  <c r="D24" i="6" s="1"/>
  <c r="V24" i="6" l="1"/>
  <c r="C25" i="6" s="1"/>
  <c r="D25" i="6" s="1"/>
  <c r="V25" i="6" l="1"/>
  <c r="C26" i="6" s="1"/>
  <c r="D26" i="6" s="1"/>
  <c r="V26" i="6" l="1"/>
  <c r="C27" i="6" s="1"/>
  <c r="D27" i="6" s="1"/>
  <c r="V27" i="6" l="1"/>
  <c r="C28" i="6" s="1"/>
  <c r="D28" i="6" s="1"/>
  <c r="V28" i="6" l="1"/>
  <c r="C29" i="6" s="1"/>
  <c r="D29" i="6" s="1"/>
  <c r="V29" i="6" l="1"/>
  <c r="C30" i="6" s="1"/>
  <c r="D30" i="6" s="1"/>
  <c r="V30" i="6" l="1"/>
  <c r="C31" i="6" s="1"/>
  <c r="D31" i="6" s="1"/>
  <c r="V31" i="6" l="1"/>
  <c r="C32" i="6" s="1"/>
  <c r="D32" i="6" s="1"/>
  <c r="V32" i="6" l="1"/>
  <c r="C33" i="6" s="1"/>
  <c r="D33" i="6" s="1"/>
  <c r="V33" i="6" l="1"/>
  <c r="C34" i="6" s="1"/>
  <c r="D34" i="6" s="1"/>
  <c r="V34" i="6" l="1"/>
  <c r="C35" i="6" s="1"/>
  <c r="D35" i="6" s="1"/>
  <c r="V35" i="6" l="1"/>
  <c r="C36" i="6" s="1"/>
  <c r="D36" i="6" s="1"/>
  <c r="D37" i="6" s="1"/>
  <c r="D38" i="6" s="1"/>
  <c r="D39" i="6" s="1"/>
  <c r="D40" i="6" s="1"/>
  <c r="D41" i="6" s="1"/>
  <c r="D42" i="6" s="1"/>
  <c r="D43" i="6" s="1"/>
  <c r="V43" i="6" l="1"/>
  <c r="C44" i="6" s="1"/>
  <c r="D44" i="6" s="1"/>
  <c r="V44" i="6" l="1"/>
  <c r="C45" i="6" s="1"/>
  <c r="D45" i="6" s="1"/>
  <c r="V45" i="6" l="1"/>
  <c r="C46" i="6" s="1"/>
  <c r="D46" i="6" s="1"/>
  <c r="V46" i="6" l="1"/>
  <c r="C47" i="6" s="1"/>
  <c r="D47" i="6" s="1"/>
  <c r="V47" i="6" l="1"/>
  <c r="C48" i="6" s="1"/>
  <c r="D48" i="6" s="1"/>
  <c r="V48" i="6" l="1"/>
  <c r="C49" i="6" s="1"/>
  <c r="D49" i="6" s="1"/>
  <c r="V49" i="6" l="1"/>
  <c r="C50" i="6" s="1"/>
  <c r="D50" i="6" s="1"/>
  <c r="V50" i="6" l="1"/>
  <c r="C51" i="6" s="1"/>
  <c r="D51" i="6" s="1"/>
  <c r="V51" i="6" l="1"/>
  <c r="C52" i="6" s="1"/>
  <c r="D52" i="6" s="1"/>
  <c r="V52" i="6" l="1"/>
  <c r="C53" i="6" s="1"/>
  <c r="D53" i="6" s="1"/>
  <c r="V53" i="6" l="1"/>
  <c r="C54" i="6" s="1"/>
  <c r="D54" i="6" s="1"/>
  <c r="V54" i="6" l="1"/>
  <c r="C55" i="6" s="1"/>
  <c r="D55" i="6" s="1"/>
  <c r="V55" i="6" l="1"/>
  <c r="C56" i="6" s="1"/>
  <c r="D56" i="6" s="1"/>
  <c r="V56" i="6" l="1"/>
  <c r="C57" i="6" s="1"/>
  <c r="D57" i="6" s="1"/>
  <c r="V57" i="6" l="1"/>
  <c r="C58" i="6" s="1"/>
  <c r="D58" i="6" s="1"/>
  <c r="V58" i="6" l="1"/>
  <c r="C59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V68" i="6" l="1"/>
  <c r="C69" i="6" s="1"/>
  <c r="D69" i="6" s="1"/>
  <c r="V69" i="6" l="1"/>
  <c r="C70" i="6" s="1"/>
  <c r="D70" i="6" s="1"/>
  <c r="V70" i="6" l="1"/>
  <c r="C71" i="6" s="1"/>
  <c r="D71" i="6" s="1"/>
  <c r="V71" i="6" l="1"/>
  <c r="C72" i="6" s="1"/>
  <c r="D72" i="6" s="1"/>
  <c r="V72" i="6" l="1"/>
  <c r="C73" i="6" s="1"/>
  <c r="D73" i="6" s="1"/>
  <c r="V73" i="6" l="1"/>
  <c r="C74" i="6" s="1"/>
  <c r="D74" i="6" s="1"/>
  <c r="V74" i="6" l="1"/>
  <c r="C75" i="6" s="1"/>
  <c r="D75" i="6" s="1"/>
  <c r="V75" i="6" l="1"/>
  <c r="C76" i="6" s="1"/>
  <c r="D76" i="6" s="1"/>
  <c r="V76" i="6" l="1"/>
  <c r="C77" i="6" s="1"/>
  <c r="D77" i="6" s="1"/>
  <c r="V77" i="6" l="1"/>
  <c r="C78" i="6" s="1"/>
  <c r="D78" i="6" s="1"/>
  <c r="V78" i="6" l="1"/>
  <c r="C79" i="6" s="1"/>
  <c r="D79" i="6" s="1"/>
  <c r="V79" i="6" l="1"/>
  <c r="C80" i="6" s="1"/>
  <c r="D80" i="6" s="1"/>
  <c r="V80" i="6" l="1"/>
  <c r="C81" i="6" s="1"/>
  <c r="D81" i="6" s="1"/>
  <c r="V81" i="6" l="1"/>
  <c r="C82" i="6" s="1"/>
  <c r="D82" i="6" s="1"/>
  <c r="V82" i="6" l="1"/>
  <c r="C83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V93" i="6" l="1"/>
  <c r="C94" i="6" s="1"/>
  <c r="D94" i="6" s="1"/>
  <c r="V94" i="6" l="1"/>
  <c r="C95" i="6" s="1"/>
  <c r="D95" i="6" s="1"/>
  <c r="V95" i="6" l="1"/>
  <c r="C96" i="6" s="1"/>
  <c r="D96" i="6" s="1"/>
  <c r="V96" i="6" l="1"/>
  <c r="C97" i="6" s="1"/>
  <c r="D97" i="6" s="1"/>
  <c r="V97" i="6" l="1"/>
  <c r="C98" i="6" s="1"/>
  <c r="D98" i="6" s="1"/>
  <c r="V98" i="6" l="1"/>
  <c r="C99" i="6" s="1"/>
  <c r="D99" i="6" s="1"/>
  <c r="V99" i="6" l="1"/>
  <c r="C100" i="6" s="1"/>
  <c r="D100" i="6" s="1"/>
  <c r="V100" i="6" l="1"/>
  <c r="C101" i="6" s="1"/>
  <c r="D101" i="6" s="1"/>
  <c r="V101" i="6" l="1"/>
  <c r="C102" i="6" s="1"/>
  <c r="D102" i="6" s="1"/>
  <c r="V102" i="6" l="1"/>
  <c r="C103" i="6" s="1"/>
  <c r="D103" i="6" s="1"/>
  <c r="V103" i="6" l="1"/>
  <c r="C104" i="6" s="1"/>
  <c r="D104" i="6" s="1"/>
  <c r="V104" i="6" l="1"/>
  <c r="C105" i="6" s="1"/>
  <c r="D105" i="6" s="1"/>
  <c r="V105" i="6" l="1"/>
  <c r="C106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V117" i="6" l="1"/>
  <c r="C118" i="6" s="1"/>
  <c r="D118" i="6" s="1"/>
  <c r="V118" i="6" l="1"/>
  <c r="C119" i="6" s="1"/>
  <c r="D119" i="6" s="1"/>
  <c r="V119" i="6" l="1"/>
  <c r="C120" i="6" s="1"/>
  <c r="D120" i="6" s="1"/>
  <c r="V120" i="6" l="1"/>
  <c r="C121" i="6" s="1"/>
  <c r="D121" i="6" s="1"/>
  <c r="V121" i="6" l="1"/>
  <c r="C122" i="6" s="1"/>
  <c r="D122" i="6" s="1"/>
  <c r="V122" i="6" l="1"/>
  <c r="C123" i="6" s="1"/>
  <c r="D123" i="6" s="1"/>
  <c r="V123" i="6" l="1"/>
  <c r="C124" i="6" s="1"/>
  <c r="D124" i="6" s="1"/>
  <c r="V124" i="6" l="1"/>
  <c r="C125" i="6" s="1"/>
  <c r="D125" i="6" s="1"/>
  <c r="V125" i="6" l="1"/>
  <c r="C126" i="6" s="1"/>
  <c r="D126" i="6" s="1"/>
  <c r="V126" i="6" l="1"/>
  <c r="C127" i="6" s="1"/>
  <c r="D127" i="6" s="1"/>
  <c r="V127" i="6" l="1"/>
  <c r="C128" i="6" s="1"/>
  <c r="D128" i="6" s="1"/>
  <c r="V128" i="6" l="1"/>
  <c r="C129" i="6" s="1"/>
  <c r="D129" i="6" s="1"/>
  <c r="V129" i="6" l="1"/>
  <c r="C130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V141" i="6" l="1"/>
  <c r="C142" i="6" s="1"/>
  <c r="D142" i="6" s="1"/>
  <c r="V142" i="6" l="1"/>
  <c r="C143" i="6" s="1"/>
  <c r="D143" i="6" s="1"/>
  <c r="V143" i="6" l="1"/>
  <c r="C144" i="6" s="1"/>
  <c r="D144" i="6" s="1"/>
  <c r="V144" i="6" l="1"/>
  <c r="C145" i="6" s="1"/>
  <c r="D145" i="6" s="1"/>
  <c r="V145" i="6" l="1"/>
  <c r="C146" i="6" s="1"/>
  <c r="D146" i="6" s="1"/>
  <c r="V146" i="6" l="1"/>
  <c r="C147" i="6" s="1"/>
  <c r="D147" i="6" s="1"/>
  <c r="V147" i="6" l="1"/>
  <c r="C148" i="6" s="1"/>
  <c r="D148" i="6" s="1"/>
  <c r="V148" i="6" l="1"/>
  <c r="C149" i="6" s="1"/>
  <c r="D149" i="6" s="1"/>
  <c r="V149" i="6" l="1"/>
  <c r="C150" i="6" s="1"/>
  <c r="D150" i="6" s="1"/>
  <c r="V150" i="6" l="1"/>
  <c r="C151" i="6" s="1"/>
  <c r="D151" i="6" s="1"/>
  <c r="V151" i="6" l="1"/>
  <c r="C152" i="6" s="1"/>
  <c r="D152" i="6" s="1"/>
  <c r="V152" i="6" l="1"/>
  <c r="C153" i="6" s="1"/>
  <c r="D153" i="6" s="1"/>
  <c r="V153" i="6" l="1"/>
  <c r="C154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V166" i="6" l="1"/>
  <c r="C167" i="6" s="1"/>
  <c r="D167" i="6" s="1"/>
  <c r="V167" i="6" l="1"/>
  <c r="C168" i="6" s="1"/>
  <c r="D168" i="6" s="1"/>
  <c r="V168" i="6" l="1"/>
  <c r="C169" i="6" s="1"/>
  <c r="D169" i="6" s="1"/>
  <c r="V169" i="6" l="1"/>
  <c r="C170" i="6" s="1"/>
  <c r="D170" i="6" s="1"/>
  <c r="V170" i="6" l="1"/>
  <c r="C171" i="6" s="1"/>
  <c r="D171" i="6" s="1"/>
  <c r="V171" i="6" l="1"/>
  <c r="C172" i="6" s="1"/>
  <c r="D172" i="6" s="1"/>
  <c r="V172" i="6" l="1"/>
  <c r="C173" i="6" s="1"/>
  <c r="D173" i="6" s="1"/>
  <c r="V173" i="6" l="1"/>
  <c r="C174" i="6" s="1"/>
  <c r="D174" i="6" s="1"/>
  <c r="V174" i="6" l="1"/>
  <c r="C175" i="6" s="1"/>
  <c r="D175" i="6" s="1"/>
  <c r="V175" i="6" l="1"/>
  <c r="C176" i="6" s="1"/>
  <c r="D176" i="6" s="1"/>
  <c r="V176" i="6" l="1"/>
  <c r="C177" i="6" s="1"/>
  <c r="D177" i="6" s="1"/>
  <c r="V177" i="6" l="1"/>
  <c r="C178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V190" i="6" l="1"/>
  <c r="C191" i="6" s="1"/>
  <c r="D191" i="6" s="1"/>
  <c r="V191" i="6" l="1"/>
  <c r="C192" i="6" s="1"/>
  <c r="D192" i="6" s="1"/>
  <c r="V192" i="6" l="1"/>
  <c r="C193" i="6" s="1"/>
  <c r="D193" i="6" s="1"/>
  <c r="V193" i="6" l="1"/>
  <c r="C194" i="6" s="1"/>
  <c r="D194" i="6" s="1"/>
  <c r="V194" i="6" l="1"/>
  <c r="C195" i="6" s="1"/>
  <c r="D195" i="6" s="1"/>
  <c r="V195" i="6" l="1"/>
  <c r="C196" i="6" s="1"/>
  <c r="D196" i="6" s="1"/>
  <c r="V196" i="6" l="1"/>
  <c r="C197" i="6" s="1"/>
  <c r="D197" i="6" s="1"/>
  <c r="V197" i="6" l="1"/>
  <c r="C198" i="6" s="1"/>
  <c r="D198" i="6" s="1"/>
  <c r="V198" i="6" l="1"/>
  <c r="C199" i="6" s="1"/>
  <c r="D199" i="6" s="1"/>
  <c r="V199" i="6" l="1"/>
  <c r="C200" i="6" s="1"/>
  <c r="D200" i="6" s="1"/>
  <c r="V200" i="6" l="1"/>
  <c r="C201" i="6" s="1"/>
  <c r="D201" i="6" s="1"/>
  <c r="V201" i="6" l="1"/>
  <c r="C202" i="6" s="1"/>
  <c r="D202" i="6" s="1"/>
  <c r="V202" i="6" l="1"/>
  <c r="C203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V212" i="6" l="1"/>
  <c r="C213" i="6" s="1"/>
  <c r="D213" i="6" s="1"/>
  <c r="V213" i="6" l="1"/>
  <c r="C214" i="6" s="1"/>
  <c r="D214" i="6" s="1"/>
  <c r="V214" i="6" l="1"/>
  <c r="C215" i="6" s="1"/>
  <c r="D215" i="6" s="1"/>
  <c r="V215" i="6" l="1"/>
  <c r="C216" i="6" s="1"/>
  <c r="D216" i="6" s="1"/>
  <c r="V216" i="6" l="1"/>
  <c r="C217" i="6" s="1"/>
  <c r="D217" i="6" s="1"/>
  <c r="V217" i="6" l="1"/>
  <c r="C218" i="6" s="1"/>
  <c r="D218" i="6" s="1"/>
  <c r="V218" i="6" l="1"/>
  <c r="C219" i="6" s="1"/>
  <c r="D219" i="6" s="1"/>
  <c r="V219" i="6" l="1"/>
  <c r="C220" i="6" s="1"/>
  <c r="D220" i="6" s="1"/>
  <c r="V220" i="6" l="1"/>
  <c r="C221" i="6" s="1"/>
  <c r="D221" i="6" s="1"/>
  <c r="V221" i="6" l="1"/>
  <c r="C222" i="6" s="1"/>
  <c r="D222" i="6" s="1"/>
  <c r="V222" i="6" l="1"/>
  <c r="C223" i="6" s="1"/>
  <c r="D223" i="6" s="1"/>
  <c r="V223" i="6" l="1"/>
  <c r="C224" i="6" s="1"/>
  <c r="D224" i="6" s="1"/>
  <c r="V224" i="6" l="1"/>
  <c r="C225" i="6" s="1"/>
  <c r="D225" i="6" s="1"/>
  <c r="V225" i="6" l="1"/>
  <c r="C226" i="6" s="1"/>
  <c r="D226" i="6" s="1"/>
  <c r="V226" i="6" l="1"/>
  <c r="C227" i="6" s="1"/>
  <c r="D227" i="6" s="1"/>
  <c r="D228" i="6" s="1"/>
  <c r="D229" i="6" s="1"/>
  <c r="D230" i="6" s="1"/>
  <c r="D231" i="6" s="1"/>
  <c r="D232" i="6" s="1"/>
  <c r="D233" i="6" s="1"/>
  <c r="D234" i="6" s="1"/>
  <c r="D235" i="6" s="1"/>
  <c r="V235" i="6" l="1"/>
  <c r="C236" i="6" s="1"/>
  <c r="D236" i="6" s="1"/>
  <c r="V236" i="6" l="1"/>
  <c r="C237" i="6" s="1"/>
  <c r="D237" i="6" s="1"/>
  <c r="V237" i="6" l="1"/>
  <c r="C238" i="6" s="1"/>
  <c r="D238" i="6" s="1"/>
  <c r="V238" i="6" l="1"/>
  <c r="C239" i="6" s="1"/>
  <c r="D239" i="6" s="1"/>
  <c r="V239" i="6" l="1"/>
  <c r="C240" i="6" s="1"/>
  <c r="D240" i="6" s="1"/>
  <c r="V240" i="6" l="1"/>
  <c r="C241" i="6" s="1"/>
  <c r="D241" i="6" s="1"/>
  <c r="V241" i="6" l="1"/>
  <c r="C242" i="6" s="1"/>
  <c r="D242" i="6" s="1"/>
  <c r="V242" i="6" l="1"/>
  <c r="C243" i="6" s="1"/>
  <c r="D243" i="6" s="1"/>
  <c r="V243" i="6" l="1"/>
  <c r="C244" i="6" s="1"/>
  <c r="D244" i="6" s="1"/>
  <c r="V244" i="6" l="1"/>
  <c r="C245" i="6" s="1"/>
  <c r="D245" i="6" s="1"/>
  <c r="V245" i="6" l="1"/>
  <c r="C246" i="6" s="1"/>
  <c r="D246" i="6" s="1"/>
  <c r="V246" i="6" l="1"/>
  <c r="C247" i="6" s="1"/>
  <c r="D247" i="6" s="1"/>
  <c r="V247" i="6" l="1"/>
  <c r="C248" i="6" s="1"/>
  <c r="D248" i="6" s="1"/>
  <c r="V248" i="6" l="1"/>
  <c r="C249" i="6" s="1"/>
  <c r="D249" i="6" s="1"/>
  <c r="V249" i="6" l="1"/>
  <c r="C250" i="6" s="1"/>
  <c r="D250" i="6" s="1"/>
  <c r="V250" i="6" l="1"/>
  <c r="C251" i="6" s="1"/>
  <c r="D251" i="6" s="1"/>
  <c r="V251" i="6" l="1"/>
  <c r="C252" i="6" s="1"/>
  <c r="D252" i="6" s="1"/>
  <c r="D253" i="6" s="1"/>
  <c r="D254" i="6" s="1"/>
  <c r="D255" i="6" s="1"/>
  <c r="D256" i="6" s="1"/>
  <c r="D257" i="6" s="1"/>
  <c r="D258" i="6" s="1"/>
  <c r="V258" i="6" l="1"/>
  <c r="C259" i="6" s="1"/>
  <c r="D259" i="6" s="1"/>
  <c r="V259" i="6" l="1"/>
  <c r="C260" i="6" s="1"/>
  <c r="D260" i="6" s="1"/>
  <c r="V260" i="6" l="1"/>
  <c r="C261" i="6" s="1"/>
  <c r="D261" i="6" s="1"/>
  <c r="V261" i="6" l="1"/>
  <c r="C262" i="6" s="1"/>
  <c r="D262" i="6" s="1"/>
  <c r="V262" i="6" l="1"/>
  <c r="C263" i="6" s="1"/>
  <c r="D263" i="6" s="1"/>
  <c r="V263" i="6" l="1"/>
  <c r="C264" i="6" s="1"/>
  <c r="D264" i="6" s="1"/>
  <c r="V264" i="6" l="1"/>
  <c r="C265" i="6" s="1"/>
  <c r="D265" i="6" s="1"/>
  <c r="V265" i="6" l="1"/>
  <c r="C266" i="6" s="1"/>
  <c r="D266" i="6" s="1"/>
  <c r="V266" i="6" l="1"/>
  <c r="C267" i="6" s="1"/>
  <c r="D267" i="6" s="1"/>
  <c r="V267" i="6" l="1"/>
  <c r="C268" i="6" s="1"/>
  <c r="D268" i="6" s="1"/>
  <c r="V268" i="6" l="1"/>
  <c r="C269" i="6" s="1"/>
  <c r="D269" i="6" s="1"/>
  <c r="V269" i="6" l="1"/>
  <c r="C270" i="6" s="1"/>
  <c r="D270" i="6" s="1"/>
  <c r="V270" i="6" l="1"/>
  <c r="C271" i="6" s="1"/>
  <c r="D271" i="6" s="1"/>
  <c r="V271" i="6" l="1"/>
  <c r="C272" i="6" s="1"/>
  <c r="D272" i="6" s="1"/>
  <c r="V272" i="6" l="1"/>
  <c r="C273" i="6" s="1"/>
  <c r="D273" i="6" s="1"/>
  <c r="V273" i="6" l="1"/>
  <c r="C274" i="6" s="1"/>
  <c r="D274" i="6" s="1"/>
  <c r="V274" i="6" l="1"/>
  <c r="C275" i="6" s="1"/>
  <c r="D275" i="6" s="1"/>
  <c r="V275" i="6" l="1"/>
  <c r="C276" i="6" s="1"/>
  <c r="D276" i="6" s="1"/>
  <c r="D277" i="6" s="1"/>
  <c r="D278" i="6" s="1"/>
  <c r="D279" i="6" s="1"/>
  <c r="D280" i="6" s="1"/>
  <c r="D281" i="6" s="1"/>
  <c r="D282" i="6" s="1"/>
  <c r="V282" i="6" l="1"/>
  <c r="C283" i="6" s="1"/>
  <c r="D283" i="6" s="1"/>
  <c r="V283" i="6" l="1"/>
  <c r="C284" i="6" s="1"/>
  <c r="D284" i="6" s="1"/>
  <c r="V284" i="6" l="1"/>
  <c r="C285" i="6" s="1"/>
  <c r="D285" i="6" s="1"/>
  <c r="V285" i="6" l="1"/>
  <c r="C286" i="6" s="1"/>
  <c r="D286" i="6" s="1"/>
  <c r="V286" i="6" l="1"/>
  <c r="C287" i="6" s="1"/>
  <c r="D287" i="6" s="1"/>
  <c r="V287" i="6" l="1"/>
  <c r="C288" i="6" s="1"/>
  <c r="D288" i="6" s="1"/>
  <c r="V288" i="6" l="1"/>
  <c r="C289" i="6" s="1"/>
  <c r="D289" i="6" s="1"/>
  <c r="V289" i="6" s="1"/>
  <c r="C3" i="8"/>
  <c r="D3" i="8" s="1"/>
  <c r="V3" i="8" l="1"/>
  <c r="C4" i="8" s="1"/>
  <c r="D4" i="8" s="1"/>
  <c r="V4" i="8" s="1"/>
  <c r="C5" i="8" l="1"/>
  <c r="D5" i="8" s="1"/>
  <c r="V5" i="8" s="1"/>
  <c r="C6" i="8" l="1"/>
  <c r="D6" i="8" s="1"/>
  <c r="V6" i="8" s="1"/>
  <c r="C7" i="8" l="1"/>
  <c r="D7" i="8" s="1"/>
  <c r="V7" i="8" s="1"/>
  <c r="C8" i="8" l="1"/>
  <c r="D8" i="8" s="1"/>
  <c r="V8" i="8" s="1"/>
  <c r="C9" i="8" l="1"/>
  <c r="D9" i="8" s="1"/>
  <c r="V9" i="8" s="1"/>
  <c r="C10" i="8" l="1"/>
  <c r="D10" i="8" s="1"/>
  <c r="V10" i="8" s="1"/>
  <c r="C11" i="8" l="1"/>
  <c r="D11" i="8" s="1"/>
  <c r="V11" i="8" s="1"/>
  <c r="C12" i="8" l="1"/>
  <c r="D12" i="8" s="1"/>
  <c r="D13" i="8" s="1"/>
  <c r="D14" i="8" s="1"/>
  <c r="D15" i="8" s="1"/>
  <c r="D16" i="8" s="1"/>
  <c r="D17" i="8" s="1"/>
  <c r="D18" i="8" s="1"/>
  <c r="D19" i="8" s="1"/>
  <c r="V19" i="8" s="1"/>
  <c r="C20" i="8" l="1"/>
  <c r="D20" i="8" s="1"/>
  <c r="V20" i="8" s="1"/>
  <c r="C21" i="8" l="1"/>
  <c r="D21" i="8" s="1"/>
  <c r="V21" i="8" s="1"/>
  <c r="C22" i="8" l="1"/>
  <c r="D22" i="8" s="1"/>
  <c r="V22" i="8" s="1"/>
  <c r="C23" i="8" l="1"/>
  <c r="D23" i="8" s="1"/>
  <c r="V23" i="8" s="1"/>
  <c r="C24" i="8" l="1"/>
  <c r="D24" i="8" s="1"/>
  <c r="V24" i="8" s="1"/>
  <c r="C25" i="8" l="1"/>
  <c r="D25" i="8" s="1"/>
  <c r="V25" i="8" s="1"/>
  <c r="C26" i="8" l="1"/>
  <c r="D26" i="8" s="1"/>
  <c r="V26" i="8" s="1"/>
  <c r="C27" i="8" l="1"/>
  <c r="D27" i="8" s="1"/>
  <c r="V27" i="8" s="1"/>
  <c r="C28" i="8" l="1"/>
  <c r="D28" i="8" s="1"/>
  <c r="V28" i="8" s="1"/>
  <c r="C29" i="8" l="1"/>
  <c r="D29" i="8" s="1"/>
  <c r="V29" i="8" s="1"/>
  <c r="C30" i="8" l="1"/>
  <c r="D30" i="8" s="1"/>
  <c r="V30" i="8" s="1"/>
  <c r="C31" i="8" l="1"/>
  <c r="D31" i="8" s="1"/>
  <c r="V31" i="8" s="1"/>
  <c r="C32" i="8" l="1"/>
  <c r="D32" i="8" s="1"/>
  <c r="V32" i="8" s="1"/>
  <c r="C33" i="8" l="1"/>
  <c r="D33" i="8" s="1"/>
  <c r="V33" i="8" s="1"/>
  <c r="C34" i="8" l="1"/>
  <c r="D34" i="8" s="1"/>
  <c r="V34" i="8" s="1"/>
  <c r="C35" i="8" l="1"/>
  <c r="D35" i="8" s="1"/>
  <c r="V35" i="8" s="1"/>
  <c r="C36" i="8" l="1"/>
  <c r="D36" i="8" s="1"/>
  <c r="D37" i="8" s="1"/>
  <c r="D38" i="8" s="1"/>
  <c r="D39" i="8" s="1"/>
  <c r="D40" i="8" s="1"/>
  <c r="D41" i="8" s="1"/>
  <c r="D42" i="8" s="1"/>
  <c r="D43" i="8" s="1"/>
  <c r="V43" i="8" s="1"/>
  <c r="C44" i="8" l="1"/>
  <c r="D44" i="8" s="1"/>
  <c r="V44" i="8" s="1"/>
  <c r="C45" i="8" l="1"/>
  <c r="D45" i="8" s="1"/>
  <c r="V45" i="8" s="1"/>
  <c r="C46" i="8" l="1"/>
  <c r="D46" i="8" s="1"/>
  <c r="V46" i="8" s="1"/>
  <c r="C47" i="8" l="1"/>
  <c r="D47" i="8" s="1"/>
  <c r="V47" i="8" s="1"/>
  <c r="C48" i="8" l="1"/>
  <c r="D48" i="8" s="1"/>
  <c r="V48" i="8" s="1"/>
  <c r="C49" i="8" l="1"/>
  <c r="D49" i="8" s="1"/>
  <c r="V49" i="8" s="1"/>
  <c r="C50" i="8" l="1"/>
  <c r="D50" i="8" s="1"/>
  <c r="V50" i="8" s="1"/>
  <c r="C51" i="8" l="1"/>
  <c r="D51" i="8" s="1"/>
  <c r="V51" i="8" s="1"/>
  <c r="C52" i="8" l="1"/>
  <c r="D52" i="8" s="1"/>
  <c r="V52" i="8" s="1"/>
  <c r="C53" i="8" l="1"/>
  <c r="D53" i="8" s="1"/>
  <c r="V53" i="8" s="1"/>
  <c r="C54" i="8" l="1"/>
  <c r="D54" i="8" s="1"/>
  <c r="V54" i="8" s="1"/>
  <c r="C55" i="8" l="1"/>
  <c r="D55" i="8" s="1"/>
  <c r="V55" i="8" s="1"/>
  <c r="C56" i="8" l="1"/>
  <c r="D56" i="8" s="1"/>
  <c r="V56" i="8" s="1"/>
  <c r="C57" i="8" l="1"/>
  <c r="D57" i="8" s="1"/>
  <c r="V57" i="8" s="1"/>
  <c r="C58" i="8" l="1"/>
  <c r="D58" i="8" s="1"/>
  <c r="V58" i="8" s="1"/>
  <c r="C59" i="8" l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V68" i="8" s="1"/>
  <c r="C69" i="8" l="1"/>
  <c r="D69" i="8" s="1"/>
  <c r="V69" i="8" s="1"/>
  <c r="C70" i="8" l="1"/>
  <c r="D70" i="8" s="1"/>
  <c r="V70" i="8" s="1"/>
  <c r="C71" i="8" l="1"/>
  <c r="D71" i="8" s="1"/>
  <c r="V71" i="8" s="1"/>
  <c r="C72" i="8" l="1"/>
  <c r="D72" i="8" s="1"/>
  <c r="V72" i="8" s="1"/>
  <c r="C73" i="8" l="1"/>
  <c r="D73" i="8" s="1"/>
  <c r="V73" i="8" s="1"/>
  <c r="C74" i="8" l="1"/>
  <c r="D74" i="8" s="1"/>
  <c r="V74" i="8" s="1"/>
  <c r="C75" i="8" l="1"/>
  <c r="D75" i="8" s="1"/>
  <c r="V75" i="8" s="1"/>
  <c r="C76" i="8" l="1"/>
  <c r="D76" i="8" s="1"/>
  <c r="V76" i="8" s="1"/>
  <c r="C77" i="8" l="1"/>
  <c r="D77" i="8" s="1"/>
  <c r="V77" i="8" s="1"/>
  <c r="C78" i="8" l="1"/>
  <c r="D78" i="8" s="1"/>
  <c r="V78" i="8" s="1"/>
  <c r="C79" i="8" l="1"/>
  <c r="D79" i="8" s="1"/>
  <c r="V79" i="8" s="1"/>
  <c r="C80" i="8" l="1"/>
  <c r="D80" i="8" s="1"/>
  <c r="V80" i="8" s="1"/>
  <c r="C81" i="8" l="1"/>
  <c r="D81" i="8" s="1"/>
  <c r="V81" i="8" s="1"/>
  <c r="C82" i="8" l="1"/>
  <c r="D82" i="8" s="1"/>
  <c r="V82" i="8" s="1"/>
  <c r="C83" i="8" l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V93" i="8" s="1"/>
  <c r="C94" i="8" l="1"/>
  <c r="D94" i="8" s="1"/>
  <c r="V94" i="8" s="1"/>
  <c r="C95" i="8" l="1"/>
  <c r="D95" i="8" s="1"/>
  <c r="V95" i="8" s="1"/>
  <c r="C96" i="8" l="1"/>
  <c r="D96" i="8" s="1"/>
  <c r="V96" i="8" s="1"/>
  <c r="C97" i="8" l="1"/>
  <c r="D97" i="8" s="1"/>
  <c r="V97" i="8" s="1"/>
  <c r="C98" i="8" l="1"/>
  <c r="D98" i="8" s="1"/>
  <c r="V98" i="8" s="1"/>
  <c r="C99" i="8" l="1"/>
  <c r="D99" i="8" s="1"/>
  <c r="V99" i="8" s="1"/>
  <c r="C100" i="8" l="1"/>
  <c r="D100" i="8" s="1"/>
  <c r="V100" i="8" s="1"/>
  <c r="C101" i="8" l="1"/>
  <c r="D101" i="8" s="1"/>
  <c r="V101" i="8" s="1"/>
  <c r="C102" i="8" l="1"/>
  <c r="D102" i="8" s="1"/>
  <c r="V102" i="8" s="1"/>
  <c r="C103" i="8" l="1"/>
  <c r="D103" i="8" s="1"/>
  <c r="V103" i="8" s="1"/>
  <c r="C104" i="8" l="1"/>
  <c r="D104" i="8" s="1"/>
  <c r="V104" i="8" s="1"/>
  <c r="C105" i="8" l="1"/>
  <c r="D105" i="8" s="1"/>
  <c r="V105" i="8" s="1"/>
  <c r="C106" i="8" l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V117" i="8" s="1"/>
  <c r="C118" i="8" l="1"/>
  <c r="D118" i="8" s="1"/>
  <c r="V118" i="8" s="1"/>
  <c r="C119" i="8" l="1"/>
  <c r="D119" i="8" s="1"/>
  <c r="V119" i="8" s="1"/>
  <c r="C120" i="8" l="1"/>
  <c r="D120" i="8" s="1"/>
  <c r="V120" i="8" s="1"/>
  <c r="C121" i="8" l="1"/>
  <c r="D121" i="8" s="1"/>
  <c r="V121" i="8" s="1"/>
  <c r="C122" i="8" l="1"/>
  <c r="D122" i="8" s="1"/>
  <c r="V122" i="8" s="1"/>
  <c r="C123" i="8" l="1"/>
  <c r="D123" i="8" s="1"/>
  <c r="V123" i="8" s="1"/>
  <c r="C124" i="8" l="1"/>
  <c r="D124" i="8" s="1"/>
  <c r="V124" i="8" s="1"/>
  <c r="C125" i="8" l="1"/>
  <c r="D125" i="8" s="1"/>
  <c r="V125" i="8" s="1"/>
  <c r="C126" i="8" l="1"/>
  <c r="D126" i="8" s="1"/>
  <c r="V126" i="8" s="1"/>
  <c r="C127" i="8" l="1"/>
  <c r="D127" i="8" s="1"/>
  <c r="V127" i="8" s="1"/>
  <c r="C128" i="8" l="1"/>
  <c r="D128" i="8" s="1"/>
  <c r="V128" i="8" s="1"/>
  <c r="C129" i="8" l="1"/>
  <c r="D129" i="8" s="1"/>
  <c r="V129" i="8" s="1"/>
  <c r="C130" i="8" l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V141" i="8" s="1"/>
  <c r="C142" i="8" l="1"/>
  <c r="D142" i="8" s="1"/>
  <c r="V142" i="8" s="1"/>
  <c r="C143" i="8" l="1"/>
  <c r="D143" i="8" s="1"/>
  <c r="V143" i="8" s="1"/>
  <c r="C144" i="8" l="1"/>
  <c r="D144" i="8" s="1"/>
  <c r="V144" i="8" s="1"/>
  <c r="C145" i="8" l="1"/>
  <c r="D145" i="8" s="1"/>
  <c r="V145" i="8" s="1"/>
  <c r="C146" i="8" l="1"/>
  <c r="D146" i="8" s="1"/>
  <c r="V146" i="8" s="1"/>
  <c r="C147" i="8" l="1"/>
  <c r="D147" i="8" s="1"/>
  <c r="V147" i="8" s="1"/>
  <c r="C148" i="8" l="1"/>
  <c r="D148" i="8" s="1"/>
  <c r="V148" i="8" s="1"/>
  <c r="C149" i="8" l="1"/>
  <c r="D149" i="8" s="1"/>
  <c r="V149" i="8" s="1"/>
  <c r="C150" i="8" l="1"/>
  <c r="D150" i="8" s="1"/>
  <c r="V150" i="8" s="1"/>
  <c r="C151" i="8" l="1"/>
  <c r="D151" i="8" s="1"/>
  <c r="V151" i="8" s="1"/>
  <c r="C152" i="8" l="1"/>
  <c r="D152" i="8" s="1"/>
  <c r="V152" i="8" s="1"/>
  <c r="C153" i="8" l="1"/>
  <c r="D153" i="8" s="1"/>
  <c r="V153" i="8" s="1"/>
  <c r="C154" i="8" l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V166" i="8" s="1"/>
  <c r="C167" i="8" l="1"/>
  <c r="D167" i="8" s="1"/>
  <c r="V167" i="8" s="1"/>
  <c r="C168" i="8" l="1"/>
  <c r="D168" i="8" s="1"/>
  <c r="V168" i="8" s="1"/>
  <c r="C169" i="8" l="1"/>
  <c r="D169" i="8" s="1"/>
  <c r="V169" i="8" s="1"/>
  <c r="C170" i="8" l="1"/>
  <c r="D170" i="8" s="1"/>
  <c r="V170" i="8" s="1"/>
  <c r="C171" i="8" l="1"/>
  <c r="D171" i="8" s="1"/>
  <c r="V171" i="8" s="1"/>
  <c r="C172" i="8" l="1"/>
  <c r="D172" i="8" s="1"/>
  <c r="V172" i="8" s="1"/>
  <c r="C173" i="8" l="1"/>
  <c r="D173" i="8" s="1"/>
  <c r="V173" i="8" s="1"/>
  <c r="C174" i="8" l="1"/>
  <c r="D174" i="8" s="1"/>
  <c r="V174" i="8" s="1"/>
  <c r="C175" i="8" l="1"/>
  <c r="D175" i="8" s="1"/>
  <c r="V175" i="8" s="1"/>
  <c r="C176" i="8" l="1"/>
  <c r="D176" i="8" s="1"/>
  <c r="V176" i="8" s="1"/>
  <c r="C177" i="8" l="1"/>
  <c r="D177" i="8" s="1"/>
  <c r="V177" i="8" s="1"/>
  <c r="C178" i="8" l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V190" i="8" s="1"/>
  <c r="C191" i="8" l="1"/>
  <c r="D191" i="8" s="1"/>
  <c r="V191" i="8" s="1"/>
  <c r="C192" i="8" l="1"/>
  <c r="D192" i="8" s="1"/>
  <c r="V192" i="8" s="1"/>
  <c r="C193" i="8" l="1"/>
  <c r="D193" i="8" s="1"/>
  <c r="V193" i="8" s="1"/>
  <c r="C194" i="8" l="1"/>
  <c r="D194" i="8" s="1"/>
  <c r="V194" i="8" s="1"/>
  <c r="C195" i="8" l="1"/>
  <c r="D195" i="8" s="1"/>
  <c r="V195" i="8" s="1"/>
  <c r="C196" i="8" l="1"/>
  <c r="D196" i="8" s="1"/>
  <c r="V196" i="8" s="1"/>
  <c r="C197" i="8" l="1"/>
  <c r="D197" i="8" s="1"/>
  <c r="V197" i="8" s="1"/>
  <c r="C198" i="8" l="1"/>
  <c r="D198" i="8" s="1"/>
  <c r="V198" i="8" s="1"/>
  <c r="C199" i="8" l="1"/>
  <c r="D199" i="8" s="1"/>
  <c r="V199" i="8" s="1"/>
  <c r="C200" i="8" l="1"/>
  <c r="D200" i="8" s="1"/>
  <c r="V200" i="8" s="1"/>
  <c r="C201" i="8" l="1"/>
  <c r="D201" i="8" s="1"/>
  <c r="V201" i="8" s="1"/>
  <c r="C202" i="8" l="1"/>
  <c r="D202" i="8" s="1"/>
  <c r="V202" i="8" s="1"/>
  <c r="C203" i="8" l="1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V212" i="8" s="1"/>
  <c r="C213" i="8" l="1"/>
  <c r="D213" i="8" s="1"/>
  <c r="V213" i="8" s="1"/>
  <c r="C214" i="8" l="1"/>
  <c r="D214" i="8" s="1"/>
  <c r="V214" i="8" s="1"/>
  <c r="C215" i="8" l="1"/>
  <c r="D215" i="8" s="1"/>
  <c r="V215" i="8" s="1"/>
  <c r="C216" i="8" l="1"/>
  <c r="D216" i="8" s="1"/>
  <c r="V216" i="8" s="1"/>
  <c r="C217" i="8" l="1"/>
  <c r="D217" i="8" s="1"/>
  <c r="V217" i="8" s="1"/>
  <c r="C218" i="8" l="1"/>
  <c r="D218" i="8" s="1"/>
  <c r="V218" i="8" s="1"/>
  <c r="C219" i="8" l="1"/>
  <c r="D219" i="8" s="1"/>
  <c r="V219" i="8" s="1"/>
  <c r="C220" i="8" l="1"/>
  <c r="D220" i="8" s="1"/>
  <c r="V220" i="8" s="1"/>
  <c r="C221" i="8" l="1"/>
  <c r="D221" i="8" s="1"/>
  <c r="V221" i="8" s="1"/>
  <c r="C222" i="8" l="1"/>
  <c r="D222" i="8" s="1"/>
  <c r="V222" i="8" s="1"/>
  <c r="C223" i="8" l="1"/>
  <c r="D223" i="8" s="1"/>
  <c r="V223" i="8" s="1"/>
  <c r="C224" i="8" l="1"/>
  <c r="D224" i="8" s="1"/>
  <c r="V224" i="8" s="1"/>
  <c r="C225" i="8" l="1"/>
  <c r="D225" i="8" s="1"/>
  <c r="V225" i="8" s="1"/>
  <c r="C226" i="8" l="1"/>
  <c r="D226" i="8" s="1"/>
  <c r="V226" i="8" s="1"/>
  <c r="C227" i="8" l="1"/>
  <c r="D227" i="8" s="1"/>
  <c r="D228" i="8" s="1"/>
  <c r="D229" i="8" s="1"/>
  <c r="D230" i="8" s="1"/>
  <c r="D231" i="8" s="1"/>
  <c r="D232" i="8" s="1"/>
  <c r="D233" i="8" s="1"/>
  <c r="D234" i="8" s="1"/>
  <c r="D235" i="8" s="1"/>
  <c r="V235" i="8" s="1"/>
  <c r="C236" i="8" l="1"/>
  <c r="D236" i="8" s="1"/>
  <c r="V236" i="8" s="1"/>
  <c r="C237" i="8" l="1"/>
  <c r="D237" i="8" s="1"/>
  <c r="V237" i="8" s="1"/>
  <c r="C238" i="8" l="1"/>
  <c r="D238" i="8" s="1"/>
  <c r="V238" i="8" s="1"/>
  <c r="C239" i="8" l="1"/>
  <c r="D239" i="8" s="1"/>
  <c r="V239" i="8" s="1"/>
  <c r="C240" i="8" l="1"/>
  <c r="D240" i="8" s="1"/>
  <c r="V240" i="8" s="1"/>
  <c r="C241" i="8" l="1"/>
  <c r="D241" i="8" s="1"/>
  <c r="V241" i="8" s="1"/>
  <c r="C242" i="8" l="1"/>
  <c r="D242" i="8" s="1"/>
  <c r="V242" i="8" s="1"/>
  <c r="C243" i="8" l="1"/>
  <c r="D243" i="8" s="1"/>
  <c r="V243" i="8" s="1"/>
  <c r="C244" i="8" l="1"/>
  <c r="D244" i="8" s="1"/>
  <c r="V244" i="8" s="1"/>
  <c r="C245" i="8" l="1"/>
  <c r="D245" i="8" s="1"/>
  <c r="V245" i="8" s="1"/>
  <c r="C246" i="8" l="1"/>
  <c r="D246" i="8" s="1"/>
  <c r="V246" i="8" s="1"/>
  <c r="C247" i="8" l="1"/>
  <c r="D247" i="8" s="1"/>
  <c r="V247" i="8" s="1"/>
  <c r="C248" i="8" l="1"/>
  <c r="D248" i="8" s="1"/>
  <c r="V248" i="8" s="1"/>
  <c r="C249" i="8" l="1"/>
  <c r="D249" i="8" s="1"/>
  <c r="V249" i="8" s="1"/>
  <c r="C250" i="8" l="1"/>
  <c r="D250" i="8" s="1"/>
  <c r="V250" i="8" s="1"/>
  <c r="C251" i="8" l="1"/>
  <c r="D251" i="8" s="1"/>
  <c r="V251" i="8" s="1"/>
  <c r="C252" i="8" l="1"/>
  <c r="D252" i="8" s="1"/>
  <c r="D253" i="8" s="1"/>
  <c r="D254" i="8" s="1"/>
  <c r="D255" i="8" s="1"/>
  <c r="D256" i="8" s="1"/>
  <c r="D257" i="8" s="1"/>
  <c r="D258" i="8" s="1"/>
  <c r="V258" i="8" s="1"/>
  <c r="C259" i="8" l="1"/>
  <c r="D259" i="8" s="1"/>
  <c r="V259" i="8" s="1"/>
  <c r="C260" i="8" l="1"/>
  <c r="D260" i="8" s="1"/>
  <c r="V260" i="8" s="1"/>
  <c r="C261" i="8" l="1"/>
  <c r="D261" i="8" s="1"/>
  <c r="V261" i="8" s="1"/>
  <c r="C262" i="8" l="1"/>
  <c r="D262" i="8" s="1"/>
  <c r="V262" i="8" s="1"/>
  <c r="C263" i="8" l="1"/>
  <c r="D263" i="8" s="1"/>
  <c r="V263" i="8" s="1"/>
  <c r="C264" i="8" l="1"/>
  <c r="D264" i="8" s="1"/>
  <c r="V264" i="8" s="1"/>
  <c r="C265" i="8" l="1"/>
  <c r="D265" i="8" s="1"/>
  <c r="V265" i="8" s="1"/>
  <c r="C266" i="8" l="1"/>
  <c r="D266" i="8" s="1"/>
  <c r="V266" i="8" s="1"/>
  <c r="C267" i="8" l="1"/>
  <c r="D267" i="8" s="1"/>
  <c r="V267" i="8" s="1"/>
  <c r="C268" i="8" l="1"/>
  <c r="D268" i="8" s="1"/>
  <c r="V268" i="8" s="1"/>
  <c r="C269" i="8" l="1"/>
  <c r="D269" i="8" s="1"/>
  <c r="V269" i="8" s="1"/>
  <c r="C270" i="8" l="1"/>
  <c r="D270" i="8" s="1"/>
  <c r="V270" i="8" s="1"/>
  <c r="C271" i="8" l="1"/>
  <c r="D271" i="8" s="1"/>
  <c r="V271" i="8" s="1"/>
  <c r="C272" i="8" l="1"/>
  <c r="D272" i="8" s="1"/>
  <c r="V272" i="8" s="1"/>
  <c r="C273" i="8" l="1"/>
  <c r="D273" i="8" s="1"/>
  <c r="V273" i="8" s="1"/>
  <c r="C274" i="8" l="1"/>
  <c r="D274" i="8" s="1"/>
  <c r="V274" i="8" s="1"/>
  <c r="C275" i="8" l="1"/>
  <c r="D275" i="8" s="1"/>
  <c r="V275" i="8" s="1"/>
  <c r="C276" i="8" l="1"/>
  <c r="D276" i="8" s="1"/>
  <c r="D277" i="8" s="1"/>
  <c r="D278" i="8" s="1"/>
  <c r="D279" i="8" s="1"/>
  <c r="D280" i="8" s="1"/>
  <c r="D281" i="8" s="1"/>
  <c r="D282" i="8" s="1"/>
  <c r="V282" i="8" s="1"/>
  <c r="C283" i="8" l="1"/>
  <c r="D283" i="8" s="1"/>
  <c r="V283" i="8" s="1"/>
  <c r="C284" i="8" l="1"/>
  <c r="D284" i="8" s="1"/>
  <c r="V284" i="8" s="1"/>
  <c r="C285" i="8" l="1"/>
  <c r="D285" i="8" s="1"/>
  <c r="V285" i="8" s="1"/>
  <c r="C286" i="8" l="1"/>
  <c r="D286" i="8" s="1"/>
  <c r="V286" i="8" s="1"/>
  <c r="C287" i="8" l="1"/>
  <c r="D287" i="8" s="1"/>
  <c r="V287" i="8" s="1"/>
  <c r="C288" i="8" l="1"/>
  <c r="D288" i="8" s="1"/>
  <c r="V288" i="8" s="1"/>
  <c r="C289" i="8" l="1"/>
  <c r="D289" i="8" s="1"/>
  <c r="V289" i="8" s="1"/>
</calcChain>
</file>

<file path=xl/sharedStrings.xml><?xml version="1.0" encoding="utf-8"?>
<sst xmlns="http://schemas.openxmlformats.org/spreadsheetml/2006/main" count="994" uniqueCount="396">
  <si>
    <t>Hr</t>
  </si>
  <si>
    <t>Month</t>
  </si>
  <si>
    <t>Solar_Availability_kW/m^2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</si>
  <si>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</si>
  <si>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</si>
  <si>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</si>
  <si>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</si>
  <si>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</si>
  <si>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</si>
  <si>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</si>
  <si>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</si>
  <si>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</si>
  <si>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</si>
  <si>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</si>
  <si>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</si>
  <si>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Area (m2)</t>
  </si>
  <si>
    <t>% OF max solar availability (in July 14th)</t>
  </si>
  <si>
    <t>KWh annual</t>
  </si>
  <si>
    <t>kwh for 288 hrs of all months annual</t>
  </si>
  <si>
    <t>Generated kwh for 4.3 million households (2050)</t>
  </si>
  <si>
    <t>Generated kwh for 0.86 million households (2030)</t>
  </si>
  <si>
    <t>Generated kwh for 1.72 million households (2035)</t>
  </si>
  <si>
    <t>per house</t>
  </si>
  <si>
    <t>for 4.3 mill houses</t>
  </si>
  <si>
    <t>for 0.86 mil</t>
  </si>
  <si>
    <t>for 1.72 mil</t>
  </si>
  <si>
    <t>for 2.58 mil</t>
  </si>
  <si>
    <t>Generated kwh for 2.58 million households (2035)</t>
  </si>
  <si>
    <t>Generated kwh for 3.44 million households (2035)</t>
  </si>
  <si>
    <t>for 3.44 mill</t>
  </si>
  <si>
    <t>Hour_Index</t>
  </si>
  <si>
    <t>Battery_Charge_kWh</t>
  </si>
  <si>
    <t>Battery_Discharge_kWh</t>
  </si>
  <si>
    <t>SOC_kWh</t>
  </si>
  <si>
    <t>10 kwh</t>
  </si>
  <si>
    <t>5 kw</t>
  </si>
  <si>
    <t>4kw</t>
  </si>
  <si>
    <t>pv</t>
  </si>
  <si>
    <t>n=90%</t>
  </si>
  <si>
    <t>Generated  from Pv kwh per household</t>
  </si>
  <si>
    <t>Generated  from Pv kwh</t>
  </si>
  <si>
    <t>household Demand Kwh</t>
  </si>
  <si>
    <t>Export to Grid Kwh from PV</t>
  </si>
  <si>
    <t>Spot Price</t>
  </si>
  <si>
    <t>MIN charge</t>
  </si>
  <si>
    <t>MAX charge</t>
  </si>
  <si>
    <t>willigness to self consume γs (prosumer price dependant)</t>
  </si>
  <si>
    <t>willigness to consume from Grid γs (spot price dependant)</t>
  </si>
  <si>
    <t>Area:</t>
  </si>
  <si>
    <t>Version2_GR_Prosumers Residential</t>
  </si>
  <si>
    <t>Yearly Shape:</t>
  </si>
  <si>
    <t>System Load</t>
  </si>
  <si>
    <t>Profile Type:</t>
  </si>
  <si>
    <t>Energy Load Shape (% of annual energy)</t>
  </si>
  <si>
    <t>Whole Year</t>
  </si>
  <si>
    <t>Hours</t>
  </si>
  <si>
    <t>January: Hr 1</t>
  </si>
  <si>
    <t>January: Hr 2</t>
  </si>
  <si>
    <t>January: Hr 3</t>
  </si>
  <si>
    <t>January: Hr 4</t>
  </si>
  <si>
    <t>January: Hr 5</t>
  </si>
  <si>
    <t>January: Hr 6</t>
  </si>
  <si>
    <t>January: Hr 7</t>
  </si>
  <si>
    <t>January: Hr 8</t>
  </si>
  <si>
    <t>January: Hr 9</t>
  </si>
  <si>
    <t>January: Hr 10</t>
  </si>
  <si>
    <t>January: Hr 11</t>
  </si>
  <si>
    <t>January: Hr 12</t>
  </si>
  <si>
    <t>January: Hr 13</t>
  </si>
  <si>
    <t>January: Hr 14</t>
  </si>
  <si>
    <t>January: Hr 15</t>
  </si>
  <si>
    <t>January: Hr 16</t>
  </si>
  <si>
    <t>January: Hr 17</t>
  </si>
  <si>
    <t>January: Hr 18</t>
  </si>
  <si>
    <t>January: Hr 19</t>
  </si>
  <si>
    <t>January: Hr 20</t>
  </si>
  <si>
    <t>January: Hr 21</t>
  </si>
  <si>
    <t>January: Hr 22</t>
  </si>
  <si>
    <t>January: Hr 23</t>
  </si>
  <si>
    <t>January: Hr 24</t>
  </si>
  <si>
    <t>February: Hr 1</t>
  </si>
  <si>
    <t>February: Hr 2</t>
  </si>
  <si>
    <t>February: Hr 3</t>
  </si>
  <si>
    <t>February: Hr 4</t>
  </si>
  <si>
    <t>February: Hr 5</t>
  </si>
  <si>
    <t>February: Hr 6</t>
  </si>
  <si>
    <t>February: Hr 7</t>
  </si>
  <si>
    <t>February: Hr 8</t>
  </si>
  <si>
    <t>February: Hr 9</t>
  </si>
  <si>
    <t>February: Hr 10</t>
  </si>
  <si>
    <t>February: Hr 11</t>
  </si>
  <si>
    <t>February: Hr 12</t>
  </si>
  <si>
    <t>February: Hr 13</t>
  </si>
  <si>
    <t>February: Hr 14</t>
  </si>
  <si>
    <t>February: Hr 15</t>
  </si>
  <si>
    <t>February: Hr 16</t>
  </si>
  <si>
    <t>February: Hr 17</t>
  </si>
  <si>
    <t>February: Hr 18</t>
  </si>
  <si>
    <t>February: Hr 19</t>
  </si>
  <si>
    <t>February: Hr 20</t>
  </si>
  <si>
    <t>February: Hr 21</t>
  </si>
  <si>
    <t>February: Hr 22</t>
  </si>
  <si>
    <t>February: Hr 23</t>
  </si>
  <si>
    <t>February: Hr 24</t>
  </si>
  <si>
    <t>March: Hr 1</t>
  </si>
  <si>
    <t>March: Hr 2</t>
  </si>
  <si>
    <t>March: Hr 3</t>
  </si>
  <si>
    <t>March: Hr 4</t>
  </si>
  <si>
    <t>March: Hr 5</t>
  </si>
  <si>
    <t>March: Hr 6</t>
  </si>
  <si>
    <t>March: Hr 7</t>
  </si>
  <si>
    <t>March: Hr 8</t>
  </si>
  <si>
    <t>March: Hr 9</t>
  </si>
  <si>
    <t>March: Hr 10</t>
  </si>
  <si>
    <t>March: Hr 11</t>
  </si>
  <si>
    <t>March: Hr 12</t>
  </si>
  <si>
    <t>March: Hr 13</t>
  </si>
  <si>
    <t>March: Hr 14</t>
  </si>
  <si>
    <t>March: Hr 15</t>
  </si>
  <si>
    <t>March: Hr 16</t>
  </si>
  <si>
    <t>March: Hr 17</t>
  </si>
  <si>
    <t>March: Hr 18</t>
  </si>
  <si>
    <t>March: Hr 19</t>
  </si>
  <si>
    <t>March: Hr 20</t>
  </si>
  <si>
    <t>March: Hr 21</t>
  </si>
  <si>
    <t>March: Hr 22</t>
  </si>
  <si>
    <t>March: Hr 23</t>
  </si>
  <si>
    <t>March: Hr 24</t>
  </si>
  <si>
    <t>April: Hr 1</t>
  </si>
  <si>
    <t>April: Hr 2</t>
  </si>
  <si>
    <t>April: Hr 3</t>
  </si>
  <si>
    <t>April: Hr 4</t>
  </si>
  <si>
    <t>April: Hr 5</t>
  </si>
  <si>
    <t>April: Hr 6</t>
  </si>
  <si>
    <t>April: Hr 7</t>
  </si>
  <si>
    <t>April: Hr 8</t>
  </si>
  <si>
    <t>April: Hr 9</t>
  </si>
  <si>
    <t>April: Hr 10</t>
  </si>
  <si>
    <t>April: Hr 11</t>
  </si>
  <si>
    <t>April: Hr 12</t>
  </si>
  <si>
    <t>April: Hr 13</t>
  </si>
  <si>
    <t>April: Hr 14</t>
  </si>
  <si>
    <t>April: Hr 15</t>
  </si>
  <si>
    <t>April: Hr 16</t>
  </si>
  <si>
    <t>April: Hr 17</t>
  </si>
  <si>
    <t>April: Hr 18</t>
  </si>
  <si>
    <t>April: Hr 19</t>
  </si>
  <si>
    <t>April: Hr 20</t>
  </si>
  <si>
    <t>April: Hr 21</t>
  </si>
  <si>
    <t>April: Hr 22</t>
  </si>
  <si>
    <t>April: Hr 23</t>
  </si>
  <si>
    <t>April: Hr 24</t>
  </si>
  <si>
    <t>May: Hr 1</t>
  </si>
  <si>
    <t>May: Hr 2</t>
  </si>
  <si>
    <t>May: Hr 3</t>
  </si>
  <si>
    <t>May: Hr 4</t>
  </si>
  <si>
    <t>May: Hr 5</t>
  </si>
  <si>
    <t>May: Hr 6</t>
  </si>
  <si>
    <t>May: Hr 7</t>
  </si>
  <si>
    <t>May: Hr 8</t>
  </si>
  <si>
    <t>May: Hr 9</t>
  </si>
  <si>
    <t>May: Hr 10</t>
  </si>
  <si>
    <t>May: Hr 11</t>
  </si>
  <si>
    <t>May: Hr 12</t>
  </si>
  <si>
    <t>May: Hr 13</t>
  </si>
  <si>
    <t>May: Hr 14</t>
  </si>
  <si>
    <t>May: Hr 15</t>
  </si>
  <si>
    <t>May: Hr 16</t>
  </si>
  <si>
    <t>May: Hr 17</t>
  </si>
  <si>
    <t>May: Hr 18</t>
  </si>
  <si>
    <t>May: Hr 19</t>
  </si>
  <si>
    <t>May: Hr 20</t>
  </si>
  <si>
    <t>May: Hr 21</t>
  </si>
  <si>
    <t>May: Hr 22</t>
  </si>
  <si>
    <t>May: Hr 23</t>
  </si>
  <si>
    <t>May: Hr 24</t>
  </si>
  <si>
    <t>June: Hr 1</t>
  </si>
  <si>
    <t>June: Hr 2</t>
  </si>
  <si>
    <t>June: Hr 3</t>
  </si>
  <si>
    <t>June: Hr 4</t>
  </si>
  <si>
    <t>June: Hr 5</t>
  </si>
  <si>
    <t>June: Hr 6</t>
  </si>
  <si>
    <t>June: Hr 7</t>
  </si>
  <si>
    <t>June: Hr 8</t>
  </si>
  <si>
    <t>June: Hr 9</t>
  </si>
  <si>
    <t>June: Hr 10</t>
  </si>
  <si>
    <t>June: Hr 11</t>
  </si>
  <si>
    <t>June: Hr 12</t>
  </si>
  <si>
    <t>June: Hr 13</t>
  </si>
  <si>
    <t>June: Hr 14</t>
  </si>
  <si>
    <t>June: Hr 15</t>
  </si>
  <si>
    <t>June: Hr 16</t>
  </si>
  <si>
    <t>June: Hr 17</t>
  </si>
  <si>
    <t>June: Hr 18</t>
  </si>
  <si>
    <t>June: Hr 19</t>
  </si>
  <si>
    <t>June: Hr 20</t>
  </si>
  <si>
    <t>June: Hr 21</t>
  </si>
  <si>
    <t>June: Hr 22</t>
  </si>
  <si>
    <t>June: Hr 23</t>
  </si>
  <si>
    <t>June: Hr 24</t>
  </si>
  <si>
    <t>July: Hr 1</t>
  </si>
  <si>
    <t>July: Hr 2</t>
  </si>
  <si>
    <t>July: Hr 3</t>
  </si>
  <si>
    <t>July: Hr 4</t>
  </si>
  <si>
    <t>July: Hr 5</t>
  </si>
  <si>
    <t>July: Hr 6</t>
  </si>
  <si>
    <t>July: Hr 7</t>
  </si>
  <si>
    <t>July: Hr 8</t>
  </si>
  <si>
    <t>July: Hr 9</t>
  </si>
  <si>
    <t>July: Hr 10</t>
  </si>
  <si>
    <t>July: Hr 11</t>
  </si>
  <si>
    <t>July: Hr 12</t>
  </si>
  <si>
    <t>July: Hr 13</t>
  </si>
  <si>
    <t>July: Hr 14</t>
  </si>
  <si>
    <t>July: Hr 15</t>
  </si>
  <si>
    <t>July: Hr 16</t>
  </si>
  <si>
    <t>July: Hr 17</t>
  </si>
  <si>
    <t>July: Hr 18</t>
  </si>
  <si>
    <t>July: Hr 19</t>
  </si>
  <si>
    <t>July: Hr 20</t>
  </si>
  <si>
    <t>July: Hr 21</t>
  </si>
  <si>
    <t>July: Hr 22</t>
  </si>
  <si>
    <t>July: Hr 23</t>
  </si>
  <si>
    <t>July: Hr 24</t>
  </si>
  <si>
    <t>August: Hr 1</t>
  </si>
  <si>
    <t>August: Hr 2</t>
  </si>
  <si>
    <t>August: Hr 3</t>
  </si>
  <si>
    <t>August: Hr 4</t>
  </si>
  <si>
    <t>August: Hr 5</t>
  </si>
  <si>
    <t>August: Hr 6</t>
  </si>
  <si>
    <t>August: Hr 7</t>
  </si>
  <si>
    <t>August: Hr 8</t>
  </si>
  <si>
    <t>August: Hr 9</t>
  </si>
  <si>
    <t>August: Hr 10</t>
  </si>
  <si>
    <t>August: Hr 11</t>
  </si>
  <si>
    <t>August: Hr 12</t>
  </si>
  <si>
    <t>August: Hr 13</t>
  </si>
  <si>
    <t>August: Hr 14</t>
  </si>
  <si>
    <t>August: Hr 15</t>
  </si>
  <si>
    <t>August: Hr 16</t>
  </si>
  <si>
    <t>August: Hr 17</t>
  </si>
  <si>
    <t>August: Hr 18</t>
  </si>
  <si>
    <t>August: Hr 19</t>
  </si>
  <si>
    <t>August: Hr 20</t>
  </si>
  <si>
    <t>August: Hr 21</t>
  </si>
  <si>
    <t>August: Hr 22</t>
  </si>
  <si>
    <t>August: Hr 23</t>
  </si>
  <si>
    <t>August: Hr 24</t>
  </si>
  <si>
    <t>September: Hr 1</t>
  </si>
  <si>
    <t>September: Hr 2</t>
  </si>
  <si>
    <t>September: Hr 3</t>
  </si>
  <si>
    <t>September: Hr 4</t>
  </si>
  <si>
    <t>September: Hr 5</t>
  </si>
  <si>
    <t>September: Hr 6</t>
  </si>
  <si>
    <t>September: Hr 7</t>
  </si>
  <si>
    <t>September: Hr 8</t>
  </si>
  <si>
    <t>September: Hr 9</t>
  </si>
  <si>
    <t>September: Hr 10</t>
  </si>
  <si>
    <t>September: Hr 11</t>
  </si>
  <si>
    <t>September: Hr 12</t>
  </si>
  <si>
    <t>September: Hr 13</t>
  </si>
  <si>
    <t>September: Hr 14</t>
  </si>
  <si>
    <t>September: Hr 15</t>
  </si>
  <si>
    <t>September: Hr 16</t>
  </si>
  <si>
    <t>September: Hr 17</t>
  </si>
  <si>
    <t>September: Hr 18</t>
  </si>
  <si>
    <t>September: Hr 19</t>
  </si>
  <si>
    <t>September: Hr 20</t>
  </si>
  <si>
    <t>September: Hr 21</t>
  </si>
  <si>
    <t>September: Hr 22</t>
  </si>
  <si>
    <t>September: Hr 23</t>
  </si>
  <si>
    <t>September: Hr 24</t>
  </si>
  <si>
    <t>October: Hr 1</t>
  </si>
  <si>
    <t>October: Hr 2</t>
  </si>
  <si>
    <t>October: Hr 3</t>
  </si>
  <si>
    <t>October: Hr 4</t>
  </si>
  <si>
    <t>October: Hr 5</t>
  </si>
  <si>
    <t>October: Hr 6</t>
  </si>
  <si>
    <t>October: Hr 7</t>
  </si>
  <si>
    <t>October: Hr 8</t>
  </si>
  <si>
    <t>October: Hr 9</t>
  </si>
  <si>
    <t>October: Hr 10</t>
  </si>
  <si>
    <t>October: Hr 11</t>
  </si>
  <si>
    <t>October: Hr 12</t>
  </si>
  <si>
    <t>October: Hr 13</t>
  </si>
  <si>
    <t>October: Hr 14</t>
  </si>
  <si>
    <t>October: Hr 15</t>
  </si>
  <si>
    <t>October: Hr 16</t>
  </si>
  <si>
    <t>October: Hr 17</t>
  </si>
  <si>
    <t>October: Hr 18</t>
  </si>
  <si>
    <t>October: Hr 19</t>
  </si>
  <si>
    <t>October: Hr 20</t>
  </si>
  <si>
    <t>October: Hr 21</t>
  </si>
  <si>
    <t>October: Hr 22</t>
  </si>
  <si>
    <t>October: Hr 23</t>
  </si>
  <si>
    <t>October: Hr 24</t>
  </si>
  <si>
    <t>November: Hr 1</t>
  </si>
  <si>
    <t>November: Hr 2</t>
  </si>
  <si>
    <t>November: Hr 3</t>
  </si>
  <si>
    <t>November: Hr 4</t>
  </si>
  <si>
    <t>November: Hr 5</t>
  </si>
  <si>
    <t>November: Hr 6</t>
  </si>
  <si>
    <t>November: Hr 7</t>
  </si>
  <si>
    <t>November: Hr 8</t>
  </si>
  <si>
    <t>November: Hr 9</t>
  </si>
  <si>
    <t>November: Hr 10</t>
  </si>
  <si>
    <t>November: Hr 11</t>
  </si>
  <si>
    <t>November: Hr 12</t>
  </si>
  <si>
    <t>November: Hr 13</t>
  </si>
  <si>
    <t>November: Hr 14</t>
  </si>
  <si>
    <t>November: Hr 15</t>
  </si>
  <si>
    <t>November: Hr 16</t>
  </si>
  <si>
    <t>November: Hr 17</t>
  </si>
  <si>
    <t>November: Hr 18</t>
  </si>
  <si>
    <t>November: Hr 19</t>
  </si>
  <si>
    <t>November: Hr 20</t>
  </si>
  <si>
    <t>November: Hr 21</t>
  </si>
  <si>
    <t>November: Hr 22</t>
  </si>
  <si>
    <t>November: Hr 23</t>
  </si>
  <si>
    <t>November: Hr 24</t>
  </si>
  <si>
    <t>December: Hr 1</t>
  </si>
  <si>
    <t>December: Hr 2</t>
  </si>
  <si>
    <t>December: Hr 3</t>
  </si>
  <si>
    <t>December: Hr 4</t>
  </si>
  <si>
    <t>December: Hr 5</t>
  </si>
  <si>
    <t>December: Hr 6</t>
  </si>
  <si>
    <t>December: Hr 7</t>
  </si>
  <si>
    <t>December: Hr 8</t>
  </si>
  <si>
    <t>December: Hr 9</t>
  </si>
  <si>
    <t>December: Hr 10</t>
  </si>
  <si>
    <t>December: Hr 11</t>
  </si>
  <si>
    <t>December: Hr 12</t>
  </si>
  <si>
    <t>December: Hr 13</t>
  </si>
  <si>
    <t>December: Hr 14</t>
  </si>
  <si>
    <t>December: Hr 15</t>
  </si>
  <si>
    <t>December: Hr 16</t>
  </si>
  <si>
    <t>December: Hr 17</t>
  </si>
  <si>
    <t>December: Hr 18</t>
  </si>
  <si>
    <t>December: Hr 19</t>
  </si>
  <si>
    <t>December: Hr 20</t>
  </si>
  <si>
    <t>December: Hr 21</t>
  </si>
  <si>
    <t>December: Hr 22</t>
  </si>
  <si>
    <t>December: Hr 23</t>
  </si>
  <si>
    <t>December: Hr 24</t>
  </si>
  <si>
    <t>Surplus/Deficit (Kwh)</t>
  </si>
  <si>
    <t>Utility function based on Grid</t>
  </si>
  <si>
    <t>Utility based on PV</t>
  </si>
  <si>
    <t>Charge or Sell to grid</t>
  </si>
  <si>
    <t>Buy from Grid or import from Discharge</t>
  </si>
  <si>
    <t>income</t>
  </si>
  <si>
    <t>payment</t>
  </si>
  <si>
    <t>annual net income</t>
  </si>
  <si>
    <t>annual expences just as consumer</t>
  </si>
  <si>
    <t>expences at current regime</t>
  </si>
  <si>
    <t>annual benefit per household</t>
  </si>
  <si>
    <t>benefits over years</t>
  </si>
  <si>
    <t>households</t>
  </si>
  <si>
    <t>year</t>
  </si>
  <si>
    <t>GHG em reductions</t>
  </si>
  <si>
    <t>net income (based on spot price 2023)</t>
  </si>
  <si>
    <t>Load_Shape</t>
  </si>
  <si>
    <t>Hourly Demand per household</t>
  </si>
  <si>
    <t>Year</t>
  </si>
  <si>
    <t>Annual Demand (TWh)</t>
  </si>
  <si>
    <t>Daily Demand per household (KWh)</t>
  </si>
  <si>
    <t>Surplus/Deficit cumulative</t>
  </si>
  <si>
    <t>P,sell</t>
  </si>
  <si>
    <t>SC,min</t>
  </si>
  <si>
    <t>Utility based on PV, opt</t>
  </si>
  <si>
    <t>Utility based on PV, min</t>
  </si>
  <si>
    <t>α, sc,opt</t>
  </si>
  <si>
    <t>Calculated Spot Price with Upv,min and a,sc,opt</t>
  </si>
  <si>
    <t>Consumption from Grid</t>
  </si>
  <si>
    <t>C+SC</t>
  </si>
  <si>
    <t>Total Electricity Consumption (Kwh)</t>
  </si>
  <si>
    <t>Electricity Savings (GWH)</t>
  </si>
  <si>
    <t>1,20*(Calculated Spot Price with Upv,min and a,sc,opt)</t>
  </si>
  <si>
    <t>Spot Price, new Set</t>
  </si>
  <si>
    <t> euro/MWh</t>
  </si>
  <si>
    <t>Pr,NG,min</t>
  </si>
  <si>
    <t>Pr,NG,avg</t>
  </si>
  <si>
    <t>Pr,NG,max</t>
  </si>
  <si>
    <t>Pr,eq, avg</t>
  </si>
  <si>
    <t>Pr,eq, max</t>
  </si>
  <si>
    <t>a,avg</t>
  </si>
  <si>
    <t>a,max</t>
  </si>
  <si>
    <t>a,t</t>
  </si>
  <si>
    <t>PPA,t (euro/MWh)</t>
  </si>
  <si>
    <t>Pr, NG,t (euro/MWh)</t>
  </si>
  <si>
    <t>π.χ.</t>
  </si>
  <si>
    <t>BAU electricity mix.</t>
  </si>
  <si>
    <t>NCEP electricity mix.</t>
  </si>
  <si>
    <t>20.7 TWh at 2022</t>
  </si>
  <si>
    <t>Estimated Residential emissions (tCO2eq)</t>
  </si>
  <si>
    <t>% of Emissions Reduction</t>
  </si>
  <si>
    <t>GHG em reductions (tCO2eq)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</si>
</sst>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[$€-1]"/>
    <numFmt numFmtId="165" formatCode="#,##0.0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2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" borderId="0" xfId="0" applyNumberForma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EECF095-FF18-4F67-B633-42F5BA0635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F82B-4AC8-4F82-ADC8-FD8E6F2889C7}">
  <dimension ref="A1:K295"/>
  <sheetViews>
    <sheetView topLeftCell="B272" workbookViewId="0">
      <selection activeCell="F296" sqref="F296"/>
    </sheetView>
  </sheetViews>
  <sheetFormatPr baseColWidth="10" defaultColWidth="8.6640625" defaultRowHeight="14"/>
  <cols>
    <col min="1" max="2" width="8.6640625" style="1"/>
    <col min="3" max="3" width="22.1640625" style="1" bestFit="1" customWidth="1"/>
    <col min="4" max="4" width="8.6640625" style="1"/>
    <col min="5" max="5" width="14.6640625" style="1" customWidth="1"/>
    <col min="6" max="6" width="26" style="1" bestFit="1" customWidth="1"/>
    <col min="7" max="7" width="19.5" style="3" customWidth="1"/>
    <col min="8" max="8" width="16.1640625" style="1" customWidth="1"/>
    <col min="9" max="9" width="15.33203125" style="1" customWidth="1"/>
    <col min="10" max="10" width="13.5" style="1" customWidth="1"/>
    <col min="11" max="11" width="14.83203125" style="1" customWidth="1"/>
    <col min="12" max="16384" width="8.6640625" style="1"/>
  </cols>
  <sheetData>
    <row r="1" spans="1:11" ht="75">
      <c r="A1" s="1" t="s">
        <v>0</v>
      </c>
      <c r="B1" s="1" t="s">
        <v>1</v>
      </c>
      <c r="C1" s="1" t="s">
        <v>2</v>
      </c>
      <c r="D1" s="1" t="s">
        <v>16</v>
      </c>
      <c r="E1" s="1" t="s">
        <v>15</v>
      </c>
      <c r="F1" s="2" t="s">
        <v>39</v>
      </c>
      <c r="G1" s="3" t="s">
        <v>19</v>
      </c>
      <c r="H1" s="3" t="s">
        <v>20</v>
      </c>
      <c r="I1" s="3" t="s">
        <v>21</v>
      </c>
      <c r="J1" s="3" t="s">
        <v>27</v>
      </c>
      <c r="K1" s="3" t="s">
        <v>28</v>
      </c>
    </row>
    <row r="2" spans="1:11" ht="15">
      <c r="A2" s="1">
        <v>1</v>
      </c>
      <c r="B2" s="1" t="s">
        <v>3</v>
      </c>
      <c r="C2" s="1">
        <v>0</v>
      </c>
      <c r="D2" s="1">
        <v>0</v>
      </c>
      <c r="E2" s="1">
        <f>1*(4000/200)</f>
        <v>20</v>
      </c>
      <c r="F2" s="1">
        <f>E2*C2*0.18</f>
        <v>0</v>
      </c>
      <c r="G2" s="3">
        <f>F2*4300000</f>
        <v>0</v>
      </c>
      <c r="H2" s="3">
        <f>(4300000*5/25)*F2</f>
        <v>0</v>
      </c>
      <c r="I2" s="3">
        <f>(4300000*10/25)*F2</f>
        <v>0</v>
      </c>
      <c r="J2" s="3">
        <f>F2*2580000</f>
        <v>0</v>
      </c>
      <c r="K2" s="3">
        <f>F2*3440000</f>
        <v>0</v>
      </c>
    </row>
    <row r="3" spans="1:11" ht="15">
      <c r="A3" s="1">
        <v>2</v>
      </c>
      <c r="B3" s="1" t="s">
        <v>3</v>
      </c>
      <c r="C3" s="1">
        <v>0</v>
      </c>
      <c r="D3" s="1">
        <v>0</v>
      </c>
      <c r="E3" s="1">
        <f t="shared" ref="E3:E66" si="0">1*(4000/200)</f>
        <v>20</v>
      </c>
      <c r="F3" s="1">
        <f t="shared" ref="F3:F66" si="1">E3*C3*0.18</f>
        <v>0</v>
      </c>
      <c r="G3" s="3">
        <f t="shared" ref="G3:G66" si="2">F3*4300000</f>
        <v>0</v>
      </c>
      <c r="H3" s="3">
        <f t="shared" ref="H3:H66" si="3">(4300000*5/25)*F3</f>
        <v>0</v>
      </c>
      <c r="I3" s="3">
        <f t="shared" ref="I3:I66" si="4">(4300000*10/25)*F3</f>
        <v>0</v>
      </c>
      <c r="J3" s="3">
        <f t="shared" ref="J3:J66" si="5">F3*2580000</f>
        <v>0</v>
      </c>
      <c r="K3" s="3">
        <f t="shared" ref="K3:K66" si="6">F3*3440000</f>
        <v>0</v>
      </c>
    </row>
    <row r="4" spans="1:11" ht="15">
      <c r="A4" s="1">
        <v>3</v>
      </c>
      <c r="B4" s="1" t="s">
        <v>3</v>
      </c>
      <c r="C4" s="1">
        <v>0</v>
      </c>
      <c r="D4" s="1">
        <v>0</v>
      </c>
      <c r="E4" s="1">
        <f t="shared" si="0"/>
        <v>20</v>
      </c>
      <c r="F4" s="1">
        <f t="shared" si="1"/>
        <v>0</v>
      </c>
      <c r="G4" s="3">
        <f t="shared" si="2"/>
        <v>0</v>
      </c>
      <c r="H4" s="3">
        <f t="shared" si="3"/>
        <v>0</v>
      </c>
      <c r="I4" s="3">
        <f t="shared" si="4"/>
        <v>0</v>
      </c>
      <c r="J4" s="3">
        <f t="shared" si="5"/>
        <v>0</v>
      </c>
      <c r="K4" s="3">
        <f t="shared" si="6"/>
        <v>0</v>
      </c>
    </row>
    <row r="5" spans="1:11" ht="15">
      <c r="A5" s="1">
        <v>4</v>
      </c>
      <c r="B5" s="1" t="s">
        <v>3</v>
      </c>
      <c r="C5" s="1">
        <v>0</v>
      </c>
      <c r="D5" s="1">
        <v>0</v>
      </c>
      <c r="E5" s="1">
        <f t="shared" si="0"/>
        <v>20</v>
      </c>
      <c r="F5" s="1">
        <f t="shared" si="1"/>
        <v>0</v>
      </c>
      <c r="G5" s="3">
        <f t="shared" si="2"/>
        <v>0</v>
      </c>
      <c r="H5" s="3">
        <f t="shared" si="3"/>
        <v>0</v>
      </c>
      <c r="I5" s="3">
        <f t="shared" si="4"/>
        <v>0</v>
      </c>
      <c r="J5" s="3">
        <f t="shared" si="5"/>
        <v>0</v>
      </c>
      <c r="K5" s="3">
        <f t="shared" si="6"/>
        <v>0</v>
      </c>
    </row>
    <row r="6" spans="1:11" ht="15">
      <c r="A6" s="1">
        <v>5</v>
      </c>
      <c r="B6" s="1" t="s">
        <v>3</v>
      </c>
      <c r="C6" s="1">
        <v>0</v>
      </c>
      <c r="D6" s="1">
        <v>0</v>
      </c>
      <c r="E6" s="1">
        <f t="shared" si="0"/>
        <v>20</v>
      </c>
      <c r="F6" s="1">
        <f t="shared" si="1"/>
        <v>0</v>
      </c>
      <c r="G6" s="3">
        <f t="shared" si="2"/>
        <v>0</v>
      </c>
      <c r="H6" s="3">
        <f t="shared" si="3"/>
        <v>0</v>
      </c>
      <c r="I6" s="3">
        <f t="shared" si="4"/>
        <v>0</v>
      </c>
      <c r="J6" s="3">
        <f t="shared" si="5"/>
        <v>0</v>
      </c>
      <c r="K6" s="3">
        <f t="shared" si="6"/>
        <v>0</v>
      </c>
    </row>
    <row r="7" spans="1:11" ht="15">
      <c r="A7" s="1">
        <v>6</v>
      </c>
      <c r="B7" s="1" t="s">
        <v>3</v>
      </c>
      <c r="C7" s="1">
        <v>0</v>
      </c>
      <c r="D7" s="1">
        <v>0</v>
      </c>
      <c r="E7" s="1">
        <f t="shared" si="0"/>
        <v>20</v>
      </c>
      <c r="F7" s="1">
        <f t="shared" si="1"/>
        <v>0</v>
      </c>
      <c r="G7" s="3">
        <f t="shared" si="2"/>
        <v>0</v>
      </c>
      <c r="H7" s="3">
        <f t="shared" si="3"/>
        <v>0</v>
      </c>
      <c r="I7" s="3">
        <f t="shared" si="4"/>
        <v>0</v>
      </c>
      <c r="J7" s="3">
        <f t="shared" si="5"/>
        <v>0</v>
      </c>
      <c r="K7" s="3">
        <f t="shared" si="6"/>
        <v>0</v>
      </c>
    </row>
    <row r="8" spans="1:11" ht="15">
      <c r="A8" s="1">
        <v>7</v>
      </c>
      <c r="B8" s="1" t="s">
        <v>3</v>
      </c>
      <c r="C8" s="1">
        <v>0.01</v>
      </c>
      <c r="D8" s="1">
        <v>1.10123852161694</v>
      </c>
      <c r="E8" s="1">
        <f t="shared" si="0"/>
        <v>20</v>
      </c>
      <c r="F8" s="1">
        <f t="shared" si="1"/>
        <v>3.5999999999999997E-2</v>
      </c>
      <c r="G8" s="3">
        <f t="shared" si="2"/>
        <v>154800</v>
      </c>
      <c r="H8" s="3">
        <f t="shared" si="3"/>
        <v>30959.999999999996</v>
      </c>
      <c r="I8" s="3">
        <f t="shared" si="4"/>
        <v>61919.999999999993</v>
      </c>
      <c r="J8" s="3">
        <f t="shared" si="5"/>
        <v>92880</v>
      </c>
      <c r="K8" s="3">
        <f t="shared" si="6"/>
        <v>123839.99999999999</v>
      </c>
    </row>
    <row r="9" spans="1:11" ht="15">
      <c r="A9" s="1">
        <v>8</v>
      </c>
      <c r="B9" s="1" t="s">
        <v>3</v>
      </c>
      <c r="C9" s="1">
        <v>0.02</v>
      </c>
      <c r="D9" s="1">
        <v>2.2024770432338818</v>
      </c>
      <c r="E9" s="1">
        <f t="shared" si="0"/>
        <v>20</v>
      </c>
      <c r="F9" s="1">
        <f t="shared" si="1"/>
        <v>7.1999999999999995E-2</v>
      </c>
      <c r="G9" s="3">
        <f t="shared" si="2"/>
        <v>309600</v>
      </c>
      <c r="H9" s="3">
        <f t="shared" si="3"/>
        <v>61919.999999999993</v>
      </c>
      <c r="I9" s="3">
        <f t="shared" si="4"/>
        <v>123839.99999999999</v>
      </c>
      <c r="J9" s="3">
        <f t="shared" si="5"/>
        <v>185760</v>
      </c>
      <c r="K9" s="3">
        <f t="shared" si="6"/>
        <v>247679.99999999997</v>
      </c>
    </row>
    <row r="10" spans="1:11" ht="15">
      <c r="A10" s="1">
        <v>9</v>
      </c>
      <c r="B10" s="1" t="s">
        <v>3</v>
      </c>
      <c r="C10" s="1">
        <v>0.03</v>
      </c>
      <c r="D10" s="1">
        <v>3.303715564850823</v>
      </c>
      <c r="E10" s="1">
        <f t="shared" si="0"/>
        <v>20</v>
      </c>
      <c r="F10" s="1">
        <f t="shared" si="1"/>
        <v>0.108</v>
      </c>
      <c r="G10" s="3">
        <f t="shared" si="2"/>
        <v>464400</v>
      </c>
      <c r="H10" s="3">
        <f t="shared" si="3"/>
        <v>92880</v>
      </c>
      <c r="I10" s="3">
        <f t="shared" si="4"/>
        <v>185760</v>
      </c>
      <c r="J10" s="3">
        <f t="shared" si="5"/>
        <v>278640</v>
      </c>
      <c r="K10" s="3">
        <f t="shared" si="6"/>
        <v>371520</v>
      </c>
    </row>
    <row r="11" spans="1:11" ht="15">
      <c r="A11" s="1">
        <v>10</v>
      </c>
      <c r="B11" s="1" t="s">
        <v>3</v>
      </c>
      <c r="C11" s="1">
        <v>4.9493308406777702E-2</v>
      </c>
      <c r="D11" s="1">
        <v>5.4503937779811187</v>
      </c>
      <c r="E11" s="1">
        <f t="shared" si="0"/>
        <v>20</v>
      </c>
      <c r="F11" s="1">
        <f t="shared" si="1"/>
        <v>0.17817591026439972</v>
      </c>
      <c r="G11" s="3">
        <f t="shared" si="2"/>
        <v>766156.41413691873</v>
      </c>
      <c r="H11" s="3">
        <f t="shared" si="3"/>
        <v>153231.28282738375</v>
      </c>
      <c r="I11" s="3">
        <f t="shared" si="4"/>
        <v>306462.5656547675</v>
      </c>
      <c r="J11" s="3">
        <f t="shared" si="5"/>
        <v>459693.84848215128</v>
      </c>
      <c r="K11" s="3">
        <f t="shared" si="6"/>
        <v>612925.13130953501</v>
      </c>
    </row>
    <row r="12" spans="1:11" ht="15">
      <c r="A12" s="1">
        <v>11</v>
      </c>
      <c r="B12" s="1" t="s">
        <v>3</v>
      </c>
      <c r="C12" s="1">
        <v>0.169059170895278</v>
      </c>
      <c r="D12" s="1">
        <v>18.617447142250175</v>
      </c>
      <c r="E12" s="1">
        <f t="shared" si="0"/>
        <v>20</v>
      </c>
      <c r="F12" s="1">
        <f t="shared" si="1"/>
        <v>0.60861301522300082</v>
      </c>
      <c r="G12" s="3">
        <f t="shared" si="2"/>
        <v>2617035.9654589035</v>
      </c>
      <c r="H12" s="3">
        <f t="shared" si="3"/>
        <v>523407.1930917807</v>
      </c>
      <c r="I12" s="3">
        <f t="shared" si="4"/>
        <v>1046814.3861835614</v>
      </c>
      <c r="J12" s="3">
        <f t="shared" si="5"/>
        <v>1570221.5792753422</v>
      </c>
      <c r="K12" s="3">
        <f t="shared" si="6"/>
        <v>2093628.7723671228</v>
      </c>
    </row>
    <row r="13" spans="1:11" ht="15">
      <c r="A13" s="1">
        <v>12</v>
      </c>
      <c r="B13" s="1" t="s">
        <v>3</v>
      </c>
      <c r="C13" s="1">
        <v>0.29899999999999999</v>
      </c>
      <c r="D13" s="1">
        <v>32.927031796346533</v>
      </c>
      <c r="E13" s="1">
        <f t="shared" si="0"/>
        <v>20</v>
      </c>
      <c r="F13" s="1">
        <f t="shared" si="1"/>
        <v>1.0763999999999998</v>
      </c>
      <c r="G13" s="3">
        <f t="shared" si="2"/>
        <v>4628519.9999999991</v>
      </c>
      <c r="H13" s="3">
        <f t="shared" si="3"/>
        <v>925703.99999999988</v>
      </c>
      <c r="I13" s="3">
        <f t="shared" si="4"/>
        <v>1851407.9999999998</v>
      </c>
      <c r="J13" s="3">
        <f t="shared" si="5"/>
        <v>2777111.9999999995</v>
      </c>
      <c r="K13" s="3">
        <f t="shared" si="6"/>
        <v>3702815.9999999995</v>
      </c>
    </row>
    <row r="14" spans="1:11" ht="15">
      <c r="A14" s="1">
        <v>13</v>
      </c>
      <c r="B14" s="1" t="s">
        <v>3</v>
      </c>
      <c r="C14" s="1">
        <v>0.38100000000000001</v>
      </c>
      <c r="D14" s="1">
        <v>41.957187673605453</v>
      </c>
      <c r="E14" s="1">
        <f t="shared" si="0"/>
        <v>20</v>
      </c>
      <c r="F14" s="1">
        <f t="shared" si="1"/>
        <v>1.3715999999999999</v>
      </c>
      <c r="G14" s="3">
        <f t="shared" si="2"/>
        <v>5897880</v>
      </c>
      <c r="H14" s="3">
        <f t="shared" si="3"/>
        <v>1179576</v>
      </c>
      <c r="I14" s="3">
        <f t="shared" si="4"/>
        <v>2359152</v>
      </c>
      <c r="J14" s="3">
        <f t="shared" si="5"/>
        <v>3538728</v>
      </c>
      <c r="K14" s="3">
        <f t="shared" si="6"/>
        <v>4718304</v>
      </c>
    </row>
    <row r="15" spans="1:11" ht="15">
      <c r="A15" s="1">
        <v>14</v>
      </c>
      <c r="B15" s="1" t="s">
        <v>3</v>
      </c>
      <c r="C15" s="1">
        <v>0.39700000000000002</v>
      </c>
      <c r="D15" s="1">
        <v>43.719169308192562</v>
      </c>
      <c r="E15" s="1">
        <f t="shared" si="0"/>
        <v>20</v>
      </c>
      <c r="F15" s="1">
        <f t="shared" si="1"/>
        <v>1.4292</v>
      </c>
      <c r="G15" s="3">
        <f t="shared" si="2"/>
        <v>6145560</v>
      </c>
      <c r="H15" s="3">
        <f t="shared" si="3"/>
        <v>1229112</v>
      </c>
      <c r="I15" s="3">
        <f t="shared" si="4"/>
        <v>2458224</v>
      </c>
      <c r="J15" s="3">
        <f t="shared" si="5"/>
        <v>3687336</v>
      </c>
      <c r="K15" s="3">
        <f t="shared" si="6"/>
        <v>4916448</v>
      </c>
    </row>
    <row r="16" spans="1:11" ht="15">
      <c r="A16" s="1">
        <v>15</v>
      </c>
      <c r="B16" s="1" t="s">
        <v>3</v>
      </c>
      <c r="C16" s="1">
        <v>0.376</v>
      </c>
      <c r="D16" s="1">
        <v>41.406568412796986</v>
      </c>
      <c r="E16" s="1">
        <f t="shared" si="0"/>
        <v>20</v>
      </c>
      <c r="F16" s="1">
        <f t="shared" si="1"/>
        <v>1.3535999999999999</v>
      </c>
      <c r="G16" s="3">
        <f t="shared" si="2"/>
        <v>5820480</v>
      </c>
      <c r="H16" s="3">
        <f t="shared" si="3"/>
        <v>1164096</v>
      </c>
      <c r="I16" s="3">
        <f t="shared" si="4"/>
        <v>2328192</v>
      </c>
      <c r="J16" s="3">
        <f t="shared" si="5"/>
        <v>3492288</v>
      </c>
      <c r="K16" s="3">
        <f t="shared" si="6"/>
        <v>4656384</v>
      </c>
    </row>
    <row r="17" spans="1:11" ht="15">
      <c r="A17" s="1">
        <v>16</v>
      </c>
      <c r="B17" s="1" t="s">
        <v>3</v>
      </c>
      <c r="C17" s="1">
        <v>0.307</v>
      </c>
      <c r="D17" s="1">
        <v>33.808022613640091</v>
      </c>
      <c r="E17" s="1">
        <f t="shared" si="0"/>
        <v>20</v>
      </c>
      <c r="F17" s="1">
        <f t="shared" si="1"/>
        <v>1.1052</v>
      </c>
      <c r="G17" s="3">
        <f t="shared" si="2"/>
        <v>4752360</v>
      </c>
      <c r="H17" s="3">
        <f t="shared" si="3"/>
        <v>950472</v>
      </c>
      <c r="I17" s="3">
        <f t="shared" si="4"/>
        <v>1900944</v>
      </c>
      <c r="J17" s="3">
        <f t="shared" si="5"/>
        <v>2851416</v>
      </c>
      <c r="K17" s="3">
        <f t="shared" si="6"/>
        <v>3801888</v>
      </c>
    </row>
    <row r="18" spans="1:11" ht="15">
      <c r="A18" s="1">
        <v>17</v>
      </c>
      <c r="B18" s="1" t="s">
        <v>3</v>
      </c>
      <c r="C18" s="1">
        <v>0.21099999999999999</v>
      </c>
      <c r="D18" s="1">
        <v>23.236132806117453</v>
      </c>
      <c r="E18" s="1">
        <f t="shared" si="0"/>
        <v>20</v>
      </c>
      <c r="F18" s="1">
        <f t="shared" si="1"/>
        <v>0.75959999999999994</v>
      </c>
      <c r="G18" s="3">
        <f t="shared" si="2"/>
        <v>3266279.9999999995</v>
      </c>
      <c r="H18" s="3">
        <f t="shared" si="3"/>
        <v>653256</v>
      </c>
      <c r="I18" s="3">
        <f t="shared" si="4"/>
        <v>1306512</v>
      </c>
      <c r="J18" s="3">
        <f t="shared" si="5"/>
        <v>1959767.9999999998</v>
      </c>
      <c r="K18" s="3">
        <f t="shared" si="6"/>
        <v>2613024</v>
      </c>
    </row>
    <row r="19" spans="1:11" ht="15">
      <c r="A19" s="1">
        <v>18</v>
      </c>
      <c r="B19" s="1" t="s">
        <v>3</v>
      </c>
      <c r="C19" s="1">
        <v>8.5999999999999993E-2</v>
      </c>
      <c r="D19" s="1">
        <v>9.4706512859056922</v>
      </c>
      <c r="E19" s="1">
        <f t="shared" si="0"/>
        <v>20</v>
      </c>
      <c r="F19" s="1">
        <f t="shared" si="1"/>
        <v>0.30959999999999993</v>
      </c>
      <c r="G19" s="3">
        <f t="shared" si="2"/>
        <v>1331279.9999999998</v>
      </c>
      <c r="H19" s="3">
        <f t="shared" si="3"/>
        <v>266255.99999999994</v>
      </c>
      <c r="I19" s="3">
        <f t="shared" si="4"/>
        <v>532511.99999999988</v>
      </c>
      <c r="J19" s="3">
        <f t="shared" si="5"/>
        <v>798767.99999999977</v>
      </c>
      <c r="K19" s="3">
        <f t="shared" si="6"/>
        <v>1065023.9999999998</v>
      </c>
    </row>
    <row r="20" spans="1:11" ht="15">
      <c r="A20" s="1">
        <v>19</v>
      </c>
      <c r="B20" s="1" t="s">
        <v>3</v>
      </c>
      <c r="C20" s="1">
        <v>8.0000000000000002E-3</v>
      </c>
      <c r="D20" s="1">
        <v>0.88099081729355289</v>
      </c>
      <c r="E20" s="1">
        <f t="shared" si="0"/>
        <v>20</v>
      </c>
      <c r="F20" s="1">
        <f t="shared" si="1"/>
        <v>2.8799999999999999E-2</v>
      </c>
      <c r="G20" s="3">
        <f t="shared" si="2"/>
        <v>123840</v>
      </c>
      <c r="H20" s="3">
        <f t="shared" si="3"/>
        <v>24768</v>
      </c>
      <c r="I20" s="3">
        <f t="shared" si="4"/>
        <v>49536</v>
      </c>
      <c r="J20" s="3">
        <f t="shared" si="5"/>
        <v>74304</v>
      </c>
      <c r="K20" s="3">
        <f t="shared" si="6"/>
        <v>99072</v>
      </c>
    </row>
    <row r="21" spans="1:11" ht="15">
      <c r="A21" s="1">
        <v>20</v>
      </c>
      <c r="B21" s="1" t="s">
        <v>3</v>
      </c>
      <c r="C21" s="1">
        <v>0</v>
      </c>
      <c r="D21" s="1">
        <v>0</v>
      </c>
      <c r="E21" s="1">
        <f t="shared" si="0"/>
        <v>20</v>
      </c>
      <c r="F21" s="1">
        <f t="shared" si="1"/>
        <v>0</v>
      </c>
      <c r="G21" s="3">
        <f t="shared" si="2"/>
        <v>0</v>
      </c>
      <c r="H21" s="3">
        <f t="shared" si="3"/>
        <v>0</v>
      </c>
      <c r="I21" s="3">
        <f t="shared" si="4"/>
        <v>0</v>
      </c>
      <c r="J21" s="3">
        <f t="shared" si="5"/>
        <v>0</v>
      </c>
      <c r="K21" s="3">
        <f t="shared" si="6"/>
        <v>0</v>
      </c>
    </row>
    <row r="22" spans="1:11" ht="15">
      <c r="A22" s="1">
        <v>21</v>
      </c>
      <c r="B22" s="1" t="s">
        <v>3</v>
      </c>
      <c r="C22" s="1">
        <v>0</v>
      </c>
      <c r="D22" s="1">
        <v>0</v>
      </c>
      <c r="E22" s="1">
        <f t="shared" si="0"/>
        <v>20</v>
      </c>
      <c r="F22" s="1">
        <f t="shared" si="1"/>
        <v>0</v>
      </c>
      <c r="G22" s="3">
        <f t="shared" si="2"/>
        <v>0</v>
      </c>
      <c r="H22" s="3">
        <f t="shared" si="3"/>
        <v>0</v>
      </c>
      <c r="I22" s="3">
        <f t="shared" si="4"/>
        <v>0</v>
      </c>
      <c r="J22" s="3">
        <f t="shared" si="5"/>
        <v>0</v>
      </c>
      <c r="K22" s="3">
        <f t="shared" si="6"/>
        <v>0</v>
      </c>
    </row>
    <row r="23" spans="1:11" ht="15">
      <c r="A23" s="1">
        <v>22</v>
      </c>
      <c r="B23" s="1" t="s">
        <v>3</v>
      </c>
      <c r="C23" s="1">
        <v>0</v>
      </c>
      <c r="D23" s="1">
        <v>0</v>
      </c>
      <c r="E23" s="1">
        <f t="shared" si="0"/>
        <v>20</v>
      </c>
      <c r="F23" s="1">
        <f t="shared" si="1"/>
        <v>0</v>
      </c>
      <c r="G23" s="3">
        <f t="shared" si="2"/>
        <v>0</v>
      </c>
      <c r="H23" s="3">
        <f t="shared" si="3"/>
        <v>0</v>
      </c>
      <c r="I23" s="3">
        <f t="shared" si="4"/>
        <v>0</v>
      </c>
      <c r="J23" s="3">
        <f t="shared" si="5"/>
        <v>0</v>
      </c>
      <c r="K23" s="3">
        <f t="shared" si="6"/>
        <v>0</v>
      </c>
    </row>
    <row r="24" spans="1:11" ht="15">
      <c r="A24" s="1">
        <v>23</v>
      </c>
      <c r="B24" s="1" t="s">
        <v>3</v>
      </c>
      <c r="C24" s="1">
        <v>0</v>
      </c>
      <c r="D24" s="1">
        <v>0</v>
      </c>
      <c r="E24" s="1">
        <f t="shared" si="0"/>
        <v>20</v>
      </c>
      <c r="F24" s="1">
        <f t="shared" si="1"/>
        <v>0</v>
      </c>
      <c r="G24" s="3">
        <f t="shared" si="2"/>
        <v>0</v>
      </c>
      <c r="H24" s="3">
        <f t="shared" si="3"/>
        <v>0</v>
      </c>
      <c r="I24" s="3">
        <f t="shared" si="4"/>
        <v>0</v>
      </c>
      <c r="J24" s="3">
        <f t="shared" si="5"/>
        <v>0</v>
      </c>
      <c r="K24" s="3">
        <f t="shared" si="6"/>
        <v>0</v>
      </c>
    </row>
    <row r="25" spans="1:11" ht="15">
      <c r="A25" s="1">
        <v>24</v>
      </c>
      <c r="B25" s="1" t="s">
        <v>3</v>
      </c>
      <c r="C25" s="1">
        <v>0</v>
      </c>
      <c r="D25" s="1">
        <v>0</v>
      </c>
      <c r="E25" s="1">
        <f t="shared" si="0"/>
        <v>20</v>
      </c>
      <c r="F25" s="1">
        <f t="shared" si="1"/>
        <v>0</v>
      </c>
      <c r="G25" s="3">
        <f t="shared" si="2"/>
        <v>0</v>
      </c>
      <c r="H25" s="3">
        <f t="shared" si="3"/>
        <v>0</v>
      </c>
      <c r="I25" s="3">
        <f t="shared" si="4"/>
        <v>0</v>
      </c>
      <c r="J25" s="3">
        <f t="shared" si="5"/>
        <v>0</v>
      </c>
      <c r="K25" s="3">
        <f t="shared" si="6"/>
        <v>0</v>
      </c>
    </row>
    <row r="26" spans="1:11" ht="15">
      <c r="A26" s="1">
        <v>1</v>
      </c>
      <c r="B26" s="1" t="s">
        <v>4</v>
      </c>
      <c r="C26" s="1">
        <v>0</v>
      </c>
      <c r="D26" s="1">
        <v>0</v>
      </c>
      <c r="E26" s="1">
        <f t="shared" si="0"/>
        <v>20</v>
      </c>
      <c r="F26" s="1">
        <f t="shared" si="1"/>
        <v>0</v>
      </c>
      <c r="G26" s="3">
        <f t="shared" si="2"/>
        <v>0</v>
      </c>
      <c r="H26" s="3">
        <f t="shared" si="3"/>
        <v>0</v>
      </c>
      <c r="I26" s="3">
        <f t="shared" si="4"/>
        <v>0</v>
      </c>
      <c r="J26" s="3">
        <f t="shared" si="5"/>
        <v>0</v>
      </c>
      <c r="K26" s="3">
        <f t="shared" si="6"/>
        <v>0</v>
      </c>
    </row>
    <row r="27" spans="1:11" ht="15">
      <c r="A27" s="1">
        <v>2</v>
      </c>
      <c r="B27" s="1" t="s">
        <v>4</v>
      </c>
      <c r="C27" s="1">
        <v>0</v>
      </c>
      <c r="D27" s="1">
        <v>0</v>
      </c>
      <c r="E27" s="1">
        <f t="shared" si="0"/>
        <v>20</v>
      </c>
      <c r="F27" s="1">
        <f t="shared" si="1"/>
        <v>0</v>
      </c>
      <c r="G27" s="3">
        <f t="shared" si="2"/>
        <v>0</v>
      </c>
      <c r="H27" s="3">
        <f t="shared" si="3"/>
        <v>0</v>
      </c>
      <c r="I27" s="3">
        <f t="shared" si="4"/>
        <v>0</v>
      </c>
      <c r="J27" s="3">
        <f t="shared" si="5"/>
        <v>0</v>
      </c>
      <c r="K27" s="3">
        <f t="shared" si="6"/>
        <v>0</v>
      </c>
    </row>
    <row r="28" spans="1:11" ht="15">
      <c r="A28" s="1">
        <v>3</v>
      </c>
      <c r="B28" s="1" t="s">
        <v>4</v>
      </c>
      <c r="C28" s="1">
        <v>0</v>
      </c>
      <c r="D28" s="1">
        <v>0</v>
      </c>
      <c r="E28" s="1">
        <f t="shared" si="0"/>
        <v>20</v>
      </c>
      <c r="F28" s="1">
        <f t="shared" si="1"/>
        <v>0</v>
      </c>
      <c r="G28" s="3">
        <f t="shared" si="2"/>
        <v>0</v>
      </c>
      <c r="H28" s="3">
        <f t="shared" si="3"/>
        <v>0</v>
      </c>
      <c r="I28" s="3">
        <f t="shared" si="4"/>
        <v>0</v>
      </c>
      <c r="J28" s="3">
        <f t="shared" si="5"/>
        <v>0</v>
      </c>
      <c r="K28" s="3">
        <f t="shared" si="6"/>
        <v>0</v>
      </c>
    </row>
    <row r="29" spans="1:11" ht="15">
      <c r="A29" s="1">
        <v>4</v>
      </c>
      <c r="B29" s="1" t="s">
        <v>4</v>
      </c>
      <c r="C29" s="1">
        <v>0</v>
      </c>
      <c r="D29" s="1">
        <v>0</v>
      </c>
      <c r="E29" s="1">
        <f t="shared" si="0"/>
        <v>20</v>
      </c>
      <c r="F29" s="1">
        <f t="shared" si="1"/>
        <v>0</v>
      </c>
      <c r="G29" s="3">
        <f t="shared" si="2"/>
        <v>0</v>
      </c>
      <c r="H29" s="3">
        <f t="shared" si="3"/>
        <v>0</v>
      </c>
      <c r="I29" s="3">
        <f t="shared" si="4"/>
        <v>0</v>
      </c>
      <c r="J29" s="3">
        <f t="shared" si="5"/>
        <v>0</v>
      </c>
      <c r="K29" s="3">
        <f t="shared" si="6"/>
        <v>0</v>
      </c>
    </row>
    <row r="30" spans="1:11" ht="15">
      <c r="A30" s="1">
        <v>5</v>
      </c>
      <c r="B30" s="1" t="s">
        <v>4</v>
      </c>
      <c r="C30" s="1">
        <v>0</v>
      </c>
      <c r="D30" s="1">
        <v>0</v>
      </c>
      <c r="E30" s="1">
        <f t="shared" si="0"/>
        <v>20</v>
      </c>
      <c r="F30" s="1">
        <f t="shared" si="1"/>
        <v>0</v>
      </c>
      <c r="G30" s="3">
        <f t="shared" si="2"/>
        <v>0</v>
      </c>
      <c r="H30" s="3">
        <f t="shared" si="3"/>
        <v>0</v>
      </c>
      <c r="I30" s="3">
        <f t="shared" si="4"/>
        <v>0</v>
      </c>
      <c r="J30" s="3">
        <f t="shared" si="5"/>
        <v>0</v>
      </c>
      <c r="K30" s="3">
        <f t="shared" si="6"/>
        <v>0</v>
      </c>
    </row>
    <row r="31" spans="1:11" ht="15">
      <c r="A31" s="1">
        <v>6</v>
      </c>
      <c r="B31" s="1" t="s">
        <v>4</v>
      </c>
      <c r="C31" s="1">
        <v>0</v>
      </c>
      <c r="D31" s="1">
        <v>0</v>
      </c>
      <c r="E31" s="1">
        <f t="shared" si="0"/>
        <v>20</v>
      </c>
      <c r="F31" s="1">
        <f t="shared" si="1"/>
        <v>0</v>
      </c>
      <c r="G31" s="3">
        <f t="shared" si="2"/>
        <v>0</v>
      </c>
      <c r="H31" s="3">
        <f t="shared" si="3"/>
        <v>0</v>
      </c>
      <c r="I31" s="3">
        <f t="shared" si="4"/>
        <v>0</v>
      </c>
      <c r="J31" s="3">
        <f t="shared" si="5"/>
        <v>0</v>
      </c>
      <c r="K31" s="3">
        <f t="shared" si="6"/>
        <v>0</v>
      </c>
    </row>
    <row r="32" spans="1:11" ht="15">
      <c r="A32" s="1">
        <v>7</v>
      </c>
      <c r="B32" s="1" t="s">
        <v>4</v>
      </c>
      <c r="C32" s="1">
        <v>0.01</v>
      </c>
      <c r="D32" s="1">
        <v>1.1012385216169409</v>
      </c>
      <c r="E32" s="1">
        <f t="shared" si="0"/>
        <v>20</v>
      </c>
      <c r="F32" s="1">
        <f t="shared" si="1"/>
        <v>3.5999999999999997E-2</v>
      </c>
      <c r="G32" s="3">
        <f t="shared" si="2"/>
        <v>154800</v>
      </c>
      <c r="H32" s="3">
        <f t="shared" si="3"/>
        <v>30959.999999999996</v>
      </c>
      <c r="I32" s="3">
        <f t="shared" si="4"/>
        <v>61919.999999999993</v>
      </c>
      <c r="J32" s="3">
        <f t="shared" si="5"/>
        <v>92880</v>
      </c>
      <c r="K32" s="3">
        <f t="shared" si="6"/>
        <v>123839.99999999999</v>
      </c>
    </row>
    <row r="33" spans="1:11" ht="15">
      <c r="A33" s="1">
        <v>8</v>
      </c>
      <c r="B33" s="1" t="s">
        <v>4</v>
      </c>
      <c r="C33" s="1">
        <v>0.02</v>
      </c>
      <c r="D33" s="1">
        <v>2.2024770432338818</v>
      </c>
      <c r="E33" s="1">
        <f t="shared" si="0"/>
        <v>20</v>
      </c>
      <c r="F33" s="1">
        <f t="shared" si="1"/>
        <v>7.1999999999999995E-2</v>
      </c>
      <c r="G33" s="3">
        <f t="shared" si="2"/>
        <v>309600</v>
      </c>
      <c r="H33" s="3">
        <f t="shared" si="3"/>
        <v>61919.999999999993</v>
      </c>
      <c r="I33" s="3">
        <f t="shared" si="4"/>
        <v>123839.99999999999</v>
      </c>
      <c r="J33" s="3">
        <f t="shared" si="5"/>
        <v>185760</v>
      </c>
      <c r="K33" s="3">
        <f t="shared" si="6"/>
        <v>247679.99999999997</v>
      </c>
    </row>
    <row r="34" spans="1:11" ht="15">
      <c r="A34" s="1">
        <v>9</v>
      </c>
      <c r="B34" s="1" t="s">
        <v>4</v>
      </c>
      <c r="C34" s="1">
        <v>0.03</v>
      </c>
      <c r="D34" s="1">
        <v>3.303715564850823</v>
      </c>
      <c r="E34" s="1">
        <f t="shared" si="0"/>
        <v>20</v>
      </c>
      <c r="F34" s="1">
        <f t="shared" si="1"/>
        <v>0.108</v>
      </c>
      <c r="G34" s="3">
        <f t="shared" si="2"/>
        <v>464400</v>
      </c>
      <c r="H34" s="3">
        <f t="shared" si="3"/>
        <v>92880</v>
      </c>
      <c r="I34" s="3">
        <f t="shared" si="4"/>
        <v>185760</v>
      </c>
      <c r="J34" s="3">
        <f t="shared" si="5"/>
        <v>278640</v>
      </c>
      <c r="K34" s="3">
        <f t="shared" si="6"/>
        <v>371520</v>
      </c>
    </row>
    <row r="35" spans="1:11" ht="15">
      <c r="A35" s="1">
        <v>10</v>
      </c>
      <c r="B35" s="1" t="s">
        <v>4</v>
      </c>
      <c r="C35" s="1">
        <v>4.9493308406777702E-2</v>
      </c>
      <c r="D35" s="1">
        <v>5.4503937779811187</v>
      </c>
      <c r="E35" s="1">
        <f t="shared" si="0"/>
        <v>20</v>
      </c>
      <c r="F35" s="1">
        <f t="shared" si="1"/>
        <v>0.17817591026439972</v>
      </c>
      <c r="G35" s="3">
        <f t="shared" si="2"/>
        <v>766156.41413691873</v>
      </c>
      <c r="H35" s="3">
        <f t="shared" si="3"/>
        <v>153231.28282738375</v>
      </c>
      <c r="I35" s="3">
        <f t="shared" si="4"/>
        <v>306462.5656547675</v>
      </c>
      <c r="J35" s="3">
        <f t="shared" si="5"/>
        <v>459693.84848215128</v>
      </c>
      <c r="K35" s="3">
        <f t="shared" si="6"/>
        <v>612925.13130953501</v>
      </c>
    </row>
    <row r="36" spans="1:11" ht="15">
      <c r="A36" s="1">
        <v>11</v>
      </c>
      <c r="B36" s="1" t="s">
        <v>4</v>
      </c>
      <c r="C36" s="1">
        <v>0.169059170895278</v>
      </c>
      <c r="D36" s="1">
        <v>18.617447142250175</v>
      </c>
      <c r="E36" s="1">
        <f t="shared" si="0"/>
        <v>20</v>
      </c>
      <c r="F36" s="1">
        <f t="shared" si="1"/>
        <v>0.60861301522300082</v>
      </c>
      <c r="G36" s="3">
        <f t="shared" si="2"/>
        <v>2617035.9654589035</v>
      </c>
      <c r="H36" s="3">
        <f t="shared" si="3"/>
        <v>523407.1930917807</v>
      </c>
      <c r="I36" s="3">
        <f t="shared" si="4"/>
        <v>1046814.3861835614</v>
      </c>
      <c r="J36" s="3">
        <f t="shared" si="5"/>
        <v>1570221.5792753422</v>
      </c>
      <c r="K36" s="3">
        <f t="shared" si="6"/>
        <v>2093628.7723671228</v>
      </c>
    </row>
    <row r="37" spans="1:11" ht="15">
      <c r="A37" s="1">
        <v>12</v>
      </c>
      <c r="B37" s="1" t="s">
        <v>4</v>
      </c>
      <c r="C37" s="1">
        <v>0.29899999999999999</v>
      </c>
      <c r="D37" s="1">
        <v>32.927031796346533</v>
      </c>
      <c r="E37" s="1">
        <f t="shared" si="0"/>
        <v>20</v>
      </c>
      <c r="F37" s="1">
        <f t="shared" si="1"/>
        <v>1.0763999999999998</v>
      </c>
      <c r="G37" s="3">
        <f t="shared" si="2"/>
        <v>4628519.9999999991</v>
      </c>
      <c r="H37" s="3">
        <f t="shared" si="3"/>
        <v>925703.99999999988</v>
      </c>
      <c r="I37" s="3">
        <f t="shared" si="4"/>
        <v>1851407.9999999998</v>
      </c>
      <c r="J37" s="3">
        <f t="shared" si="5"/>
        <v>2777111.9999999995</v>
      </c>
      <c r="K37" s="3">
        <f t="shared" si="6"/>
        <v>3702815.9999999995</v>
      </c>
    </row>
    <row r="38" spans="1:11" ht="15">
      <c r="A38" s="1">
        <v>13</v>
      </c>
      <c r="B38" s="1" t="s">
        <v>4</v>
      </c>
      <c r="C38" s="1">
        <v>0.45600000000000002</v>
      </c>
      <c r="D38" s="1">
        <v>50.216476585732508</v>
      </c>
      <c r="E38" s="1">
        <f t="shared" si="0"/>
        <v>20</v>
      </c>
      <c r="F38" s="1">
        <f t="shared" si="1"/>
        <v>1.6416000000000002</v>
      </c>
      <c r="G38" s="3">
        <f t="shared" si="2"/>
        <v>7058880.0000000009</v>
      </c>
      <c r="H38" s="3">
        <f t="shared" si="3"/>
        <v>1411776.0000000002</v>
      </c>
      <c r="I38" s="3">
        <f t="shared" si="4"/>
        <v>2823552.0000000005</v>
      </c>
      <c r="J38" s="3">
        <f t="shared" si="5"/>
        <v>4235328</v>
      </c>
      <c r="K38" s="3">
        <f t="shared" si="6"/>
        <v>5647104.0000000009</v>
      </c>
    </row>
    <row r="39" spans="1:11" ht="15">
      <c r="A39" s="1">
        <v>14</v>
      </c>
      <c r="B39" s="1" t="s">
        <v>4</v>
      </c>
      <c r="C39" s="1">
        <v>0.49299999999999999</v>
      </c>
      <c r="D39" s="1">
        <v>54.291059115715186</v>
      </c>
      <c r="E39" s="1">
        <f t="shared" si="0"/>
        <v>20</v>
      </c>
      <c r="F39" s="1">
        <f t="shared" si="1"/>
        <v>1.7747999999999999</v>
      </c>
      <c r="G39" s="3">
        <f t="shared" si="2"/>
        <v>7631640</v>
      </c>
      <c r="H39" s="3">
        <f t="shared" si="3"/>
        <v>1526328</v>
      </c>
      <c r="I39" s="3">
        <f t="shared" si="4"/>
        <v>3052656</v>
      </c>
      <c r="J39" s="3">
        <f t="shared" si="5"/>
        <v>4578984</v>
      </c>
      <c r="K39" s="3">
        <f t="shared" si="6"/>
        <v>6105312</v>
      </c>
    </row>
    <row r="40" spans="1:11" ht="15">
      <c r="A40" s="1">
        <v>15</v>
      </c>
      <c r="B40" s="1" t="s">
        <v>4</v>
      </c>
      <c r="C40" s="1">
        <v>0.46100000000000002</v>
      </c>
      <c r="D40" s="1">
        <v>50.767095846540983</v>
      </c>
      <c r="E40" s="1">
        <f t="shared" si="0"/>
        <v>20</v>
      </c>
      <c r="F40" s="1">
        <f t="shared" si="1"/>
        <v>1.6596</v>
      </c>
      <c r="G40" s="3">
        <f t="shared" si="2"/>
        <v>7136280</v>
      </c>
      <c r="H40" s="3">
        <f t="shared" si="3"/>
        <v>1427256</v>
      </c>
      <c r="I40" s="3">
        <f t="shared" si="4"/>
        <v>2854512</v>
      </c>
      <c r="J40" s="3">
        <f t="shared" si="5"/>
        <v>4281768</v>
      </c>
      <c r="K40" s="3">
        <f t="shared" si="6"/>
        <v>5709024</v>
      </c>
    </row>
    <row r="41" spans="1:11" ht="15">
      <c r="A41" s="1">
        <v>16</v>
      </c>
      <c r="B41" s="1" t="s">
        <v>4</v>
      </c>
      <c r="C41" s="1">
        <v>0.39200000000000002</v>
      </c>
      <c r="D41" s="1">
        <v>43.168550047384088</v>
      </c>
      <c r="E41" s="1">
        <f t="shared" si="0"/>
        <v>20</v>
      </c>
      <c r="F41" s="1">
        <f t="shared" si="1"/>
        <v>1.4112</v>
      </c>
      <c r="G41" s="3">
        <f t="shared" si="2"/>
        <v>6068160</v>
      </c>
      <c r="H41" s="3">
        <f t="shared" si="3"/>
        <v>1213632</v>
      </c>
      <c r="I41" s="3">
        <f t="shared" si="4"/>
        <v>2427264</v>
      </c>
      <c r="J41" s="3">
        <f t="shared" si="5"/>
        <v>3640896</v>
      </c>
      <c r="K41" s="3">
        <f t="shared" si="6"/>
        <v>4854528</v>
      </c>
    </row>
    <row r="42" spans="1:11" ht="15">
      <c r="A42" s="1">
        <v>17</v>
      </c>
      <c r="B42" s="1" t="s">
        <v>4</v>
      </c>
      <c r="C42" s="1">
        <v>0.30099999999999999</v>
      </c>
      <c r="D42" s="1">
        <v>33.147279500669924</v>
      </c>
      <c r="E42" s="1">
        <f t="shared" si="0"/>
        <v>20</v>
      </c>
      <c r="F42" s="1">
        <f t="shared" si="1"/>
        <v>1.0835999999999999</v>
      </c>
      <c r="G42" s="3">
        <f t="shared" si="2"/>
        <v>4659480</v>
      </c>
      <c r="H42" s="3">
        <f t="shared" si="3"/>
        <v>931895.99999999988</v>
      </c>
      <c r="I42" s="3">
        <f t="shared" si="4"/>
        <v>1863791.9999999998</v>
      </c>
      <c r="J42" s="3">
        <f t="shared" si="5"/>
        <v>2795687.9999999995</v>
      </c>
      <c r="K42" s="3">
        <f t="shared" si="6"/>
        <v>3727583.9999999995</v>
      </c>
    </row>
    <row r="43" spans="1:11" ht="15">
      <c r="A43" s="1">
        <v>18</v>
      </c>
      <c r="B43" s="1" t="s">
        <v>4</v>
      </c>
      <c r="C43" s="1">
        <v>0.15</v>
      </c>
      <c r="D43" s="1">
        <v>16.518577824254116</v>
      </c>
      <c r="E43" s="1">
        <f t="shared" si="0"/>
        <v>20</v>
      </c>
      <c r="F43" s="1">
        <f t="shared" si="1"/>
        <v>0.54</v>
      </c>
      <c r="G43" s="3">
        <f t="shared" si="2"/>
        <v>2322000</v>
      </c>
      <c r="H43" s="3">
        <f t="shared" si="3"/>
        <v>464400.00000000006</v>
      </c>
      <c r="I43" s="3">
        <f t="shared" si="4"/>
        <v>928800.00000000012</v>
      </c>
      <c r="J43" s="3">
        <f t="shared" si="5"/>
        <v>1393200</v>
      </c>
      <c r="K43" s="3">
        <f t="shared" si="6"/>
        <v>1857600.0000000002</v>
      </c>
    </row>
    <row r="44" spans="1:11" ht="15">
      <c r="A44" s="1">
        <v>19</v>
      </c>
      <c r="B44" s="1" t="s">
        <v>4</v>
      </c>
      <c r="C44" s="1">
        <v>3.7999999999999999E-2</v>
      </c>
      <c r="D44" s="1">
        <v>4.184706382144376</v>
      </c>
      <c r="E44" s="1">
        <f t="shared" si="0"/>
        <v>20</v>
      </c>
      <c r="F44" s="1">
        <f t="shared" si="1"/>
        <v>0.1368</v>
      </c>
      <c r="G44" s="3">
        <f t="shared" si="2"/>
        <v>588240</v>
      </c>
      <c r="H44" s="3">
        <f t="shared" si="3"/>
        <v>117648</v>
      </c>
      <c r="I44" s="3">
        <f t="shared" si="4"/>
        <v>235296</v>
      </c>
      <c r="J44" s="3">
        <f t="shared" si="5"/>
        <v>352944</v>
      </c>
      <c r="K44" s="3">
        <f t="shared" si="6"/>
        <v>470592</v>
      </c>
    </row>
    <row r="45" spans="1:11" ht="15">
      <c r="A45" s="1">
        <v>20</v>
      </c>
      <c r="B45" s="1" t="s">
        <v>4</v>
      </c>
      <c r="D45" s="1">
        <v>0</v>
      </c>
      <c r="E45" s="1">
        <f t="shared" si="0"/>
        <v>20</v>
      </c>
      <c r="F45" s="1">
        <f t="shared" si="1"/>
        <v>0</v>
      </c>
      <c r="G45" s="3">
        <f t="shared" si="2"/>
        <v>0</v>
      </c>
      <c r="H45" s="3">
        <f t="shared" si="3"/>
        <v>0</v>
      </c>
      <c r="I45" s="3">
        <f t="shared" si="4"/>
        <v>0</v>
      </c>
      <c r="J45" s="3">
        <f t="shared" si="5"/>
        <v>0</v>
      </c>
      <c r="K45" s="3">
        <f t="shared" si="6"/>
        <v>0</v>
      </c>
    </row>
    <row r="46" spans="1:11" ht="15">
      <c r="A46" s="1">
        <v>21</v>
      </c>
      <c r="B46" s="1" t="s">
        <v>4</v>
      </c>
      <c r="D46" s="1">
        <v>0</v>
      </c>
      <c r="E46" s="1">
        <f t="shared" si="0"/>
        <v>20</v>
      </c>
      <c r="F46" s="1">
        <f t="shared" si="1"/>
        <v>0</v>
      </c>
      <c r="G46" s="3">
        <f t="shared" si="2"/>
        <v>0</v>
      </c>
      <c r="H46" s="3">
        <f t="shared" si="3"/>
        <v>0</v>
      </c>
      <c r="I46" s="3">
        <f t="shared" si="4"/>
        <v>0</v>
      </c>
      <c r="J46" s="3">
        <f t="shared" si="5"/>
        <v>0</v>
      </c>
      <c r="K46" s="3">
        <f t="shared" si="6"/>
        <v>0</v>
      </c>
    </row>
    <row r="47" spans="1:11" ht="15">
      <c r="A47" s="1">
        <v>22</v>
      </c>
      <c r="B47" s="1" t="s">
        <v>4</v>
      </c>
      <c r="D47" s="1">
        <v>0</v>
      </c>
      <c r="E47" s="1">
        <f t="shared" si="0"/>
        <v>20</v>
      </c>
      <c r="F47" s="1">
        <f t="shared" si="1"/>
        <v>0</v>
      </c>
      <c r="G47" s="3">
        <f t="shared" si="2"/>
        <v>0</v>
      </c>
      <c r="H47" s="3">
        <f t="shared" si="3"/>
        <v>0</v>
      </c>
      <c r="I47" s="3">
        <f t="shared" si="4"/>
        <v>0</v>
      </c>
      <c r="J47" s="3">
        <f t="shared" si="5"/>
        <v>0</v>
      </c>
      <c r="K47" s="3">
        <f t="shared" si="6"/>
        <v>0</v>
      </c>
    </row>
    <row r="48" spans="1:11" ht="15">
      <c r="A48" s="1">
        <v>23</v>
      </c>
      <c r="B48" s="1" t="s">
        <v>4</v>
      </c>
      <c r="D48" s="1">
        <v>0</v>
      </c>
      <c r="E48" s="1">
        <f t="shared" si="0"/>
        <v>20</v>
      </c>
      <c r="F48" s="1">
        <f t="shared" si="1"/>
        <v>0</v>
      </c>
      <c r="G48" s="3">
        <f t="shared" si="2"/>
        <v>0</v>
      </c>
      <c r="H48" s="3">
        <f t="shared" si="3"/>
        <v>0</v>
      </c>
      <c r="I48" s="3">
        <f t="shared" si="4"/>
        <v>0</v>
      </c>
      <c r="J48" s="3">
        <f t="shared" si="5"/>
        <v>0</v>
      </c>
      <c r="K48" s="3">
        <f t="shared" si="6"/>
        <v>0</v>
      </c>
    </row>
    <row r="49" spans="1:11" ht="15">
      <c r="A49" s="1">
        <v>24</v>
      </c>
      <c r="B49" s="1" t="s">
        <v>4</v>
      </c>
      <c r="D49" s="1">
        <v>0</v>
      </c>
      <c r="E49" s="1">
        <f t="shared" si="0"/>
        <v>20</v>
      </c>
      <c r="F49" s="1">
        <f t="shared" si="1"/>
        <v>0</v>
      </c>
      <c r="G49" s="3">
        <f t="shared" si="2"/>
        <v>0</v>
      </c>
      <c r="H49" s="3">
        <f t="shared" si="3"/>
        <v>0</v>
      </c>
      <c r="I49" s="3">
        <f t="shared" si="4"/>
        <v>0</v>
      </c>
      <c r="J49" s="3">
        <f t="shared" si="5"/>
        <v>0</v>
      </c>
      <c r="K49" s="3">
        <f t="shared" si="6"/>
        <v>0</v>
      </c>
    </row>
    <row r="50" spans="1:11" ht="15">
      <c r="A50" s="1">
        <v>1</v>
      </c>
      <c r="B50" s="1" t="s">
        <v>5</v>
      </c>
      <c r="D50" s="1">
        <v>0</v>
      </c>
      <c r="E50" s="1">
        <f t="shared" si="0"/>
        <v>20</v>
      </c>
      <c r="F50" s="1">
        <f t="shared" si="1"/>
        <v>0</v>
      </c>
      <c r="G50" s="3">
        <f t="shared" si="2"/>
        <v>0</v>
      </c>
      <c r="H50" s="3">
        <f t="shared" si="3"/>
        <v>0</v>
      </c>
      <c r="I50" s="3">
        <f t="shared" si="4"/>
        <v>0</v>
      </c>
      <c r="J50" s="3">
        <f t="shared" si="5"/>
        <v>0</v>
      </c>
      <c r="K50" s="3">
        <f t="shared" si="6"/>
        <v>0</v>
      </c>
    </row>
    <row r="51" spans="1:11" ht="15">
      <c r="A51" s="1">
        <v>2</v>
      </c>
      <c r="B51" s="1" t="s">
        <v>5</v>
      </c>
      <c r="D51" s="1">
        <v>0</v>
      </c>
      <c r="E51" s="1">
        <f t="shared" si="0"/>
        <v>20</v>
      </c>
      <c r="F51" s="1">
        <f t="shared" si="1"/>
        <v>0</v>
      </c>
      <c r="G51" s="3">
        <f t="shared" si="2"/>
        <v>0</v>
      </c>
      <c r="H51" s="3">
        <f t="shared" si="3"/>
        <v>0</v>
      </c>
      <c r="I51" s="3">
        <f t="shared" si="4"/>
        <v>0</v>
      </c>
      <c r="J51" s="3">
        <f t="shared" si="5"/>
        <v>0</v>
      </c>
      <c r="K51" s="3">
        <f t="shared" si="6"/>
        <v>0</v>
      </c>
    </row>
    <row r="52" spans="1:11" ht="15">
      <c r="A52" s="1">
        <v>3</v>
      </c>
      <c r="B52" s="1" t="s">
        <v>5</v>
      </c>
      <c r="D52" s="1">
        <v>0</v>
      </c>
      <c r="E52" s="1">
        <f t="shared" si="0"/>
        <v>20</v>
      </c>
      <c r="F52" s="1">
        <f t="shared" si="1"/>
        <v>0</v>
      </c>
      <c r="G52" s="3">
        <f t="shared" si="2"/>
        <v>0</v>
      </c>
      <c r="H52" s="3">
        <f t="shared" si="3"/>
        <v>0</v>
      </c>
      <c r="I52" s="3">
        <f t="shared" si="4"/>
        <v>0</v>
      </c>
      <c r="J52" s="3">
        <f t="shared" si="5"/>
        <v>0</v>
      </c>
      <c r="K52" s="3">
        <f t="shared" si="6"/>
        <v>0</v>
      </c>
    </row>
    <row r="53" spans="1:11" ht="15">
      <c r="A53" s="1">
        <v>4</v>
      </c>
      <c r="B53" s="1" t="s">
        <v>5</v>
      </c>
      <c r="D53" s="1">
        <v>0</v>
      </c>
      <c r="E53" s="1">
        <f t="shared" si="0"/>
        <v>20</v>
      </c>
      <c r="F53" s="1">
        <f t="shared" si="1"/>
        <v>0</v>
      </c>
      <c r="G53" s="3">
        <f t="shared" si="2"/>
        <v>0</v>
      </c>
      <c r="H53" s="3">
        <f t="shared" si="3"/>
        <v>0</v>
      </c>
      <c r="I53" s="3">
        <f t="shared" si="4"/>
        <v>0</v>
      </c>
      <c r="J53" s="3">
        <f t="shared" si="5"/>
        <v>0</v>
      </c>
      <c r="K53" s="3">
        <f t="shared" si="6"/>
        <v>0</v>
      </c>
    </row>
    <row r="54" spans="1:11" ht="15">
      <c r="A54" s="1">
        <v>5</v>
      </c>
      <c r="B54" s="1" t="s">
        <v>5</v>
      </c>
      <c r="D54" s="1">
        <v>0</v>
      </c>
      <c r="E54" s="1">
        <f t="shared" si="0"/>
        <v>20</v>
      </c>
      <c r="F54" s="1">
        <f t="shared" si="1"/>
        <v>0</v>
      </c>
      <c r="G54" s="3">
        <f t="shared" si="2"/>
        <v>0</v>
      </c>
      <c r="H54" s="3">
        <f t="shared" si="3"/>
        <v>0</v>
      </c>
      <c r="I54" s="3">
        <f t="shared" si="4"/>
        <v>0</v>
      </c>
      <c r="J54" s="3">
        <f t="shared" si="5"/>
        <v>0</v>
      </c>
      <c r="K54" s="3">
        <f t="shared" si="6"/>
        <v>0</v>
      </c>
    </row>
    <row r="55" spans="1:11" ht="15">
      <c r="A55" s="1">
        <v>6</v>
      </c>
      <c r="B55" s="1" t="s">
        <v>5</v>
      </c>
      <c r="D55" s="1">
        <v>0</v>
      </c>
      <c r="E55" s="1">
        <f t="shared" si="0"/>
        <v>20</v>
      </c>
      <c r="F55" s="1">
        <f t="shared" si="1"/>
        <v>0</v>
      </c>
      <c r="G55" s="3">
        <f t="shared" si="2"/>
        <v>0</v>
      </c>
      <c r="H55" s="3">
        <f t="shared" si="3"/>
        <v>0</v>
      </c>
      <c r="I55" s="3">
        <f t="shared" si="4"/>
        <v>0</v>
      </c>
      <c r="J55" s="3">
        <f t="shared" si="5"/>
        <v>0</v>
      </c>
      <c r="K55" s="3">
        <f t="shared" si="6"/>
        <v>0</v>
      </c>
    </row>
    <row r="56" spans="1:11" ht="15">
      <c r="A56" s="1">
        <v>7</v>
      </c>
      <c r="B56" s="1" t="s">
        <v>5</v>
      </c>
      <c r="D56" s="1">
        <v>0</v>
      </c>
      <c r="E56" s="1">
        <f t="shared" si="0"/>
        <v>20</v>
      </c>
      <c r="F56" s="1">
        <f t="shared" si="1"/>
        <v>0</v>
      </c>
      <c r="G56" s="3">
        <f t="shared" si="2"/>
        <v>0</v>
      </c>
      <c r="H56" s="3">
        <f t="shared" si="3"/>
        <v>0</v>
      </c>
      <c r="I56" s="3">
        <f t="shared" si="4"/>
        <v>0</v>
      </c>
      <c r="J56" s="3">
        <f t="shared" si="5"/>
        <v>0</v>
      </c>
      <c r="K56" s="3">
        <f t="shared" si="6"/>
        <v>0</v>
      </c>
    </row>
    <row r="57" spans="1:11" ht="15">
      <c r="A57" s="1">
        <v>8</v>
      </c>
      <c r="B57" s="1" t="s">
        <v>5</v>
      </c>
      <c r="C57" s="1">
        <v>4.4999999999999997E-3</v>
      </c>
      <c r="D57" s="1">
        <v>0.49555733472762342</v>
      </c>
      <c r="E57" s="1">
        <f t="shared" si="0"/>
        <v>20</v>
      </c>
      <c r="F57" s="1">
        <f t="shared" si="1"/>
        <v>1.6199999999999999E-2</v>
      </c>
      <c r="G57" s="3">
        <f t="shared" si="2"/>
        <v>69660</v>
      </c>
      <c r="H57" s="3">
        <f t="shared" si="3"/>
        <v>13932</v>
      </c>
      <c r="I57" s="3">
        <f t="shared" si="4"/>
        <v>27864</v>
      </c>
      <c r="J57" s="3">
        <f t="shared" si="5"/>
        <v>41796</v>
      </c>
      <c r="K57" s="3">
        <f t="shared" si="6"/>
        <v>55728</v>
      </c>
    </row>
    <row r="58" spans="1:11" ht="15">
      <c r="A58" s="1">
        <v>9</v>
      </c>
      <c r="B58" s="1" t="s">
        <v>5</v>
      </c>
      <c r="C58" s="1">
        <v>6.8000000000000005E-2</v>
      </c>
      <c r="D58" s="1">
        <v>7.4884219469951994</v>
      </c>
      <c r="E58" s="1">
        <f t="shared" si="0"/>
        <v>20</v>
      </c>
      <c r="F58" s="1">
        <f t="shared" si="1"/>
        <v>0.24480000000000002</v>
      </c>
      <c r="G58" s="3">
        <f t="shared" si="2"/>
        <v>1052640</v>
      </c>
      <c r="H58" s="3">
        <f t="shared" si="3"/>
        <v>210528.00000000003</v>
      </c>
      <c r="I58" s="3">
        <f t="shared" si="4"/>
        <v>421056.00000000006</v>
      </c>
      <c r="J58" s="3">
        <f t="shared" si="5"/>
        <v>631584</v>
      </c>
      <c r="K58" s="3">
        <f t="shared" si="6"/>
        <v>842112.00000000012</v>
      </c>
    </row>
    <row r="59" spans="1:11" ht="15">
      <c r="A59" s="1">
        <v>10</v>
      </c>
      <c r="B59" s="1" t="s">
        <v>5</v>
      </c>
      <c r="C59" s="1">
        <v>0.21099999999999999</v>
      </c>
      <c r="D59" s="1">
        <v>23.236132806117453</v>
      </c>
      <c r="E59" s="1">
        <f t="shared" si="0"/>
        <v>20</v>
      </c>
      <c r="F59" s="1">
        <f t="shared" si="1"/>
        <v>0.75959999999999994</v>
      </c>
      <c r="G59" s="3">
        <f t="shared" si="2"/>
        <v>3266279.9999999995</v>
      </c>
      <c r="H59" s="3">
        <f t="shared" si="3"/>
        <v>653256</v>
      </c>
      <c r="I59" s="3">
        <f t="shared" si="4"/>
        <v>1306512</v>
      </c>
      <c r="J59" s="3">
        <f t="shared" si="5"/>
        <v>1959767.9999999998</v>
      </c>
      <c r="K59" s="3">
        <f t="shared" si="6"/>
        <v>2613024</v>
      </c>
    </row>
    <row r="60" spans="1:11" ht="15">
      <c r="A60" s="1">
        <v>11</v>
      </c>
      <c r="B60" s="1" t="s">
        <v>5</v>
      </c>
      <c r="C60" s="1">
        <v>0.39800000000000002</v>
      </c>
      <c r="D60" s="1">
        <v>43.829293160354254</v>
      </c>
      <c r="E60" s="1">
        <f t="shared" si="0"/>
        <v>20</v>
      </c>
      <c r="F60" s="1">
        <f t="shared" si="1"/>
        <v>1.4328000000000001</v>
      </c>
      <c r="G60" s="3">
        <f t="shared" si="2"/>
        <v>6161040</v>
      </c>
      <c r="H60" s="3">
        <f t="shared" si="3"/>
        <v>1232208</v>
      </c>
      <c r="I60" s="3">
        <f t="shared" si="4"/>
        <v>2464416</v>
      </c>
      <c r="J60" s="3">
        <f t="shared" si="5"/>
        <v>3696624</v>
      </c>
      <c r="K60" s="3">
        <f t="shared" si="6"/>
        <v>4928832</v>
      </c>
    </row>
    <row r="61" spans="1:11" ht="15">
      <c r="A61" s="1">
        <v>12</v>
      </c>
      <c r="B61" s="1" t="s">
        <v>5</v>
      </c>
      <c r="C61" s="1">
        <v>0.53100000000000003</v>
      </c>
      <c r="D61" s="1">
        <v>58.47576549785957</v>
      </c>
      <c r="E61" s="1">
        <f t="shared" si="0"/>
        <v>20</v>
      </c>
      <c r="F61" s="1">
        <f t="shared" si="1"/>
        <v>1.9116000000000002</v>
      </c>
      <c r="G61" s="3">
        <f t="shared" si="2"/>
        <v>8219880.0000000009</v>
      </c>
      <c r="H61" s="3">
        <f t="shared" si="3"/>
        <v>1643976.0000000002</v>
      </c>
      <c r="I61" s="3">
        <f t="shared" si="4"/>
        <v>3287952.0000000005</v>
      </c>
      <c r="J61" s="3">
        <f t="shared" si="5"/>
        <v>4931928.0000000009</v>
      </c>
      <c r="K61" s="3">
        <f t="shared" si="6"/>
        <v>6575904.0000000009</v>
      </c>
    </row>
    <row r="62" spans="1:11" ht="15">
      <c r="A62" s="1">
        <v>13</v>
      </c>
      <c r="B62" s="1" t="s">
        <v>5</v>
      </c>
      <c r="C62" s="1">
        <v>0.60799999999999998</v>
      </c>
      <c r="D62" s="1">
        <v>66.955302114310015</v>
      </c>
      <c r="E62" s="1">
        <f t="shared" si="0"/>
        <v>20</v>
      </c>
      <c r="F62" s="1">
        <f t="shared" si="1"/>
        <v>2.1888000000000001</v>
      </c>
      <c r="G62" s="3">
        <f t="shared" si="2"/>
        <v>9411840</v>
      </c>
      <c r="H62" s="3">
        <f t="shared" si="3"/>
        <v>1882368</v>
      </c>
      <c r="I62" s="3">
        <f t="shared" si="4"/>
        <v>3764736</v>
      </c>
      <c r="J62" s="3">
        <f t="shared" si="5"/>
        <v>5647104</v>
      </c>
      <c r="K62" s="3">
        <f t="shared" si="6"/>
        <v>7529472</v>
      </c>
    </row>
    <row r="63" spans="1:11" ht="15">
      <c r="A63" s="1">
        <v>14</v>
      </c>
      <c r="B63" s="1" t="s">
        <v>5</v>
      </c>
      <c r="C63" s="1">
        <v>0.65300000000000002</v>
      </c>
      <c r="D63" s="1">
        <v>71.910875461586244</v>
      </c>
      <c r="E63" s="1">
        <f t="shared" si="0"/>
        <v>20</v>
      </c>
      <c r="F63" s="1">
        <f t="shared" si="1"/>
        <v>2.3508</v>
      </c>
      <c r="G63" s="3">
        <f t="shared" si="2"/>
        <v>10108440</v>
      </c>
      <c r="H63" s="3">
        <f t="shared" si="3"/>
        <v>2021688</v>
      </c>
      <c r="I63" s="3">
        <f t="shared" si="4"/>
        <v>4043376</v>
      </c>
      <c r="J63" s="3">
        <f t="shared" si="5"/>
        <v>6065064</v>
      </c>
      <c r="K63" s="3">
        <f t="shared" si="6"/>
        <v>8086752</v>
      </c>
    </row>
    <row r="64" spans="1:11" ht="15">
      <c r="A64" s="1">
        <v>15</v>
      </c>
      <c r="B64" s="1" t="s">
        <v>5</v>
      </c>
      <c r="C64" s="1">
        <v>0.621</v>
      </c>
      <c r="D64" s="1">
        <v>68.386912192412041</v>
      </c>
      <c r="E64" s="1">
        <f t="shared" si="0"/>
        <v>20</v>
      </c>
      <c r="F64" s="1">
        <f t="shared" si="1"/>
        <v>2.2355999999999998</v>
      </c>
      <c r="G64" s="3">
        <f t="shared" si="2"/>
        <v>9613080</v>
      </c>
      <c r="H64" s="3">
        <f t="shared" si="3"/>
        <v>1922615.9999999998</v>
      </c>
      <c r="I64" s="3">
        <f t="shared" si="4"/>
        <v>3845231.9999999995</v>
      </c>
      <c r="J64" s="3">
        <f t="shared" si="5"/>
        <v>5767847.9999999991</v>
      </c>
      <c r="K64" s="3">
        <f t="shared" si="6"/>
        <v>7690463.9999999991</v>
      </c>
    </row>
    <row r="65" spans="1:11" ht="15">
      <c r="A65" s="1">
        <v>16</v>
      </c>
      <c r="B65" s="1" t="s">
        <v>5</v>
      </c>
      <c r="C65" s="1">
        <v>0.54100000000000004</v>
      </c>
      <c r="D65" s="1">
        <v>59.577004019476512</v>
      </c>
      <c r="E65" s="1">
        <f t="shared" si="0"/>
        <v>20</v>
      </c>
      <c r="F65" s="1">
        <f t="shared" si="1"/>
        <v>1.9476</v>
      </c>
      <c r="G65" s="3">
        <f t="shared" si="2"/>
        <v>8374680</v>
      </c>
      <c r="H65" s="3">
        <f t="shared" si="3"/>
        <v>1674936</v>
      </c>
      <c r="I65" s="3">
        <f t="shared" si="4"/>
        <v>3349872</v>
      </c>
      <c r="J65" s="3">
        <f t="shared" si="5"/>
        <v>5024808</v>
      </c>
      <c r="K65" s="3">
        <f t="shared" si="6"/>
        <v>6699744</v>
      </c>
    </row>
    <row r="66" spans="1:11" ht="15">
      <c r="A66" s="1">
        <v>17</v>
      </c>
      <c r="B66" s="1" t="s">
        <v>5</v>
      </c>
      <c r="C66" s="1">
        <v>0.41799999999999998</v>
      </c>
      <c r="D66" s="1">
        <v>46.031770203588131</v>
      </c>
      <c r="E66" s="1">
        <f t="shared" si="0"/>
        <v>20</v>
      </c>
      <c r="F66" s="1">
        <f t="shared" si="1"/>
        <v>1.5047999999999999</v>
      </c>
      <c r="G66" s="3">
        <f t="shared" si="2"/>
        <v>6470640</v>
      </c>
      <c r="H66" s="3">
        <f t="shared" si="3"/>
        <v>1294128</v>
      </c>
      <c r="I66" s="3">
        <f t="shared" si="4"/>
        <v>2588256</v>
      </c>
      <c r="J66" s="3">
        <f t="shared" si="5"/>
        <v>3882384</v>
      </c>
      <c r="K66" s="3">
        <f t="shared" si="6"/>
        <v>5176512</v>
      </c>
    </row>
    <row r="67" spans="1:11" ht="15">
      <c r="A67" s="1">
        <v>18</v>
      </c>
      <c r="B67" s="1" t="s">
        <v>5</v>
      </c>
      <c r="C67" s="1">
        <v>0.26100000000000001</v>
      </c>
      <c r="D67" s="1">
        <v>28.74232541420216</v>
      </c>
      <c r="E67" s="1">
        <f t="shared" ref="E67:E130" si="7">1*(4000/200)</f>
        <v>20</v>
      </c>
      <c r="F67" s="1">
        <f t="shared" ref="F67:F130" si="8">E67*C67*0.18</f>
        <v>0.9396000000000001</v>
      </c>
      <c r="G67" s="3">
        <f t="shared" ref="G67:G130" si="9">F67*4300000</f>
        <v>4040280.0000000005</v>
      </c>
      <c r="H67" s="3">
        <f t="shared" ref="H67:H130" si="10">(4300000*5/25)*F67</f>
        <v>808056.00000000012</v>
      </c>
      <c r="I67" s="3">
        <f t="shared" ref="I67:I130" si="11">(4300000*10/25)*F67</f>
        <v>1616112.0000000002</v>
      </c>
      <c r="J67" s="3">
        <f t="shared" ref="J67:J130" si="12">F67*2580000</f>
        <v>2424168.0000000005</v>
      </c>
      <c r="K67" s="3">
        <f t="shared" ref="K67:K130" si="13">F67*3440000</f>
        <v>3232224.0000000005</v>
      </c>
    </row>
    <row r="68" spans="1:11" ht="15">
      <c r="A68" s="1">
        <v>19</v>
      </c>
      <c r="B68" s="1" t="s">
        <v>5</v>
      </c>
      <c r="C68" s="1">
        <v>9.6000000000000002E-2</v>
      </c>
      <c r="D68" s="1">
        <v>10.571889807522632</v>
      </c>
      <c r="E68" s="1">
        <f t="shared" si="7"/>
        <v>20</v>
      </c>
      <c r="F68" s="1">
        <f t="shared" si="8"/>
        <v>0.34559999999999996</v>
      </c>
      <c r="G68" s="3">
        <f t="shared" si="9"/>
        <v>1486079.9999999998</v>
      </c>
      <c r="H68" s="3">
        <f t="shared" si="10"/>
        <v>297215.99999999994</v>
      </c>
      <c r="I68" s="3">
        <f t="shared" si="11"/>
        <v>594431.99999999988</v>
      </c>
      <c r="J68" s="3">
        <f t="shared" si="12"/>
        <v>891647.99999999988</v>
      </c>
      <c r="K68" s="3">
        <f t="shared" si="13"/>
        <v>1188863.9999999998</v>
      </c>
    </row>
    <row r="69" spans="1:11" ht="15">
      <c r="A69" s="1">
        <v>20</v>
      </c>
      <c r="B69" s="1" t="s">
        <v>5</v>
      </c>
      <c r="C69" s="1">
        <v>8.0000000000000002E-3</v>
      </c>
      <c r="D69" s="1">
        <v>0.88099081729355289</v>
      </c>
      <c r="E69" s="1">
        <f t="shared" si="7"/>
        <v>20</v>
      </c>
      <c r="F69" s="1">
        <f t="shared" si="8"/>
        <v>2.8799999999999999E-2</v>
      </c>
      <c r="G69" s="3">
        <f t="shared" si="9"/>
        <v>123840</v>
      </c>
      <c r="H69" s="3">
        <f t="shared" si="10"/>
        <v>24768</v>
      </c>
      <c r="I69" s="3">
        <f t="shared" si="11"/>
        <v>49536</v>
      </c>
      <c r="J69" s="3">
        <f t="shared" si="12"/>
        <v>74304</v>
      </c>
      <c r="K69" s="3">
        <f t="shared" si="13"/>
        <v>99072</v>
      </c>
    </row>
    <row r="70" spans="1:11" ht="15">
      <c r="A70" s="1">
        <v>21</v>
      </c>
      <c r="B70" s="1" t="s">
        <v>5</v>
      </c>
      <c r="D70" s="1">
        <v>0</v>
      </c>
      <c r="E70" s="1">
        <f t="shared" si="7"/>
        <v>20</v>
      </c>
      <c r="F70" s="1">
        <f t="shared" si="8"/>
        <v>0</v>
      </c>
      <c r="G70" s="3">
        <f t="shared" si="9"/>
        <v>0</v>
      </c>
      <c r="H70" s="3">
        <f t="shared" si="10"/>
        <v>0</v>
      </c>
      <c r="I70" s="3">
        <f t="shared" si="11"/>
        <v>0</v>
      </c>
      <c r="J70" s="3">
        <f t="shared" si="12"/>
        <v>0</v>
      </c>
      <c r="K70" s="3">
        <f t="shared" si="13"/>
        <v>0</v>
      </c>
    </row>
    <row r="71" spans="1:11" ht="15">
      <c r="A71" s="1">
        <v>22</v>
      </c>
      <c r="B71" s="1" t="s">
        <v>5</v>
      </c>
      <c r="D71" s="1">
        <v>0</v>
      </c>
      <c r="E71" s="1">
        <f t="shared" si="7"/>
        <v>20</v>
      </c>
      <c r="F71" s="1">
        <f t="shared" si="8"/>
        <v>0</v>
      </c>
      <c r="G71" s="3">
        <f t="shared" si="9"/>
        <v>0</v>
      </c>
      <c r="H71" s="3">
        <f t="shared" si="10"/>
        <v>0</v>
      </c>
      <c r="I71" s="3">
        <f t="shared" si="11"/>
        <v>0</v>
      </c>
      <c r="J71" s="3">
        <f t="shared" si="12"/>
        <v>0</v>
      </c>
      <c r="K71" s="3">
        <f t="shared" si="13"/>
        <v>0</v>
      </c>
    </row>
    <row r="72" spans="1:11" ht="15">
      <c r="A72" s="1">
        <v>23</v>
      </c>
      <c r="B72" s="1" t="s">
        <v>5</v>
      </c>
      <c r="D72" s="1">
        <v>0</v>
      </c>
      <c r="E72" s="1">
        <f t="shared" si="7"/>
        <v>20</v>
      </c>
      <c r="F72" s="1">
        <f t="shared" si="8"/>
        <v>0</v>
      </c>
      <c r="G72" s="3">
        <f t="shared" si="9"/>
        <v>0</v>
      </c>
      <c r="H72" s="3">
        <f t="shared" si="10"/>
        <v>0</v>
      </c>
      <c r="I72" s="3">
        <f t="shared" si="11"/>
        <v>0</v>
      </c>
      <c r="J72" s="3">
        <f t="shared" si="12"/>
        <v>0</v>
      </c>
      <c r="K72" s="3">
        <f t="shared" si="13"/>
        <v>0</v>
      </c>
    </row>
    <row r="73" spans="1:11" ht="15">
      <c r="A73" s="1">
        <v>24</v>
      </c>
      <c r="B73" s="1" t="s">
        <v>5</v>
      </c>
      <c r="D73" s="1">
        <v>0</v>
      </c>
      <c r="E73" s="1">
        <f t="shared" si="7"/>
        <v>20</v>
      </c>
      <c r="F73" s="1">
        <f t="shared" si="8"/>
        <v>0</v>
      </c>
      <c r="G73" s="3">
        <f t="shared" si="9"/>
        <v>0</v>
      </c>
      <c r="H73" s="3">
        <f t="shared" si="10"/>
        <v>0</v>
      </c>
      <c r="I73" s="3">
        <f t="shared" si="11"/>
        <v>0</v>
      </c>
      <c r="J73" s="3">
        <f t="shared" si="12"/>
        <v>0</v>
      </c>
      <c r="K73" s="3">
        <f t="shared" si="13"/>
        <v>0</v>
      </c>
    </row>
    <row r="74" spans="1:11" ht="15">
      <c r="A74" s="1">
        <v>1</v>
      </c>
      <c r="B74" s="1" t="s">
        <v>6</v>
      </c>
      <c r="D74" s="1">
        <v>0</v>
      </c>
      <c r="E74" s="1">
        <f t="shared" si="7"/>
        <v>20</v>
      </c>
      <c r="F74" s="1">
        <f t="shared" si="8"/>
        <v>0</v>
      </c>
      <c r="G74" s="3">
        <f t="shared" si="9"/>
        <v>0</v>
      </c>
      <c r="H74" s="3">
        <f t="shared" si="10"/>
        <v>0</v>
      </c>
      <c r="I74" s="3">
        <f t="shared" si="11"/>
        <v>0</v>
      </c>
      <c r="J74" s="3">
        <f t="shared" si="12"/>
        <v>0</v>
      </c>
      <c r="K74" s="3">
        <f t="shared" si="13"/>
        <v>0</v>
      </c>
    </row>
    <row r="75" spans="1:11" ht="15">
      <c r="A75" s="1">
        <v>2</v>
      </c>
      <c r="B75" s="1" t="s">
        <v>6</v>
      </c>
      <c r="D75" s="1">
        <v>0</v>
      </c>
      <c r="E75" s="1">
        <f t="shared" si="7"/>
        <v>20</v>
      </c>
      <c r="F75" s="1">
        <f t="shared" si="8"/>
        <v>0</v>
      </c>
      <c r="G75" s="3">
        <f t="shared" si="9"/>
        <v>0</v>
      </c>
      <c r="H75" s="3">
        <f t="shared" si="10"/>
        <v>0</v>
      </c>
      <c r="I75" s="3">
        <f t="shared" si="11"/>
        <v>0</v>
      </c>
      <c r="J75" s="3">
        <f t="shared" si="12"/>
        <v>0</v>
      </c>
      <c r="K75" s="3">
        <f t="shared" si="13"/>
        <v>0</v>
      </c>
    </row>
    <row r="76" spans="1:11" ht="15">
      <c r="A76" s="1">
        <v>3</v>
      </c>
      <c r="B76" s="1" t="s">
        <v>6</v>
      </c>
      <c r="D76" s="1">
        <v>0</v>
      </c>
      <c r="E76" s="1">
        <f t="shared" si="7"/>
        <v>20</v>
      </c>
      <c r="F76" s="1">
        <f t="shared" si="8"/>
        <v>0</v>
      </c>
      <c r="G76" s="3">
        <f t="shared" si="9"/>
        <v>0</v>
      </c>
      <c r="H76" s="3">
        <f t="shared" si="10"/>
        <v>0</v>
      </c>
      <c r="I76" s="3">
        <f t="shared" si="11"/>
        <v>0</v>
      </c>
      <c r="J76" s="3">
        <f t="shared" si="12"/>
        <v>0</v>
      </c>
      <c r="K76" s="3">
        <f t="shared" si="13"/>
        <v>0</v>
      </c>
    </row>
    <row r="77" spans="1:11" ht="15">
      <c r="A77" s="1">
        <v>4</v>
      </c>
      <c r="B77" s="1" t="s">
        <v>6</v>
      </c>
      <c r="D77" s="1">
        <v>0</v>
      </c>
      <c r="E77" s="1">
        <f t="shared" si="7"/>
        <v>20</v>
      </c>
      <c r="F77" s="1">
        <f t="shared" si="8"/>
        <v>0</v>
      </c>
      <c r="G77" s="3">
        <f t="shared" si="9"/>
        <v>0</v>
      </c>
      <c r="H77" s="3">
        <f t="shared" si="10"/>
        <v>0</v>
      </c>
      <c r="I77" s="3">
        <f t="shared" si="11"/>
        <v>0</v>
      </c>
      <c r="J77" s="3">
        <f t="shared" si="12"/>
        <v>0</v>
      </c>
      <c r="K77" s="3">
        <f t="shared" si="13"/>
        <v>0</v>
      </c>
    </row>
    <row r="78" spans="1:11" ht="15">
      <c r="A78" s="1">
        <v>5</v>
      </c>
      <c r="B78" s="1" t="s">
        <v>6</v>
      </c>
      <c r="D78" s="1">
        <v>0</v>
      </c>
      <c r="E78" s="1">
        <f t="shared" si="7"/>
        <v>20</v>
      </c>
      <c r="F78" s="1">
        <f t="shared" si="8"/>
        <v>0</v>
      </c>
      <c r="G78" s="3">
        <f t="shared" si="9"/>
        <v>0</v>
      </c>
      <c r="H78" s="3">
        <f t="shared" si="10"/>
        <v>0</v>
      </c>
      <c r="I78" s="3">
        <f t="shared" si="11"/>
        <v>0</v>
      </c>
      <c r="J78" s="3">
        <f t="shared" si="12"/>
        <v>0</v>
      </c>
      <c r="K78" s="3">
        <f t="shared" si="13"/>
        <v>0</v>
      </c>
    </row>
    <row r="79" spans="1:11" ht="15">
      <c r="A79" s="1">
        <v>6</v>
      </c>
      <c r="B79" s="1" t="s">
        <v>6</v>
      </c>
      <c r="D79" s="1">
        <v>0</v>
      </c>
      <c r="E79" s="1">
        <f t="shared" si="7"/>
        <v>20</v>
      </c>
      <c r="F79" s="1">
        <f t="shared" si="8"/>
        <v>0</v>
      </c>
      <c r="G79" s="3">
        <f t="shared" si="9"/>
        <v>0</v>
      </c>
      <c r="H79" s="3">
        <f t="shared" si="10"/>
        <v>0</v>
      </c>
      <c r="I79" s="3">
        <f t="shared" si="11"/>
        <v>0</v>
      </c>
      <c r="J79" s="3">
        <f t="shared" si="12"/>
        <v>0</v>
      </c>
      <c r="K79" s="3">
        <f t="shared" si="13"/>
        <v>0</v>
      </c>
    </row>
    <row r="80" spans="1:11" ht="15">
      <c r="A80" s="1">
        <v>7</v>
      </c>
      <c r="B80" s="1" t="s">
        <v>6</v>
      </c>
      <c r="D80" s="1">
        <v>0</v>
      </c>
      <c r="E80" s="1">
        <f t="shared" si="7"/>
        <v>20</v>
      </c>
      <c r="F80" s="1">
        <f t="shared" si="8"/>
        <v>0</v>
      </c>
      <c r="G80" s="3">
        <f t="shared" si="9"/>
        <v>0</v>
      </c>
      <c r="H80" s="3">
        <f t="shared" si="10"/>
        <v>0</v>
      </c>
      <c r="I80" s="3">
        <f t="shared" si="11"/>
        <v>0</v>
      </c>
      <c r="J80" s="3">
        <f t="shared" si="12"/>
        <v>0</v>
      </c>
      <c r="K80" s="3">
        <f t="shared" si="13"/>
        <v>0</v>
      </c>
    </row>
    <row r="81" spans="1:11" ht="15">
      <c r="A81" s="1">
        <v>8</v>
      </c>
      <c r="B81" s="1" t="s">
        <v>6</v>
      </c>
      <c r="C81" s="1">
        <v>3.5999999999999997E-2</v>
      </c>
      <c r="D81" s="1">
        <v>3.9644586778209874</v>
      </c>
      <c r="E81" s="1">
        <f t="shared" si="7"/>
        <v>20</v>
      </c>
      <c r="F81" s="1">
        <f t="shared" si="8"/>
        <v>0.12959999999999999</v>
      </c>
      <c r="G81" s="3">
        <f t="shared" si="9"/>
        <v>557280</v>
      </c>
      <c r="H81" s="3">
        <f t="shared" si="10"/>
        <v>111456</v>
      </c>
      <c r="I81" s="3">
        <f t="shared" si="11"/>
        <v>222912</v>
      </c>
      <c r="J81" s="3">
        <f t="shared" si="12"/>
        <v>334368</v>
      </c>
      <c r="K81" s="3">
        <f t="shared" si="13"/>
        <v>445824</v>
      </c>
    </row>
    <row r="82" spans="1:11" ht="15">
      <c r="A82" s="1">
        <v>9</v>
      </c>
      <c r="B82" s="1" t="s">
        <v>6</v>
      </c>
      <c r="C82" s="1">
        <v>0.153</v>
      </c>
      <c r="D82" s="1">
        <v>16.848949380739196</v>
      </c>
      <c r="E82" s="1">
        <f t="shared" si="7"/>
        <v>20</v>
      </c>
      <c r="F82" s="1">
        <f t="shared" si="8"/>
        <v>0.55079999999999996</v>
      </c>
      <c r="G82" s="3">
        <f t="shared" si="9"/>
        <v>2368440</v>
      </c>
      <c r="H82" s="3">
        <f t="shared" si="10"/>
        <v>473687.99999999994</v>
      </c>
      <c r="I82" s="3">
        <f t="shared" si="11"/>
        <v>947375.99999999988</v>
      </c>
      <c r="J82" s="3">
        <f t="shared" si="12"/>
        <v>1421064</v>
      </c>
      <c r="K82" s="3">
        <f t="shared" si="13"/>
        <v>1894751.9999999998</v>
      </c>
    </row>
    <row r="83" spans="1:11" ht="15">
      <c r="A83" s="1">
        <v>10</v>
      </c>
      <c r="B83" s="1" t="s">
        <v>6</v>
      </c>
      <c r="C83" s="1">
        <v>0.29699999999999999</v>
      </c>
      <c r="D83" s="1">
        <v>32.706784092023149</v>
      </c>
      <c r="E83" s="1">
        <f t="shared" si="7"/>
        <v>20</v>
      </c>
      <c r="F83" s="1">
        <f t="shared" si="8"/>
        <v>1.0691999999999999</v>
      </c>
      <c r="G83" s="3">
        <f t="shared" si="9"/>
        <v>4597560</v>
      </c>
      <c r="H83" s="3">
        <f t="shared" si="10"/>
        <v>919511.99999999988</v>
      </c>
      <c r="I83" s="3">
        <f t="shared" si="11"/>
        <v>1839023.9999999998</v>
      </c>
      <c r="J83" s="3">
        <f t="shared" si="12"/>
        <v>2758536</v>
      </c>
      <c r="K83" s="3">
        <f t="shared" si="13"/>
        <v>3678047.9999999995</v>
      </c>
    </row>
    <row r="84" spans="1:11" ht="15">
      <c r="A84" s="1">
        <v>11</v>
      </c>
      <c r="B84" s="1" t="s">
        <v>6</v>
      </c>
      <c r="C84" s="1">
        <v>0.52500000000000002</v>
      </c>
      <c r="D84" s="1">
        <v>57.815022384889403</v>
      </c>
      <c r="E84" s="1">
        <f t="shared" si="7"/>
        <v>20</v>
      </c>
      <c r="F84" s="1">
        <f t="shared" si="8"/>
        <v>1.89</v>
      </c>
      <c r="G84" s="3">
        <f t="shared" si="9"/>
        <v>8127000</v>
      </c>
      <c r="H84" s="3">
        <f t="shared" si="10"/>
        <v>1625400</v>
      </c>
      <c r="I84" s="3">
        <f t="shared" si="11"/>
        <v>3250800</v>
      </c>
      <c r="J84" s="3">
        <f t="shared" si="12"/>
        <v>4876200</v>
      </c>
      <c r="K84" s="3">
        <f t="shared" si="13"/>
        <v>6501600</v>
      </c>
    </row>
    <row r="85" spans="1:11" ht="15">
      <c r="A85" s="1">
        <v>12</v>
      </c>
      <c r="B85" s="1" t="s">
        <v>6</v>
      </c>
      <c r="C85" s="1">
        <v>0.67400000000000004</v>
      </c>
      <c r="D85" s="1">
        <v>74.223476356981834</v>
      </c>
      <c r="E85" s="1">
        <f t="shared" si="7"/>
        <v>20</v>
      </c>
      <c r="F85" s="1">
        <f t="shared" si="8"/>
        <v>2.4264000000000001</v>
      </c>
      <c r="G85" s="3">
        <f t="shared" si="9"/>
        <v>10433520</v>
      </c>
      <c r="H85" s="3">
        <f t="shared" si="10"/>
        <v>2086704</v>
      </c>
      <c r="I85" s="3">
        <f t="shared" si="11"/>
        <v>4173408</v>
      </c>
      <c r="J85" s="3">
        <f t="shared" si="12"/>
        <v>6260112</v>
      </c>
      <c r="K85" s="3">
        <f t="shared" si="13"/>
        <v>8346816</v>
      </c>
    </row>
    <row r="86" spans="1:11" ht="15">
      <c r="A86" s="1">
        <v>13</v>
      </c>
      <c r="B86" s="1" t="s">
        <v>6</v>
      </c>
      <c r="C86" s="1">
        <v>0.74299999999999999</v>
      </c>
      <c r="D86" s="1">
        <v>81.822022156138715</v>
      </c>
      <c r="E86" s="1">
        <f t="shared" si="7"/>
        <v>20</v>
      </c>
      <c r="F86" s="1">
        <f t="shared" si="8"/>
        <v>2.6747999999999998</v>
      </c>
      <c r="G86" s="3">
        <f t="shared" si="9"/>
        <v>11501640</v>
      </c>
      <c r="H86" s="3">
        <f t="shared" si="10"/>
        <v>2300328</v>
      </c>
      <c r="I86" s="3">
        <f t="shared" si="11"/>
        <v>4600656</v>
      </c>
      <c r="J86" s="3">
        <f t="shared" si="12"/>
        <v>6900984</v>
      </c>
      <c r="K86" s="3">
        <f t="shared" si="13"/>
        <v>9201312</v>
      </c>
    </row>
    <row r="87" spans="1:11" ht="15">
      <c r="A87" s="1">
        <v>14</v>
      </c>
      <c r="B87" s="1" t="s">
        <v>6</v>
      </c>
      <c r="C87" s="1">
        <v>0.77500000000000002</v>
      </c>
      <c r="D87" s="1">
        <v>85.345985425312932</v>
      </c>
      <c r="E87" s="1">
        <f t="shared" si="7"/>
        <v>20</v>
      </c>
      <c r="F87" s="1">
        <f t="shared" si="8"/>
        <v>2.79</v>
      </c>
      <c r="G87" s="3">
        <f t="shared" si="9"/>
        <v>11997000</v>
      </c>
      <c r="H87" s="3">
        <f t="shared" si="10"/>
        <v>2399400</v>
      </c>
      <c r="I87" s="3">
        <f t="shared" si="11"/>
        <v>4798800</v>
      </c>
      <c r="J87" s="3">
        <f t="shared" si="12"/>
        <v>7198200</v>
      </c>
      <c r="K87" s="3">
        <f t="shared" si="13"/>
        <v>9597600</v>
      </c>
    </row>
    <row r="88" spans="1:11" ht="15">
      <c r="A88" s="1">
        <v>15</v>
      </c>
      <c r="B88" s="1" t="s">
        <v>6</v>
      </c>
      <c r="C88" s="1">
        <v>0.73199999999999998</v>
      </c>
      <c r="D88" s="1">
        <v>80.610659782360088</v>
      </c>
      <c r="E88" s="1">
        <f t="shared" si="7"/>
        <v>20</v>
      </c>
      <c r="F88" s="1">
        <f t="shared" si="8"/>
        <v>2.6352000000000002</v>
      </c>
      <c r="G88" s="3">
        <f t="shared" si="9"/>
        <v>11331360</v>
      </c>
      <c r="H88" s="3">
        <f t="shared" si="10"/>
        <v>2266272</v>
      </c>
      <c r="I88" s="3">
        <f t="shared" si="11"/>
        <v>4532544</v>
      </c>
      <c r="J88" s="3">
        <f t="shared" si="12"/>
        <v>6798816.0000000009</v>
      </c>
      <c r="K88" s="3">
        <f t="shared" si="13"/>
        <v>9065088</v>
      </c>
    </row>
    <row r="89" spans="1:11" ht="15">
      <c r="A89" s="1">
        <v>16</v>
      </c>
      <c r="B89" s="1" t="s">
        <v>6</v>
      </c>
      <c r="C89" s="1">
        <v>0.65300000000000002</v>
      </c>
      <c r="D89" s="1">
        <v>71.910875461586244</v>
      </c>
      <c r="E89" s="1">
        <f t="shared" si="7"/>
        <v>20</v>
      </c>
      <c r="F89" s="1">
        <f t="shared" si="8"/>
        <v>2.3508</v>
      </c>
      <c r="G89" s="3">
        <f t="shared" si="9"/>
        <v>10108440</v>
      </c>
      <c r="H89" s="3">
        <f t="shared" si="10"/>
        <v>2021688</v>
      </c>
      <c r="I89" s="3">
        <f t="shared" si="11"/>
        <v>4043376</v>
      </c>
      <c r="J89" s="3">
        <f t="shared" si="12"/>
        <v>6065064</v>
      </c>
      <c r="K89" s="3">
        <f t="shared" si="13"/>
        <v>8086752</v>
      </c>
    </row>
    <row r="90" spans="1:11" ht="15">
      <c r="A90" s="1">
        <v>17</v>
      </c>
      <c r="B90" s="1" t="s">
        <v>6</v>
      </c>
      <c r="C90" s="1">
        <v>0.53500000000000003</v>
      </c>
      <c r="D90" s="1">
        <v>58.916260906506345</v>
      </c>
      <c r="E90" s="1">
        <f t="shared" si="7"/>
        <v>20</v>
      </c>
      <c r="F90" s="1">
        <f t="shared" si="8"/>
        <v>1.9260000000000002</v>
      </c>
      <c r="G90" s="3">
        <f t="shared" si="9"/>
        <v>8281800.0000000009</v>
      </c>
      <c r="H90" s="3">
        <f t="shared" si="10"/>
        <v>1656360.0000000002</v>
      </c>
      <c r="I90" s="3">
        <f t="shared" si="11"/>
        <v>3312720.0000000005</v>
      </c>
      <c r="J90" s="3">
        <f t="shared" si="12"/>
        <v>4969080</v>
      </c>
      <c r="K90" s="3">
        <f t="shared" si="13"/>
        <v>6625440.0000000009</v>
      </c>
    </row>
    <row r="91" spans="1:11" ht="15">
      <c r="A91" s="1">
        <v>18</v>
      </c>
      <c r="B91" s="1" t="s">
        <v>6</v>
      </c>
      <c r="C91" s="1">
        <v>0.36499999999999999</v>
      </c>
      <c r="D91" s="1">
        <v>40.195206039018345</v>
      </c>
      <c r="E91" s="1">
        <f t="shared" si="7"/>
        <v>20</v>
      </c>
      <c r="F91" s="1">
        <f t="shared" si="8"/>
        <v>1.3139999999999998</v>
      </c>
      <c r="G91" s="3">
        <f t="shared" si="9"/>
        <v>5650199.9999999991</v>
      </c>
      <c r="H91" s="3">
        <f t="shared" si="10"/>
        <v>1130039.9999999998</v>
      </c>
      <c r="I91" s="3">
        <f t="shared" si="11"/>
        <v>2260079.9999999995</v>
      </c>
      <c r="J91" s="3">
        <f t="shared" si="12"/>
        <v>3390119.9999999995</v>
      </c>
      <c r="K91" s="3">
        <f t="shared" si="13"/>
        <v>4520159.9999999991</v>
      </c>
    </row>
    <row r="92" spans="1:11" ht="15">
      <c r="A92" s="1">
        <v>19</v>
      </c>
      <c r="B92" s="1" t="s">
        <v>6</v>
      </c>
      <c r="C92" s="1">
        <v>0.187</v>
      </c>
      <c r="D92" s="1">
        <v>20.593160354236797</v>
      </c>
      <c r="E92" s="1">
        <f t="shared" si="7"/>
        <v>20</v>
      </c>
      <c r="F92" s="1">
        <f t="shared" si="8"/>
        <v>0.67320000000000002</v>
      </c>
      <c r="G92" s="3">
        <f t="shared" si="9"/>
        <v>2894760</v>
      </c>
      <c r="H92" s="3">
        <f t="shared" si="10"/>
        <v>578952</v>
      </c>
      <c r="I92" s="3">
        <f t="shared" si="11"/>
        <v>1157904</v>
      </c>
      <c r="J92" s="3">
        <f t="shared" si="12"/>
        <v>1736856</v>
      </c>
      <c r="K92" s="3">
        <f t="shared" si="13"/>
        <v>2315808</v>
      </c>
    </row>
    <row r="93" spans="1:11" ht="15">
      <c r="A93" s="1">
        <v>20</v>
      </c>
      <c r="B93" s="1" t="s">
        <v>6</v>
      </c>
      <c r="C93" s="1">
        <v>0.04</v>
      </c>
      <c r="D93" s="1">
        <v>4.4049540864677637</v>
      </c>
      <c r="E93" s="1">
        <f t="shared" si="7"/>
        <v>20</v>
      </c>
      <c r="F93" s="1">
        <f t="shared" si="8"/>
        <v>0.14399999999999999</v>
      </c>
      <c r="G93" s="3">
        <f t="shared" si="9"/>
        <v>619200</v>
      </c>
      <c r="H93" s="3">
        <f t="shared" si="10"/>
        <v>123839.99999999999</v>
      </c>
      <c r="I93" s="3">
        <f t="shared" si="11"/>
        <v>247679.99999999997</v>
      </c>
      <c r="J93" s="3">
        <f t="shared" si="12"/>
        <v>371520</v>
      </c>
      <c r="K93" s="3">
        <f t="shared" si="13"/>
        <v>495359.99999999994</v>
      </c>
    </row>
    <row r="94" spans="1:11" ht="15">
      <c r="A94" s="1">
        <v>21</v>
      </c>
      <c r="B94" s="1" t="s">
        <v>6</v>
      </c>
      <c r="C94" s="1">
        <v>3.4000000000000002E-4</v>
      </c>
      <c r="D94" s="1">
        <v>3.7442109734975998E-2</v>
      </c>
      <c r="E94" s="1">
        <f t="shared" si="7"/>
        <v>20</v>
      </c>
      <c r="F94" s="1">
        <f t="shared" si="8"/>
        <v>1.224E-3</v>
      </c>
      <c r="G94" s="3">
        <f t="shared" si="9"/>
        <v>5263.2</v>
      </c>
      <c r="H94" s="3">
        <f t="shared" si="10"/>
        <v>1052.6400000000001</v>
      </c>
      <c r="I94" s="3">
        <f t="shared" si="11"/>
        <v>2105.2800000000002</v>
      </c>
      <c r="J94" s="3">
        <f t="shared" si="12"/>
        <v>3157.92</v>
      </c>
      <c r="K94" s="3">
        <f t="shared" si="13"/>
        <v>4210.5600000000004</v>
      </c>
    </row>
    <row r="95" spans="1:11" ht="15">
      <c r="A95" s="1">
        <v>22</v>
      </c>
      <c r="B95" s="1" t="s">
        <v>6</v>
      </c>
      <c r="D95" s="1">
        <v>0</v>
      </c>
      <c r="E95" s="1">
        <f t="shared" si="7"/>
        <v>20</v>
      </c>
      <c r="F95" s="1">
        <f t="shared" si="8"/>
        <v>0</v>
      </c>
      <c r="G95" s="3">
        <f t="shared" si="9"/>
        <v>0</v>
      </c>
      <c r="H95" s="3">
        <f t="shared" si="10"/>
        <v>0</v>
      </c>
      <c r="I95" s="3">
        <f t="shared" si="11"/>
        <v>0</v>
      </c>
      <c r="J95" s="3">
        <f t="shared" si="12"/>
        <v>0</v>
      </c>
      <c r="K95" s="3">
        <f t="shared" si="13"/>
        <v>0</v>
      </c>
    </row>
    <row r="96" spans="1:11" ht="15">
      <c r="A96" s="1">
        <v>23</v>
      </c>
      <c r="B96" s="1" t="s">
        <v>6</v>
      </c>
      <c r="D96" s="1">
        <v>0</v>
      </c>
      <c r="E96" s="1">
        <f t="shared" si="7"/>
        <v>20</v>
      </c>
      <c r="F96" s="1">
        <f t="shared" si="8"/>
        <v>0</v>
      </c>
      <c r="G96" s="3">
        <f t="shared" si="9"/>
        <v>0</v>
      </c>
      <c r="H96" s="3">
        <f t="shared" si="10"/>
        <v>0</v>
      </c>
      <c r="I96" s="3">
        <f t="shared" si="11"/>
        <v>0</v>
      </c>
      <c r="J96" s="3">
        <f t="shared" si="12"/>
        <v>0</v>
      </c>
      <c r="K96" s="3">
        <f t="shared" si="13"/>
        <v>0</v>
      </c>
    </row>
    <row r="97" spans="1:11" ht="15">
      <c r="A97" s="1">
        <v>24</v>
      </c>
      <c r="B97" s="1" t="s">
        <v>6</v>
      </c>
      <c r="D97" s="1">
        <v>0</v>
      </c>
      <c r="E97" s="1">
        <f t="shared" si="7"/>
        <v>20</v>
      </c>
      <c r="F97" s="1">
        <f t="shared" si="8"/>
        <v>0</v>
      </c>
      <c r="G97" s="3">
        <f t="shared" si="9"/>
        <v>0</v>
      </c>
      <c r="H97" s="3">
        <f t="shared" si="10"/>
        <v>0</v>
      </c>
      <c r="I97" s="3">
        <f t="shared" si="11"/>
        <v>0</v>
      </c>
      <c r="J97" s="3">
        <f t="shared" si="12"/>
        <v>0</v>
      </c>
      <c r="K97" s="3">
        <f t="shared" si="13"/>
        <v>0</v>
      </c>
    </row>
    <row r="98" spans="1:11" ht="15">
      <c r="A98" s="1">
        <v>1</v>
      </c>
      <c r="B98" s="1" t="s">
        <v>7</v>
      </c>
      <c r="D98" s="1">
        <v>0</v>
      </c>
      <c r="E98" s="1">
        <f t="shared" si="7"/>
        <v>20</v>
      </c>
      <c r="F98" s="1">
        <f t="shared" si="8"/>
        <v>0</v>
      </c>
      <c r="G98" s="3">
        <f t="shared" si="9"/>
        <v>0</v>
      </c>
      <c r="H98" s="3">
        <f t="shared" si="10"/>
        <v>0</v>
      </c>
      <c r="I98" s="3">
        <f t="shared" si="11"/>
        <v>0</v>
      </c>
      <c r="J98" s="3">
        <f t="shared" si="12"/>
        <v>0</v>
      </c>
      <c r="K98" s="3">
        <f t="shared" si="13"/>
        <v>0</v>
      </c>
    </row>
    <row r="99" spans="1:11" ht="15">
      <c r="A99" s="1">
        <v>2</v>
      </c>
      <c r="B99" s="1" t="s">
        <v>7</v>
      </c>
      <c r="D99" s="1">
        <v>0</v>
      </c>
      <c r="E99" s="1">
        <f t="shared" si="7"/>
        <v>20</v>
      </c>
      <c r="F99" s="1">
        <f t="shared" si="8"/>
        <v>0</v>
      </c>
      <c r="G99" s="3">
        <f t="shared" si="9"/>
        <v>0</v>
      </c>
      <c r="H99" s="3">
        <f t="shared" si="10"/>
        <v>0</v>
      </c>
      <c r="I99" s="3">
        <f t="shared" si="11"/>
        <v>0</v>
      </c>
      <c r="J99" s="3">
        <f t="shared" si="12"/>
        <v>0</v>
      </c>
      <c r="K99" s="3">
        <f t="shared" si="13"/>
        <v>0</v>
      </c>
    </row>
    <row r="100" spans="1:11" ht="15">
      <c r="A100" s="1">
        <v>3</v>
      </c>
      <c r="B100" s="1" t="s">
        <v>7</v>
      </c>
      <c r="D100" s="1">
        <v>0</v>
      </c>
      <c r="E100" s="1">
        <f t="shared" si="7"/>
        <v>20</v>
      </c>
      <c r="F100" s="1">
        <f t="shared" si="8"/>
        <v>0</v>
      </c>
      <c r="G100" s="3">
        <f t="shared" si="9"/>
        <v>0</v>
      </c>
      <c r="H100" s="3">
        <f t="shared" si="10"/>
        <v>0</v>
      </c>
      <c r="I100" s="3">
        <f t="shared" si="11"/>
        <v>0</v>
      </c>
      <c r="J100" s="3">
        <f t="shared" si="12"/>
        <v>0</v>
      </c>
      <c r="K100" s="3">
        <f t="shared" si="13"/>
        <v>0</v>
      </c>
    </row>
    <row r="101" spans="1:11" ht="15">
      <c r="A101" s="1">
        <v>4</v>
      </c>
      <c r="B101" s="1" t="s">
        <v>7</v>
      </c>
      <c r="D101" s="1">
        <v>0</v>
      </c>
      <c r="E101" s="1">
        <f t="shared" si="7"/>
        <v>20</v>
      </c>
      <c r="F101" s="1">
        <f t="shared" si="8"/>
        <v>0</v>
      </c>
      <c r="G101" s="3">
        <f t="shared" si="9"/>
        <v>0</v>
      </c>
      <c r="H101" s="3">
        <f t="shared" si="10"/>
        <v>0</v>
      </c>
      <c r="I101" s="3">
        <f t="shared" si="11"/>
        <v>0</v>
      </c>
      <c r="J101" s="3">
        <f t="shared" si="12"/>
        <v>0</v>
      </c>
      <c r="K101" s="3">
        <f t="shared" si="13"/>
        <v>0</v>
      </c>
    </row>
    <row r="102" spans="1:11" ht="15">
      <c r="A102" s="1">
        <v>5</v>
      </c>
      <c r="B102" s="1" t="s">
        <v>7</v>
      </c>
      <c r="D102" s="1">
        <v>0</v>
      </c>
      <c r="E102" s="1">
        <f t="shared" si="7"/>
        <v>20</v>
      </c>
      <c r="F102" s="1">
        <f t="shared" si="8"/>
        <v>0</v>
      </c>
      <c r="G102" s="3">
        <f t="shared" si="9"/>
        <v>0</v>
      </c>
      <c r="H102" s="3">
        <f t="shared" si="10"/>
        <v>0</v>
      </c>
      <c r="I102" s="3">
        <f t="shared" si="11"/>
        <v>0</v>
      </c>
      <c r="J102" s="3">
        <f t="shared" si="12"/>
        <v>0</v>
      </c>
      <c r="K102" s="3">
        <f t="shared" si="13"/>
        <v>0</v>
      </c>
    </row>
    <row r="103" spans="1:11" ht="15">
      <c r="A103" s="1">
        <v>6</v>
      </c>
      <c r="B103" s="1" t="s">
        <v>7</v>
      </c>
      <c r="D103" s="1">
        <v>0</v>
      </c>
      <c r="E103" s="1">
        <f t="shared" si="7"/>
        <v>20</v>
      </c>
      <c r="F103" s="1">
        <f t="shared" si="8"/>
        <v>0</v>
      </c>
      <c r="G103" s="3">
        <f t="shared" si="9"/>
        <v>0</v>
      </c>
      <c r="H103" s="3">
        <f t="shared" si="10"/>
        <v>0</v>
      </c>
      <c r="I103" s="3">
        <f t="shared" si="11"/>
        <v>0</v>
      </c>
      <c r="J103" s="3">
        <f t="shared" si="12"/>
        <v>0</v>
      </c>
      <c r="K103" s="3">
        <f t="shared" si="13"/>
        <v>0</v>
      </c>
    </row>
    <row r="104" spans="1:11" ht="15">
      <c r="A104" s="1">
        <v>7</v>
      </c>
      <c r="B104" s="1" t="s">
        <v>7</v>
      </c>
      <c r="C104" s="1">
        <v>1.4999999999999999E-2</v>
      </c>
      <c r="D104" s="1">
        <v>1.6518577824254115</v>
      </c>
      <c r="E104" s="1">
        <f t="shared" si="7"/>
        <v>20</v>
      </c>
      <c r="F104" s="1">
        <f t="shared" si="8"/>
        <v>5.3999999999999999E-2</v>
      </c>
      <c r="G104" s="3">
        <f t="shared" si="9"/>
        <v>232200</v>
      </c>
      <c r="H104" s="3">
        <f t="shared" si="10"/>
        <v>46440</v>
      </c>
      <c r="I104" s="3">
        <f t="shared" si="11"/>
        <v>92880</v>
      </c>
      <c r="J104" s="3">
        <f t="shared" si="12"/>
        <v>139320</v>
      </c>
      <c r="K104" s="3">
        <f t="shared" si="13"/>
        <v>185760</v>
      </c>
    </row>
    <row r="105" spans="1:11" ht="15">
      <c r="A105" s="1">
        <v>8</v>
      </c>
      <c r="B105" s="1" t="s">
        <v>7</v>
      </c>
      <c r="C105" s="1">
        <v>9.1999999999999998E-2</v>
      </c>
      <c r="D105" s="1">
        <v>10.131394398875857</v>
      </c>
      <c r="E105" s="1">
        <f t="shared" si="7"/>
        <v>20</v>
      </c>
      <c r="F105" s="1">
        <f t="shared" si="8"/>
        <v>0.33119999999999994</v>
      </c>
      <c r="G105" s="3">
        <f t="shared" si="9"/>
        <v>1424159.9999999998</v>
      </c>
      <c r="H105" s="3">
        <f t="shared" si="10"/>
        <v>284831.99999999994</v>
      </c>
      <c r="I105" s="3">
        <f t="shared" si="11"/>
        <v>569663.99999999988</v>
      </c>
      <c r="J105" s="3">
        <f t="shared" si="12"/>
        <v>854495.99999999988</v>
      </c>
      <c r="K105" s="3">
        <f t="shared" si="13"/>
        <v>1139327.9999999998</v>
      </c>
    </row>
    <row r="106" spans="1:11" ht="15">
      <c r="A106" s="1">
        <v>9</v>
      </c>
      <c r="B106" s="1" t="s">
        <v>7</v>
      </c>
      <c r="C106" s="1">
        <v>0.20599999999999999</v>
      </c>
      <c r="D106" s="1">
        <v>22.685513545308982</v>
      </c>
      <c r="E106" s="1">
        <f t="shared" si="7"/>
        <v>20</v>
      </c>
      <c r="F106" s="1">
        <f t="shared" si="8"/>
        <v>0.74160000000000004</v>
      </c>
      <c r="G106" s="3">
        <f t="shared" si="9"/>
        <v>3188880</v>
      </c>
      <c r="H106" s="3">
        <f t="shared" si="10"/>
        <v>637776</v>
      </c>
      <c r="I106" s="3">
        <f t="shared" si="11"/>
        <v>1275552</v>
      </c>
      <c r="J106" s="3">
        <f t="shared" si="12"/>
        <v>1913328</v>
      </c>
      <c r="K106" s="3">
        <f t="shared" si="13"/>
        <v>2551104</v>
      </c>
    </row>
    <row r="107" spans="1:11" ht="15">
      <c r="A107" s="1">
        <v>10</v>
      </c>
      <c r="B107" s="1" t="s">
        <v>7</v>
      </c>
      <c r="C107" s="1">
        <v>0.36599999999999999</v>
      </c>
      <c r="D107" s="1">
        <v>40.305329891180044</v>
      </c>
      <c r="E107" s="1">
        <f t="shared" si="7"/>
        <v>20</v>
      </c>
      <c r="F107" s="1">
        <f t="shared" si="8"/>
        <v>1.3176000000000001</v>
      </c>
      <c r="G107" s="3">
        <f t="shared" si="9"/>
        <v>5665680</v>
      </c>
      <c r="H107" s="3">
        <f t="shared" si="10"/>
        <v>1133136</v>
      </c>
      <c r="I107" s="3">
        <f t="shared" si="11"/>
        <v>2266272</v>
      </c>
      <c r="J107" s="3">
        <f t="shared" si="12"/>
        <v>3399408.0000000005</v>
      </c>
      <c r="K107" s="3">
        <f t="shared" si="13"/>
        <v>4532544</v>
      </c>
    </row>
    <row r="108" spans="1:11" ht="15">
      <c r="A108" s="1">
        <v>11</v>
      </c>
      <c r="B108" s="1" t="s">
        <v>7</v>
      </c>
      <c r="C108" s="1">
        <v>0.6</v>
      </c>
      <c r="D108" s="1">
        <v>66.074311297016465</v>
      </c>
      <c r="E108" s="1">
        <f t="shared" si="7"/>
        <v>20</v>
      </c>
      <c r="F108" s="1">
        <f t="shared" si="8"/>
        <v>2.16</v>
      </c>
      <c r="G108" s="3">
        <f t="shared" si="9"/>
        <v>9288000</v>
      </c>
      <c r="H108" s="3">
        <f t="shared" si="10"/>
        <v>1857600.0000000002</v>
      </c>
      <c r="I108" s="3">
        <f t="shared" si="11"/>
        <v>3715200.0000000005</v>
      </c>
      <c r="J108" s="3">
        <f t="shared" si="12"/>
        <v>5572800</v>
      </c>
      <c r="K108" s="3">
        <f t="shared" si="13"/>
        <v>7430400.0000000009</v>
      </c>
    </row>
    <row r="109" spans="1:11" ht="15">
      <c r="A109" s="1">
        <v>12</v>
      </c>
      <c r="B109" s="1" t="s">
        <v>7</v>
      </c>
      <c r="C109" s="1">
        <v>0.73799999999999999</v>
      </c>
      <c r="D109" s="1">
        <v>81.27140289533024</v>
      </c>
      <c r="E109" s="1">
        <f t="shared" si="7"/>
        <v>20</v>
      </c>
      <c r="F109" s="1">
        <f t="shared" si="8"/>
        <v>2.6568000000000001</v>
      </c>
      <c r="G109" s="3">
        <f t="shared" si="9"/>
        <v>11424240</v>
      </c>
      <c r="H109" s="3">
        <f t="shared" si="10"/>
        <v>2284848</v>
      </c>
      <c r="I109" s="3">
        <f t="shared" si="11"/>
        <v>4569696</v>
      </c>
      <c r="J109" s="3">
        <f t="shared" si="12"/>
        <v>6854544</v>
      </c>
      <c r="K109" s="3">
        <f t="shared" si="13"/>
        <v>9139392</v>
      </c>
    </row>
    <row r="110" spans="1:11" ht="15">
      <c r="A110" s="1">
        <v>13</v>
      </c>
      <c r="B110" s="1" t="s">
        <v>7</v>
      </c>
      <c r="C110" s="1">
        <v>0.81200000000000006</v>
      </c>
      <c r="D110" s="1">
        <v>89.42056795529561</v>
      </c>
      <c r="E110" s="1">
        <f t="shared" si="7"/>
        <v>20</v>
      </c>
      <c r="F110" s="1">
        <f t="shared" si="8"/>
        <v>2.9232000000000005</v>
      </c>
      <c r="G110" s="3">
        <f t="shared" si="9"/>
        <v>12569760.000000002</v>
      </c>
      <c r="H110" s="3">
        <f t="shared" si="10"/>
        <v>2513952.0000000005</v>
      </c>
      <c r="I110" s="3">
        <f t="shared" si="11"/>
        <v>5027904.0000000009</v>
      </c>
      <c r="J110" s="3">
        <f t="shared" si="12"/>
        <v>7541856.0000000009</v>
      </c>
      <c r="K110" s="3">
        <f t="shared" si="13"/>
        <v>10055808.000000002</v>
      </c>
    </row>
    <row r="111" spans="1:11" ht="15">
      <c r="A111" s="1">
        <v>14</v>
      </c>
      <c r="B111" s="1" t="s">
        <v>7</v>
      </c>
      <c r="C111" s="1">
        <v>0.82799999999999996</v>
      </c>
      <c r="D111" s="1">
        <v>91.182549589882711</v>
      </c>
      <c r="E111" s="1">
        <f t="shared" si="7"/>
        <v>20</v>
      </c>
      <c r="F111" s="1">
        <f t="shared" si="8"/>
        <v>2.9807999999999995</v>
      </c>
      <c r="G111" s="3">
        <f t="shared" si="9"/>
        <v>12817439.999999998</v>
      </c>
      <c r="H111" s="3">
        <f t="shared" si="10"/>
        <v>2563487.9999999995</v>
      </c>
      <c r="I111" s="3">
        <f t="shared" si="11"/>
        <v>5126975.9999999991</v>
      </c>
      <c r="J111" s="3">
        <f t="shared" si="12"/>
        <v>7690463.9999999981</v>
      </c>
      <c r="K111" s="3">
        <f t="shared" si="13"/>
        <v>10253951.999999998</v>
      </c>
    </row>
    <row r="112" spans="1:11" ht="15">
      <c r="A112" s="1">
        <v>15</v>
      </c>
      <c r="B112" s="1" t="s">
        <v>7</v>
      </c>
      <c r="C112" s="1">
        <v>0.78</v>
      </c>
      <c r="D112" s="1">
        <v>85.896604686121393</v>
      </c>
      <c r="E112" s="1">
        <f t="shared" si="7"/>
        <v>20</v>
      </c>
      <c r="F112" s="1">
        <f t="shared" si="8"/>
        <v>2.8080000000000003</v>
      </c>
      <c r="G112" s="3">
        <f t="shared" si="9"/>
        <v>12074400.000000002</v>
      </c>
      <c r="H112" s="3">
        <f t="shared" si="10"/>
        <v>2414880.0000000005</v>
      </c>
      <c r="I112" s="3">
        <f t="shared" si="11"/>
        <v>4829760.0000000009</v>
      </c>
      <c r="J112" s="3">
        <f t="shared" si="12"/>
        <v>7244640.0000000009</v>
      </c>
      <c r="K112" s="3">
        <f t="shared" si="13"/>
        <v>9659520.0000000019</v>
      </c>
    </row>
    <row r="113" spans="1:11" ht="15">
      <c r="A113" s="1">
        <v>16</v>
      </c>
      <c r="B113" s="1" t="s">
        <v>7</v>
      </c>
      <c r="C113" s="1">
        <v>0.7</v>
      </c>
      <c r="D113" s="1">
        <v>77.086696513185871</v>
      </c>
      <c r="E113" s="1">
        <f t="shared" si="7"/>
        <v>20</v>
      </c>
      <c r="F113" s="1">
        <f t="shared" si="8"/>
        <v>2.52</v>
      </c>
      <c r="G113" s="3">
        <f t="shared" si="9"/>
        <v>10836000</v>
      </c>
      <c r="H113" s="3">
        <f t="shared" si="10"/>
        <v>2167200</v>
      </c>
      <c r="I113" s="3">
        <f t="shared" si="11"/>
        <v>4334400</v>
      </c>
      <c r="J113" s="3">
        <f t="shared" si="12"/>
        <v>6501600</v>
      </c>
      <c r="K113" s="3">
        <f t="shared" si="13"/>
        <v>8668800</v>
      </c>
    </row>
    <row r="114" spans="1:11" ht="15">
      <c r="A114" s="1">
        <v>17</v>
      </c>
      <c r="B114" s="1" t="s">
        <v>7</v>
      </c>
      <c r="C114" s="1">
        <v>0.58299999999999996</v>
      </c>
      <c r="D114" s="1">
        <v>64.202205810267657</v>
      </c>
      <c r="E114" s="1">
        <f t="shared" si="7"/>
        <v>20</v>
      </c>
      <c r="F114" s="1">
        <f t="shared" si="8"/>
        <v>2.0987999999999998</v>
      </c>
      <c r="G114" s="3">
        <f t="shared" si="9"/>
        <v>9024839.9999999981</v>
      </c>
      <c r="H114" s="3">
        <f t="shared" si="10"/>
        <v>1804967.9999999998</v>
      </c>
      <c r="I114" s="3">
        <f t="shared" si="11"/>
        <v>3609935.9999999995</v>
      </c>
      <c r="J114" s="3">
        <f t="shared" si="12"/>
        <v>5414903.9999999991</v>
      </c>
      <c r="K114" s="3">
        <f t="shared" si="13"/>
        <v>7219871.9999999991</v>
      </c>
    </row>
    <row r="115" spans="1:11" ht="15">
      <c r="A115" s="1">
        <v>18</v>
      </c>
      <c r="B115" s="1" t="s">
        <v>7</v>
      </c>
      <c r="C115" s="1">
        <v>0.41299999999999998</v>
      </c>
      <c r="D115" s="1">
        <v>45.481150942779657</v>
      </c>
      <c r="E115" s="1">
        <f t="shared" si="7"/>
        <v>20</v>
      </c>
      <c r="F115" s="1">
        <f t="shared" si="8"/>
        <v>1.4867999999999999</v>
      </c>
      <c r="G115" s="3">
        <f t="shared" si="9"/>
        <v>6393240</v>
      </c>
      <c r="H115" s="3">
        <f t="shared" si="10"/>
        <v>1278648</v>
      </c>
      <c r="I115" s="3">
        <f t="shared" si="11"/>
        <v>2557296</v>
      </c>
      <c r="J115" s="3">
        <f t="shared" si="12"/>
        <v>3835943.9999999995</v>
      </c>
      <c r="K115" s="3">
        <f t="shared" si="13"/>
        <v>5114592</v>
      </c>
    </row>
    <row r="116" spans="1:11" ht="15">
      <c r="A116" s="1">
        <v>19</v>
      </c>
      <c r="B116" s="1" t="s">
        <v>7</v>
      </c>
      <c r="C116" s="1">
        <v>0.248</v>
      </c>
      <c r="D116" s="1">
        <v>27.310715336100138</v>
      </c>
      <c r="E116" s="1">
        <f t="shared" si="7"/>
        <v>20</v>
      </c>
      <c r="F116" s="1">
        <f t="shared" si="8"/>
        <v>0.89279999999999993</v>
      </c>
      <c r="G116" s="3">
        <f t="shared" si="9"/>
        <v>3839039.9999999995</v>
      </c>
      <c r="H116" s="3">
        <f t="shared" si="10"/>
        <v>767807.99999999988</v>
      </c>
      <c r="I116" s="3">
        <f t="shared" si="11"/>
        <v>1535615.9999999998</v>
      </c>
      <c r="J116" s="3">
        <f t="shared" si="12"/>
        <v>2303424</v>
      </c>
      <c r="K116" s="3">
        <f t="shared" si="13"/>
        <v>3071231.9999999995</v>
      </c>
    </row>
    <row r="117" spans="1:11" ht="15">
      <c r="A117" s="1">
        <v>20</v>
      </c>
      <c r="B117" s="1" t="s">
        <v>7</v>
      </c>
      <c r="C117" s="1">
        <v>8.7999999999999995E-2</v>
      </c>
      <c r="D117" s="1">
        <v>9.6908989902290799</v>
      </c>
      <c r="E117" s="1">
        <f t="shared" si="7"/>
        <v>20</v>
      </c>
      <c r="F117" s="1">
        <f t="shared" si="8"/>
        <v>0.31679999999999997</v>
      </c>
      <c r="G117" s="3">
        <f t="shared" si="9"/>
        <v>1362239.9999999998</v>
      </c>
      <c r="H117" s="3">
        <f t="shared" si="10"/>
        <v>272448</v>
      </c>
      <c r="I117" s="3">
        <f t="shared" si="11"/>
        <v>544896</v>
      </c>
      <c r="J117" s="3">
        <f t="shared" si="12"/>
        <v>817343.99999999988</v>
      </c>
      <c r="K117" s="3">
        <f t="shared" si="13"/>
        <v>1089792</v>
      </c>
    </row>
    <row r="118" spans="1:11" ht="15">
      <c r="A118" s="1">
        <v>21</v>
      </c>
      <c r="B118" s="1" t="s">
        <v>7</v>
      </c>
      <c r="C118" s="1">
        <v>6.0000000000000001E-3</v>
      </c>
      <c r="D118" s="1">
        <v>0.66074311297016453</v>
      </c>
      <c r="E118" s="1">
        <f t="shared" si="7"/>
        <v>20</v>
      </c>
      <c r="F118" s="1">
        <f t="shared" si="8"/>
        <v>2.1599999999999998E-2</v>
      </c>
      <c r="G118" s="3">
        <f t="shared" si="9"/>
        <v>92879.999999999985</v>
      </c>
      <c r="H118" s="3">
        <f t="shared" si="10"/>
        <v>18575.999999999996</v>
      </c>
      <c r="I118" s="3">
        <f t="shared" si="11"/>
        <v>37151.999999999993</v>
      </c>
      <c r="J118" s="3">
        <f t="shared" si="12"/>
        <v>55727.999999999993</v>
      </c>
      <c r="K118" s="3">
        <f t="shared" si="13"/>
        <v>74303.999999999985</v>
      </c>
    </row>
    <row r="119" spans="1:11" ht="15">
      <c r="A119" s="1">
        <v>22</v>
      </c>
      <c r="B119" s="1" t="s">
        <v>7</v>
      </c>
      <c r="D119" s="1">
        <v>0</v>
      </c>
      <c r="E119" s="1">
        <f t="shared" si="7"/>
        <v>20</v>
      </c>
      <c r="F119" s="1">
        <f t="shared" si="8"/>
        <v>0</v>
      </c>
      <c r="G119" s="3">
        <f t="shared" si="9"/>
        <v>0</v>
      </c>
      <c r="H119" s="3">
        <f t="shared" si="10"/>
        <v>0</v>
      </c>
      <c r="I119" s="3">
        <f t="shared" si="11"/>
        <v>0</v>
      </c>
      <c r="J119" s="3">
        <f t="shared" si="12"/>
        <v>0</v>
      </c>
      <c r="K119" s="3">
        <f t="shared" si="13"/>
        <v>0</v>
      </c>
    </row>
    <row r="120" spans="1:11" ht="15">
      <c r="A120" s="1">
        <v>23</v>
      </c>
      <c r="B120" s="1" t="s">
        <v>7</v>
      </c>
      <c r="D120" s="1">
        <v>0</v>
      </c>
      <c r="E120" s="1">
        <f t="shared" si="7"/>
        <v>20</v>
      </c>
      <c r="F120" s="1">
        <f t="shared" si="8"/>
        <v>0</v>
      </c>
      <c r="G120" s="3">
        <f t="shared" si="9"/>
        <v>0</v>
      </c>
      <c r="H120" s="3">
        <f t="shared" si="10"/>
        <v>0</v>
      </c>
      <c r="I120" s="3">
        <f t="shared" si="11"/>
        <v>0</v>
      </c>
      <c r="J120" s="3">
        <f t="shared" si="12"/>
        <v>0</v>
      </c>
      <c r="K120" s="3">
        <f t="shared" si="13"/>
        <v>0</v>
      </c>
    </row>
    <row r="121" spans="1:11" ht="15">
      <c r="A121" s="1">
        <v>24</v>
      </c>
      <c r="B121" s="1" t="s">
        <v>7</v>
      </c>
      <c r="D121" s="1">
        <v>0</v>
      </c>
      <c r="E121" s="1">
        <f t="shared" si="7"/>
        <v>20</v>
      </c>
      <c r="F121" s="1">
        <f t="shared" si="8"/>
        <v>0</v>
      </c>
      <c r="G121" s="3">
        <f t="shared" si="9"/>
        <v>0</v>
      </c>
      <c r="H121" s="3">
        <f t="shared" si="10"/>
        <v>0</v>
      </c>
      <c r="I121" s="3">
        <f t="shared" si="11"/>
        <v>0</v>
      </c>
      <c r="J121" s="3">
        <f t="shared" si="12"/>
        <v>0</v>
      </c>
      <c r="K121" s="3">
        <f t="shared" si="13"/>
        <v>0</v>
      </c>
    </row>
    <row r="122" spans="1:11" ht="15">
      <c r="A122" s="1">
        <v>1</v>
      </c>
      <c r="B122" s="1" t="s">
        <v>8</v>
      </c>
      <c r="D122" s="1">
        <v>0</v>
      </c>
      <c r="E122" s="1">
        <f t="shared" si="7"/>
        <v>20</v>
      </c>
      <c r="F122" s="1">
        <f t="shared" si="8"/>
        <v>0</v>
      </c>
      <c r="G122" s="3">
        <f t="shared" si="9"/>
        <v>0</v>
      </c>
      <c r="H122" s="3">
        <f t="shared" si="10"/>
        <v>0</v>
      </c>
      <c r="I122" s="3">
        <f t="shared" si="11"/>
        <v>0</v>
      </c>
      <c r="J122" s="3">
        <f t="shared" si="12"/>
        <v>0</v>
      </c>
      <c r="K122" s="3">
        <f t="shared" si="13"/>
        <v>0</v>
      </c>
    </row>
    <row r="123" spans="1:11" ht="15">
      <c r="A123" s="1">
        <v>2</v>
      </c>
      <c r="B123" s="1" t="s">
        <v>8</v>
      </c>
      <c r="D123" s="1">
        <v>0</v>
      </c>
      <c r="E123" s="1">
        <f t="shared" si="7"/>
        <v>20</v>
      </c>
      <c r="F123" s="1">
        <f t="shared" si="8"/>
        <v>0</v>
      </c>
      <c r="G123" s="3">
        <f t="shared" si="9"/>
        <v>0</v>
      </c>
      <c r="H123" s="3">
        <f t="shared" si="10"/>
        <v>0</v>
      </c>
      <c r="I123" s="3">
        <f t="shared" si="11"/>
        <v>0</v>
      </c>
      <c r="J123" s="3">
        <f t="shared" si="12"/>
        <v>0</v>
      </c>
      <c r="K123" s="3">
        <f t="shared" si="13"/>
        <v>0</v>
      </c>
    </row>
    <row r="124" spans="1:11" ht="15">
      <c r="A124" s="1">
        <v>3</v>
      </c>
      <c r="B124" s="1" t="s">
        <v>8</v>
      </c>
      <c r="D124" s="1">
        <v>0</v>
      </c>
      <c r="E124" s="1">
        <f t="shared" si="7"/>
        <v>20</v>
      </c>
      <c r="F124" s="1">
        <f t="shared" si="8"/>
        <v>0</v>
      </c>
      <c r="G124" s="3">
        <f t="shared" si="9"/>
        <v>0</v>
      </c>
      <c r="H124" s="3">
        <f t="shared" si="10"/>
        <v>0</v>
      </c>
      <c r="I124" s="3">
        <f t="shared" si="11"/>
        <v>0</v>
      </c>
      <c r="J124" s="3">
        <f t="shared" si="12"/>
        <v>0</v>
      </c>
      <c r="K124" s="3">
        <f t="shared" si="13"/>
        <v>0</v>
      </c>
    </row>
    <row r="125" spans="1:11" ht="15">
      <c r="A125" s="1">
        <v>4</v>
      </c>
      <c r="B125" s="1" t="s">
        <v>8</v>
      </c>
      <c r="D125" s="1">
        <v>0</v>
      </c>
      <c r="E125" s="1">
        <f t="shared" si="7"/>
        <v>20</v>
      </c>
      <c r="F125" s="1">
        <f t="shared" si="8"/>
        <v>0</v>
      </c>
      <c r="G125" s="3">
        <f t="shared" si="9"/>
        <v>0</v>
      </c>
      <c r="H125" s="3">
        <f t="shared" si="10"/>
        <v>0</v>
      </c>
      <c r="I125" s="3">
        <f t="shared" si="11"/>
        <v>0</v>
      </c>
      <c r="J125" s="3">
        <f t="shared" si="12"/>
        <v>0</v>
      </c>
      <c r="K125" s="3">
        <f t="shared" si="13"/>
        <v>0</v>
      </c>
    </row>
    <row r="126" spans="1:11" ht="15">
      <c r="A126" s="1">
        <v>5</v>
      </c>
      <c r="B126" s="1" t="s">
        <v>8</v>
      </c>
      <c r="D126" s="1">
        <v>0</v>
      </c>
      <c r="E126" s="1">
        <f t="shared" si="7"/>
        <v>20</v>
      </c>
      <c r="F126" s="1">
        <f t="shared" si="8"/>
        <v>0</v>
      </c>
      <c r="G126" s="3">
        <f t="shared" si="9"/>
        <v>0</v>
      </c>
      <c r="H126" s="3">
        <f t="shared" si="10"/>
        <v>0</v>
      </c>
      <c r="I126" s="3">
        <f t="shared" si="11"/>
        <v>0</v>
      </c>
      <c r="J126" s="3">
        <f t="shared" si="12"/>
        <v>0</v>
      </c>
      <c r="K126" s="3">
        <f t="shared" si="13"/>
        <v>0</v>
      </c>
    </row>
    <row r="127" spans="1:11" ht="15">
      <c r="A127" s="1">
        <v>6</v>
      </c>
      <c r="B127" s="1" t="s">
        <v>8</v>
      </c>
      <c r="D127" s="1">
        <v>0</v>
      </c>
      <c r="E127" s="1">
        <f t="shared" si="7"/>
        <v>20</v>
      </c>
      <c r="F127" s="1">
        <f t="shared" si="8"/>
        <v>0</v>
      </c>
      <c r="G127" s="3">
        <f t="shared" si="9"/>
        <v>0</v>
      </c>
      <c r="H127" s="3">
        <f t="shared" si="10"/>
        <v>0</v>
      </c>
      <c r="I127" s="3">
        <f t="shared" si="11"/>
        <v>0</v>
      </c>
      <c r="J127" s="3">
        <f t="shared" si="12"/>
        <v>0</v>
      </c>
      <c r="K127" s="3">
        <f t="shared" si="13"/>
        <v>0</v>
      </c>
    </row>
    <row r="128" spans="1:11" ht="15">
      <c r="A128" s="1">
        <v>7</v>
      </c>
      <c r="B128" s="1" t="s">
        <v>8</v>
      </c>
      <c r="C128" s="1">
        <v>2.0582954983827399E-2</v>
      </c>
      <c r="D128" s="1">
        <v>2.2666742916898133</v>
      </c>
      <c r="E128" s="1">
        <f t="shared" si="7"/>
        <v>20</v>
      </c>
      <c r="F128" s="1">
        <f t="shared" si="8"/>
        <v>7.4098637941778636E-2</v>
      </c>
      <c r="G128" s="3">
        <f t="shared" si="9"/>
        <v>318624.14314964815</v>
      </c>
      <c r="H128" s="3">
        <f t="shared" si="10"/>
        <v>63724.828629929631</v>
      </c>
      <c r="I128" s="3">
        <f t="shared" si="11"/>
        <v>127449.65725985926</v>
      </c>
      <c r="J128" s="3">
        <f t="shared" si="12"/>
        <v>191174.48588978889</v>
      </c>
      <c r="K128" s="3">
        <f t="shared" si="13"/>
        <v>254899.31451971852</v>
      </c>
    </row>
    <row r="129" spans="1:11" ht="15">
      <c r="A129" s="1">
        <v>8</v>
      </c>
      <c r="B129" s="1" t="s">
        <v>8</v>
      </c>
      <c r="C129" s="1">
        <v>0.110893498323392</v>
      </c>
      <c r="D129" s="1">
        <v>12.212019215058294</v>
      </c>
      <c r="E129" s="1">
        <f t="shared" si="7"/>
        <v>20</v>
      </c>
      <c r="F129" s="1">
        <f t="shared" si="8"/>
        <v>0.39921659396421116</v>
      </c>
      <c r="G129" s="3">
        <f t="shared" si="9"/>
        <v>1716631.354046108</v>
      </c>
      <c r="H129" s="3">
        <f t="shared" si="10"/>
        <v>343326.27080922161</v>
      </c>
      <c r="I129" s="3">
        <f t="shared" si="11"/>
        <v>686652.54161844321</v>
      </c>
      <c r="J129" s="3">
        <f t="shared" si="12"/>
        <v>1029978.8124276648</v>
      </c>
      <c r="K129" s="3">
        <f t="shared" si="13"/>
        <v>1373305.0832368864</v>
      </c>
    </row>
    <row r="130" spans="1:11" ht="15">
      <c r="A130" s="1">
        <v>9</v>
      </c>
      <c r="B130" s="1" t="s">
        <v>8</v>
      </c>
      <c r="C130" s="1">
        <v>0.22779607703492599</v>
      </c>
      <c r="D130" s="1">
        <v>25.085781510408069</v>
      </c>
      <c r="E130" s="1">
        <f t="shared" si="7"/>
        <v>20</v>
      </c>
      <c r="F130" s="1">
        <f t="shared" si="8"/>
        <v>0.82006587732573366</v>
      </c>
      <c r="G130" s="3">
        <f t="shared" si="9"/>
        <v>3526283.2725006547</v>
      </c>
      <c r="H130" s="3">
        <f t="shared" si="10"/>
        <v>705256.65450013091</v>
      </c>
      <c r="I130" s="3">
        <f t="shared" si="11"/>
        <v>1410513.3090002618</v>
      </c>
      <c r="J130" s="3">
        <f t="shared" si="12"/>
        <v>2115769.9635003926</v>
      </c>
      <c r="K130" s="3">
        <f t="shared" si="13"/>
        <v>2821026.6180005237</v>
      </c>
    </row>
    <row r="131" spans="1:11" ht="15">
      <c r="A131" s="1">
        <v>10</v>
      </c>
      <c r="B131" s="1" t="s">
        <v>8</v>
      </c>
      <c r="C131" s="1">
        <v>0.39256357755422999</v>
      </c>
      <c r="D131" s="1">
        <v>43.23061337864776</v>
      </c>
      <c r="E131" s="1">
        <f t="shared" ref="E131:E194" si="14">1*(4000/200)</f>
        <v>20</v>
      </c>
      <c r="F131" s="1">
        <f t="shared" ref="F131:F194" si="15">E131*C131*0.18</f>
        <v>1.4132288791952279</v>
      </c>
      <c r="G131" s="3">
        <f t="shared" ref="G131:G194" si="16">F131*4300000</f>
        <v>6076884.1805394795</v>
      </c>
      <c r="H131" s="3">
        <f t="shared" ref="H131:H194" si="17">(4300000*5/25)*F131</f>
        <v>1215376.8361078959</v>
      </c>
      <c r="I131" s="3">
        <f t="shared" ref="I131:I194" si="18">(4300000*10/25)*F131</f>
        <v>2430753.6722157919</v>
      </c>
      <c r="J131" s="3">
        <f t="shared" ref="J131:J194" si="19">F131*2580000</f>
        <v>3646130.5083236881</v>
      </c>
      <c r="K131" s="3">
        <f t="shared" ref="K131:K194" si="20">F131*3440000</f>
        <v>4861507.3444315838</v>
      </c>
    </row>
    <row r="132" spans="1:11" ht="15">
      <c r="A132" s="1">
        <v>11</v>
      </c>
      <c r="B132" s="1" t="s">
        <v>8</v>
      </c>
      <c r="C132" s="1">
        <v>0.67437461052256698</v>
      </c>
      <c r="D132" s="1">
        <v>74.264729910787196</v>
      </c>
      <c r="E132" s="1">
        <f t="shared" si="14"/>
        <v>20</v>
      </c>
      <c r="F132" s="1">
        <f t="shared" si="15"/>
        <v>2.4277485978812412</v>
      </c>
      <c r="G132" s="3">
        <f t="shared" si="16"/>
        <v>10439318.970889337</v>
      </c>
      <c r="H132" s="3">
        <f t="shared" si="17"/>
        <v>2087863.7941778675</v>
      </c>
      <c r="I132" s="3">
        <f t="shared" si="18"/>
        <v>4175727.5883557349</v>
      </c>
      <c r="J132" s="3">
        <f t="shared" si="19"/>
        <v>6263591.3825336024</v>
      </c>
      <c r="K132" s="3">
        <f t="shared" si="20"/>
        <v>8351455.1767114699</v>
      </c>
    </row>
    <row r="133" spans="1:11" ht="15">
      <c r="A133" s="1">
        <v>12</v>
      </c>
      <c r="B133" s="1" t="s">
        <v>8</v>
      </c>
      <c r="C133" s="1">
        <v>0.81255378497878206</v>
      </c>
      <c r="D133" s="1">
        <v>89.481552890428375</v>
      </c>
      <c r="E133" s="1">
        <f t="shared" si="14"/>
        <v>20</v>
      </c>
      <c r="F133" s="1">
        <f t="shared" si="15"/>
        <v>2.9251936259236153</v>
      </c>
      <c r="G133" s="3">
        <f t="shared" si="16"/>
        <v>12578332.591471545</v>
      </c>
      <c r="H133" s="3">
        <f t="shared" si="17"/>
        <v>2515666.5182943093</v>
      </c>
      <c r="I133" s="3">
        <f t="shared" si="18"/>
        <v>5031333.0365886185</v>
      </c>
      <c r="J133" s="3">
        <f t="shared" si="19"/>
        <v>7546999.5548829278</v>
      </c>
      <c r="K133" s="3">
        <f t="shared" si="20"/>
        <v>10062666.073177237</v>
      </c>
    </row>
    <row r="134" spans="1:11" ht="15">
      <c r="A134" s="1">
        <v>13</v>
      </c>
      <c r="B134" s="1" t="s">
        <v>8</v>
      </c>
      <c r="C134" s="1">
        <v>0.88690688150983699</v>
      </c>
      <c r="D134" s="1">
        <v>97.669602300578433</v>
      </c>
      <c r="E134" s="1">
        <f t="shared" si="14"/>
        <v>20</v>
      </c>
      <c r="F134" s="1">
        <f t="shared" si="15"/>
        <v>3.1928647734354128</v>
      </c>
      <c r="G134" s="3">
        <f t="shared" si="16"/>
        <v>13729318.525772275</v>
      </c>
      <c r="H134" s="3">
        <f t="shared" si="17"/>
        <v>2745863.7051544548</v>
      </c>
      <c r="I134" s="3">
        <f t="shared" si="18"/>
        <v>5491727.4103089096</v>
      </c>
      <c r="J134" s="3">
        <f t="shared" si="19"/>
        <v>8237591.1154633649</v>
      </c>
      <c r="K134" s="3">
        <f t="shared" si="20"/>
        <v>10983454.820617819</v>
      </c>
    </row>
    <row r="135" spans="1:11" ht="15">
      <c r="A135" s="1">
        <v>14</v>
      </c>
      <c r="B135" s="1" t="s">
        <v>8</v>
      </c>
      <c r="C135" s="1">
        <v>0.88678447431674501</v>
      </c>
      <c r="D135" s="1">
        <v>97.656122348942844</v>
      </c>
      <c r="E135" s="1">
        <f t="shared" si="14"/>
        <v>20</v>
      </c>
      <c r="F135" s="1">
        <f t="shared" si="15"/>
        <v>3.1924241075402815</v>
      </c>
      <c r="G135" s="3">
        <f t="shared" si="16"/>
        <v>13727423.66242321</v>
      </c>
      <c r="H135" s="3">
        <f t="shared" si="17"/>
        <v>2745484.732484642</v>
      </c>
      <c r="I135" s="3">
        <f t="shared" si="18"/>
        <v>5490969.4649692839</v>
      </c>
      <c r="J135" s="3">
        <f t="shared" si="19"/>
        <v>8236454.1974539263</v>
      </c>
      <c r="K135" s="3">
        <f t="shared" si="20"/>
        <v>10981938.929938568</v>
      </c>
    </row>
    <row r="136" spans="1:11" ht="15">
      <c r="A136" s="1">
        <v>15</v>
      </c>
      <c r="B136" s="1" t="s">
        <v>8</v>
      </c>
      <c r="C136" s="1">
        <v>0.849439152497106</v>
      </c>
      <c r="D136" s="1">
        <v>93.543511649946026</v>
      </c>
      <c r="E136" s="1">
        <f t="shared" si="14"/>
        <v>20</v>
      </c>
      <c r="F136" s="1">
        <f t="shared" si="15"/>
        <v>3.0579809489895817</v>
      </c>
      <c r="G136" s="3">
        <f t="shared" si="16"/>
        <v>13149318.080655202</v>
      </c>
      <c r="H136" s="3">
        <f t="shared" si="17"/>
        <v>2629863.6161310403</v>
      </c>
      <c r="I136" s="3">
        <f t="shared" si="18"/>
        <v>5259727.2322620805</v>
      </c>
      <c r="J136" s="3">
        <f t="shared" si="19"/>
        <v>7889590.8483931208</v>
      </c>
      <c r="K136" s="3">
        <f t="shared" si="20"/>
        <v>10519454.464524161</v>
      </c>
    </row>
    <row r="137" spans="1:11" ht="15">
      <c r="A137" s="1">
        <v>16</v>
      </c>
      <c r="B137" s="1" t="s">
        <v>8</v>
      </c>
      <c r="C137" s="1">
        <v>0.77485978812427592</v>
      </c>
      <c r="D137" s="1">
        <v>85.330544753439369</v>
      </c>
      <c r="E137" s="1">
        <f t="shared" si="14"/>
        <v>20</v>
      </c>
      <c r="F137" s="1">
        <f t="shared" si="15"/>
        <v>2.7894952372473929</v>
      </c>
      <c r="G137" s="3">
        <f t="shared" si="16"/>
        <v>11994829.520163789</v>
      </c>
      <c r="H137" s="3">
        <f t="shared" si="17"/>
        <v>2398965.904032758</v>
      </c>
      <c r="I137" s="3">
        <f t="shared" si="18"/>
        <v>4797931.8080655159</v>
      </c>
      <c r="J137" s="3">
        <f t="shared" si="19"/>
        <v>7196897.7120982734</v>
      </c>
      <c r="K137" s="3">
        <f t="shared" si="20"/>
        <v>9595863.6161310319</v>
      </c>
    </row>
    <row r="138" spans="1:11" ht="15">
      <c r="A138" s="1">
        <v>17</v>
      </c>
      <c r="B138" s="1" t="s">
        <v>8</v>
      </c>
      <c r="C138" s="1">
        <v>0.65772352295320302</v>
      </c>
      <c r="D138" s="1">
        <v>72.431048004967153</v>
      </c>
      <c r="E138" s="1">
        <f t="shared" si="14"/>
        <v>20</v>
      </c>
      <c r="F138" s="1">
        <f t="shared" si="15"/>
        <v>2.3678046826315309</v>
      </c>
      <c r="G138" s="3">
        <f t="shared" si="16"/>
        <v>10181560.135315582</v>
      </c>
      <c r="H138" s="3">
        <f t="shared" si="17"/>
        <v>2036312.0270631167</v>
      </c>
      <c r="I138" s="3">
        <f t="shared" si="18"/>
        <v>4072624.0541262333</v>
      </c>
      <c r="J138" s="3">
        <f t="shared" si="19"/>
        <v>6108936.0811893493</v>
      </c>
      <c r="K138" s="3">
        <f t="shared" si="20"/>
        <v>8145248.1082524667</v>
      </c>
    </row>
    <row r="139" spans="1:11" ht="15">
      <c r="A139" s="1">
        <v>18</v>
      </c>
      <c r="B139" s="1" t="s">
        <v>8</v>
      </c>
      <c r="C139" s="1">
        <v>0.49803406629276797</v>
      </c>
      <c r="D139" s="1">
        <v>54.84542988791214</v>
      </c>
      <c r="E139" s="1">
        <f t="shared" si="14"/>
        <v>20</v>
      </c>
      <c r="F139" s="1">
        <f t="shared" si="15"/>
        <v>1.7929226386539647</v>
      </c>
      <c r="G139" s="3">
        <f t="shared" si="16"/>
        <v>7709567.3462120481</v>
      </c>
      <c r="H139" s="3">
        <f t="shared" si="17"/>
        <v>1541913.4692424096</v>
      </c>
      <c r="I139" s="3">
        <f t="shared" si="18"/>
        <v>3083826.9384848191</v>
      </c>
      <c r="J139" s="3">
        <f t="shared" si="19"/>
        <v>4625740.4077272294</v>
      </c>
      <c r="K139" s="3">
        <f t="shared" si="20"/>
        <v>6167653.8769696383</v>
      </c>
    </row>
    <row r="140" spans="1:11" ht="15">
      <c r="A140" s="1">
        <v>19</v>
      </c>
      <c r="B140" s="1" t="s">
        <v>8</v>
      </c>
      <c r="C140" s="1">
        <v>0.31174515564260002</v>
      </c>
      <c r="D140" s="1">
        <v>34.330577432110005</v>
      </c>
      <c r="E140" s="1">
        <f t="shared" si="14"/>
        <v>20</v>
      </c>
      <c r="F140" s="1">
        <f t="shared" si="15"/>
        <v>1.1222825603133602</v>
      </c>
      <c r="G140" s="3">
        <f t="shared" si="16"/>
        <v>4825815.0093474491</v>
      </c>
      <c r="H140" s="3">
        <f t="shared" si="17"/>
        <v>965163.00186948979</v>
      </c>
      <c r="I140" s="3">
        <f t="shared" si="18"/>
        <v>1930326.0037389796</v>
      </c>
      <c r="J140" s="3">
        <f t="shared" si="19"/>
        <v>2895489.0056084692</v>
      </c>
      <c r="K140" s="3">
        <f t="shared" si="20"/>
        <v>3860652.0074779592</v>
      </c>
    </row>
    <row r="141" spans="1:11" ht="15">
      <c r="A141" s="1">
        <v>20</v>
      </c>
      <c r="B141" s="1" t="s">
        <v>8</v>
      </c>
      <c r="C141" s="1">
        <v>0.12545624499243299</v>
      </c>
      <c r="D141" s="1">
        <v>13.815724976307967</v>
      </c>
      <c r="E141" s="1">
        <f t="shared" si="14"/>
        <v>20</v>
      </c>
      <c r="F141" s="1">
        <f t="shared" si="15"/>
        <v>0.45164248197275875</v>
      </c>
      <c r="G141" s="3">
        <f t="shared" si="16"/>
        <v>1942062.6724828626</v>
      </c>
      <c r="H141" s="3">
        <f t="shared" si="17"/>
        <v>388412.53449657251</v>
      </c>
      <c r="I141" s="3">
        <f t="shared" si="18"/>
        <v>776825.06899314502</v>
      </c>
      <c r="J141" s="3">
        <f t="shared" si="19"/>
        <v>1165237.6034897175</v>
      </c>
      <c r="K141" s="3">
        <f t="shared" si="20"/>
        <v>1553650.13798629</v>
      </c>
    </row>
    <row r="142" spans="1:11" ht="15">
      <c r="A142" s="1">
        <v>21</v>
      </c>
      <c r="B142" s="1" t="s">
        <v>8</v>
      </c>
      <c r="C142" s="1">
        <v>1.36428380664115E-2</v>
      </c>
      <c r="D142" s="1">
        <v>1.5024018822914327</v>
      </c>
      <c r="E142" s="1">
        <f t="shared" si="14"/>
        <v>20</v>
      </c>
      <c r="F142" s="1">
        <f t="shared" si="15"/>
        <v>4.91142170390814E-2</v>
      </c>
      <c r="G142" s="3">
        <f t="shared" si="16"/>
        <v>211191.13326805001</v>
      </c>
      <c r="H142" s="3">
        <f t="shared" si="17"/>
        <v>42238.226653610007</v>
      </c>
      <c r="I142" s="3">
        <f t="shared" si="18"/>
        <v>84476.453307220014</v>
      </c>
      <c r="J142" s="3">
        <f t="shared" si="19"/>
        <v>126714.67996083001</v>
      </c>
      <c r="K142" s="3">
        <f t="shared" si="20"/>
        <v>168952.90661444003</v>
      </c>
    </row>
    <row r="143" spans="1:11" ht="15">
      <c r="A143" s="1">
        <v>22</v>
      </c>
      <c r="B143" s="1" t="s">
        <v>8</v>
      </c>
      <c r="D143" s="1">
        <v>0</v>
      </c>
      <c r="E143" s="1">
        <f t="shared" si="14"/>
        <v>20</v>
      </c>
      <c r="F143" s="1">
        <f t="shared" si="15"/>
        <v>0</v>
      </c>
      <c r="G143" s="3">
        <f t="shared" si="16"/>
        <v>0</v>
      </c>
      <c r="H143" s="3">
        <f t="shared" si="17"/>
        <v>0</v>
      </c>
      <c r="I143" s="3">
        <f t="shared" si="18"/>
        <v>0</v>
      </c>
      <c r="J143" s="3">
        <f t="shared" si="19"/>
        <v>0</v>
      </c>
      <c r="K143" s="3">
        <f t="shared" si="20"/>
        <v>0</v>
      </c>
    </row>
    <row r="144" spans="1:11" ht="15">
      <c r="A144" s="1">
        <v>23</v>
      </c>
      <c r="B144" s="1" t="s">
        <v>8</v>
      </c>
      <c r="D144" s="1">
        <v>0</v>
      </c>
      <c r="E144" s="1">
        <f t="shared" si="14"/>
        <v>20</v>
      </c>
      <c r="F144" s="1">
        <f t="shared" si="15"/>
        <v>0</v>
      </c>
      <c r="G144" s="3">
        <f t="shared" si="16"/>
        <v>0</v>
      </c>
      <c r="H144" s="3">
        <f t="shared" si="17"/>
        <v>0</v>
      </c>
      <c r="I144" s="3">
        <f t="shared" si="18"/>
        <v>0</v>
      </c>
      <c r="J144" s="3">
        <f t="shared" si="19"/>
        <v>0</v>
      </c>
      <c r="K144" s="3">
        <f t="shared" si="20"/>
        <v>0</v>
      </c>
    </row>
    <row r="145" spans="1:11" ht="15">
      <c r="A145" s="1">
        <v>24</v>
      </c>
      <c r="B145" s="1" t="s">
        <v>8</v>
      </c>
      <c r="D145" s="1">
        <v>0</v>
      </c>
      <c r="E145" s="1">
        <f t="shared" si="14"/>
        <v>20</v>
      </c>
      <c r="F145" s="1">
        <f t="shared" si="15"/>
        <v>0</v>
      </c>
      <c r="G145" s="3">
        <f t="shared" si="16"/>
        <v>0</v>
      </c>
      <c r="H145" s="3">
        <f t="shared" si="17"/>
        <v>0</v>
      </c>
      <c r="I145" s="3">
        <f t="shared" si="18"/>
        <v>0</v>
      </c>
      <c r="J145" s="3">
        <f t="shared" si="19"/>
        <v>0</v>
      </c>
      <c r="K145" s="3">
        <f t="shared" si="20"/>
        <v>0</v>
      </c>
    </row>
    <row r="146" spans="1:11" ht="15">
      <c r="A146" s="1">
        <v>1</v>
      </c>
      <c r="B146" s="1" t="s">
        <v>9</v>
      </c>
      <c r="D146" s="1">
        <v>0</v>
      </c>
      <c r="E146" s="1">
        <f t="shared" si="14"/>
        <v>20</v>
      </c>
      <c r="F146" s="1">
        <f t="shared" si="15"/>
        <v>0</v>
      </c>
      <c r="G146" s="3">
        <f t="shared" si="16"/>
        <v>0</v>
      </c>
      <c r="H146" s="3">
        <f t="shared" si="17"/>
        <v>0</v>
      </c>
      <c r="I146" s="3">
        <f t="shared" si="18"/>
        <v>0</v>
      </c>
      <c r="J146" s="3">
        <f t="shared" si="19"/>
        <v>0</v>
      </c>
      <c r="K146" s="3">
        <f t="shared" si="20"/>
        <v>0</v>
      </c>
    </row>
    <row r="147" spans="1:11" ht="15">
      <c r="A147" s="1">
        <v>2</v>
      </c>
      <c r="B147" s="1" t="s">
        <v>9</v>
      </c>
      <c r="D147" s="1">
        <v>0</v>
      </c>
      <c r="E147" s="1">
        <f t="shared" si="14"/>
        <v>20</v>
      </c>
      <c r="F147" s="1">
        <f t="shared" si="15"/>
        <v>0</v>
      </c>
      <c r="G147" s="3">
        <f t="shared" si="16"/>
        <v>0</v>
      </c>
      <c r="H147" s="3">
        <f t="shared" si="17"/>
        <v>0</v>
      </c>
      <c r="I147" s="3">
        <f t="shared" si="18"/>
        <v>0</v>
      </c>
      <c r="J147" s="3">
        <f t="shared" si="19"/>
        <v>0</v>
      </c>
      <c r="K147" s="3">
        <f t="shared" si="20"/>
        <v>0</v>
      </c>
    </row>
    <row r="148" spans="1:11" ht="15">
      <c r="A148" s="1">
        <v>3</v>
      </c>
      <c r="B148" s="1" t="s">
        <v>9</v>
      </c>
      <c r="D148" s="1">
        <v>0</v>
      </c>
      <c r="E148" s="1">
        <f t="shared" si="14"/>
        <v>20</v>
      </c>
      <c r="F148" s="1">
        <f t="shared" si="15"/>
        <v>0</v>
      </c>
      <c r="G148" s="3">
        <f t="shared" si="16"/>
        <v>0</v>
      </c>
      <c r="H148" s="3">
        <f t="shared" si="17"/>
        <v>0</v>
      </c>
      <c r="I148" s="3">
        <f t="shared" si="18"/>
        <v>0</v>
      </c>
      <c r="J148" s="3">
        <f t="shared" si="19"/>
        <v>0</v>
      </c>
      <c r="K148" s="3">
        <f t="shared" si="20"/>
        <v>0</v>
      </c>
    </row>
    <row r="149" spans="1:11" ht="15">
      <c r="A149" s="1">
        <v>4</v>
      </c>
      <c r="B149" s="1" t="s">
        <v>9</v>
      </c>
      <c r="D149" s="1">
        <v>0</v>
      </c>
      <c r="E149" s="1">
        <f t="shared" si="14"/>
        <v>20</v>
      </c>
      <c r="F149" s="1">
        <f t="shared" si="15"/>
        <v>0</v>
      </c>
      <c r="G149" s="3">
        <f t="shared" si="16"/>
        <v>0</v>
      </c>
      <c r="H149" s="3">
        <f t="shared" si="17"/>
        <v>0</v>
      </c>
      <c r="I149" s="3">
        <f t="shared" si="18"/>
        <v>0</v>
      </c>
      <c r="J149" s="3">
        <f t="shared" si="19"/>
        <v>0</v>
      </c>
      <c r="K149" s="3">
        <f t="shared" si="20"/>
        <v>0</v>
      </c>
    </row>
    <row r="150" spans="1:11" ht="15">
      <c r="A150" s="1">
        <v>5</v>
      </c>
      <c r="B150" s="1" t="s">
        <v>9</v>
      </c>
      <c r="D150" s="1">
        <v>0</v>
      </c>
      <c r="E150" s="1">
        <f t="shared" si="14"/>
        <v>20</v>
      </c>
      <c r="F150" s="1">
        <f t="shared" si="15"/>
        <v>0</v>
      </c>
      <c r="G150" s="3">
        <f t="shared" si="16"/>
        <v>0</v>
      </c>
      <c r="H150" s="3">
        <f t="shared" si="17"/>
        <v>0</v>
      </c>
      <c r="I150" s="3">
        <f t="shared" si="18"/>
        <v>0</v>
      </c>
      <c r="J150" s="3">
        <f t="shared" si="19"/>
        <v>0</v>
      </c>
      <c r="K150" s="3">
        <f t="shared" si="20"/>
        <v>0</v>
      </c>
    </row>
    <row r="151" spans="1:11" ht="15">
      <c r="A151" s="1">
        <v>6</v>
      </c>
      <c r="B151" s="1" t="s">
        <v>9</v>
      </c>
      <c r="D151" s="1">
        <v>0</v>
      </c>
      <c r="E151" s="1">
        <f t="shared" si="14"/>
        <v>20</v>
      </c>
      <c r="F151" s="1">
        <f t="shared" si="15"/>
        <v>0</v>
      </c>
      <c r="G151" s="3">
        <f t="shared" si="16"/>
        <v>0</v>
      </c>
      <c r="H151" s="3">
        <f t="shared" si="17"/>
        <v>0</v>
      </c>
      <c r="I151" s="3">
        <f t="shared" si="18"/>
        <v>0</v>
      </c>
      <c r="J151" s="3">
        <f t="shared" si="19"/>
        <v>0</v>
      </c>
      <c r="K151" s="3">
        <f t="shared" si="20"/>
        <v>0</v>
      </c>
    </row>
    <row r="152" spans="1:11" ht="15">
      <c r="A152" s="1">
        <v>7</v>
      </c>
      <c r="B152" s="1" t="s">
        <v>9</v>
      </c>
      <c r="C152" s="1">
        <v>1.4999999999999999E-2</v>
      </c>
      <c r="D152" s="1">
        <v>1.6518577824254115</v>
      </c>
      <c r="E152" s="1">
        <f t="shared" si="14"/>
        <v>20</v>
      </c>
      <c r="F152" s="1">
        <f t="shared" si="15"/>
        <v>5.3999999999999999E-2</v>
      </c>
      <c r="G152" s="3">
        <f t="shared" si="16"/>
        <v>232200</v>
      </c>
      <c r="H152" s="3">
        <f t="shared" si="17"/>
        <v>46440</v>
      </c>
      <c r="I152" s="3">
        <f t="shared" si="18"/>
        <v>92880</v>
      </c>
      <c r="J152" s="3">
        <f t="shared" si="19"/>
        <v>139320</v>
      </c>
      <c r="K152" s="3">
        <f t="shared" si="20"/>
        <v>185760</v>
      </c>
    </row>
    <row r="153" spans="1:11" ht="15">
      <c r="A153" s="1">
        <v>8</v>
      </c>
      <c r="B153" s="1" t="s">
        <v>9</v>
      </c>
      <c r="C153" s="1">
        <v>9.1999999999999998E-2</v>
      </c>
      <c r="D153" s="1">
        <v>10.131394398875857</v>
      </c>
      <c r="E153" s="1">
        <f t="shared" si="14"/>
        <v>20</v>
      </c>
      <c r="F153" s="1">
        <f t="shared" si="15"/>
        <v>0.33119999999999994</v>
      </c>
      <c r="G153" s="3">
        <f t="shared" si="16"/>
        <v>1424159.9999999998</v>
      </c>
      <c r="H153" s="3">
        <f t="shared" si="17"/>
        <v>284831.99999999994</v>
      </c>
      <c r="I153" s="3">
        <f t="shared" si="18"/>
        <v>569663.99999999988</v>
      </c>
      <c r="J153" s="3">
        <f t="shared" si="19"/>
        <v>854495.99999999988</v>
      </c>
      <c r="K153" s="3">
        <f t="shared" si="20"/>
        <v>1139327.9999999998</v>
      </c>
    </row>
    <row r="154" spans="1:11" ht="15">
      <c r="A154" s="1">
        <v>9</v>
      </c>
      <c r="B154" s="1" t="s">
        <v>9</v>
      </c>
      <c r="C154" s="1">
        <v>0.190562034481735</v>
      </c>
      <c r="D154" s="1">
        <v>20.98542531289824</v>
      </c>
      <c r="E154" s="1">
        <f t="shared" si="14"/>
        <v>20</v>
      </c>
      <c r="F154" s="1">
        <f t="shared" si="15"/>
        <v>0.68602332413424605</v>
      </c>
      <c r="G154" s="3">
        <f t="shared" si="16"/>
        <v>2949900.2937772581</v>
      </c>
      <c r="H154" s="3">
        <f t="shared" si="17"/>
        <v>589980.05875545158</v>
      </c>
      <c r="I154" s="3">
        <f t="shared" si="18"/>
        <v>1179960.1175109032</v>
      </c>
      <c r="J154" s="3">
        <f t="shared" si="19"/>
        <v>1769940.1762663547</v>
      </c>
      <c r="K154" s="3">
        <f t="shared" si="20"/>
        <v>2359920.2350218063</v>
      </c>
    </row>
    <row r="155" spans="1:11" ht="15">
      <c r="A155" s="1">
        <v>10</v>
      </c>
      <c r="B155" s="1" t="s">
        <v>9</v>
      </c>
      <c r="C155" s="1">
        <v>0.350017804682631</v>
      </c>
      <c r="D155" s="1">
        <v>38.545308976830775</v>
      </c>
      <c r="E155" s="1">
        <f t="shared" si="14"/>
        <v>20</v>
      </c>
      <c r="F155" s="1">
        <f t="shared" si="15"/>
        <v>1.2600640968574714</v>
      </c>
      <c r="G155" s="3">
        <f t="shared" si="16"/>
        <v>5418275.6164871268</v>
      </c>
      <c r="H155" s="3">
        <f t="shared" si="17"/>
        <v>1083655.1232974255</v>
      </c>
      <c r="I155" s="3">
        <f t="shared" si="18"/>
        <v>2167310.2465948509</v>
      </c>
      <c r="J155" s="3">
        <f t="shared" si="19"/>
        <v>3250965.3698922764</v>
      </c>
      <c r="K155" s="3">
        <f t="shared" si="20"/>
        <v>4334620.4931897018</v>
      </c>
    </row>
    <row r="156" spans="1:11" ht="15">
      <c r="A156" s="1">
        <v>11</v>
      </c>
      <c r="B156" s="1" t="s">
        <v>9</v>
      </c>
      <c r="C156" s="1">
        <v>0.61852725600166103</v>
      </c>
      <c r="D156" s="1">
        <v>68.114604097905243</v>
      </c>
      <c r="E156" s="1">
        <f t="shared" si="14"/>
        <v>20</v>
      </c>
      <c r="F156" s="1">
        <f t="shared" si="15"/>
        <v>2.2266981216059798</v>
      </c>
      <c r="G156" s="3">
        <f t="shared" si="16"/>
        <v>9574801.9229057133</v>
      </c>
      <c r="H156" s="3">
        <f t="shared" si="17"/>
        <v>1914960.3845811426</v>
      </c>
      <c r="I156" s="3">
        <f t="shared" si="18"/>
        <v>3829920.7691622851</v>
      </c>
      <c r="J156" s="3">
        <f t="shared" si="19"/>
        <v>5744881.1537434282</v>
      </c>
      <c r="K156" s="3">
        <f t="shared" si="20"/>
        <v>7659841.5383245703</v>
      </c>
    </row>
    <row r="157" spans="1:11" ht="15">
      <c r="A157" s="1">
        <v>12</v>
      </c>
      <c r="B157" s="1" t="s">
        <v>9</v>
      </c>
      <c r="C157" s="1">
        <v>0.80722721742484893</v>
      </c>
      <c r="D157" s="1">
        <v>88.894970752589757</v>
      </c>
      <c r="E157" s="1">
        <f t="shared" si="14"/>
        <v>20</v>
      </c>
      <c r="F157" s="1">
        <f t="shared" si="15"/>
        <v>2.9060179827294559</v>
      </c>
      <c r="G157" s="3">
        <f t="shared" si="16"/>
        <v>12495877.325736661</v>
      </c>
      <c r="H157" s="3">
        <f t="shared" si="17"/>
        <v>2499175.4651473323</v>
      </c>
      <c r="I157" s="3">
        <f t="shared" si="18"/>
        <v>4998350.9302946646</v>
      </c>
      <c r="J157" s="3">
        <f t="shared" si="19"/>
        <v>7497526.3954419959</v>
      </c>
      <c r="K157" s="3">
        <f t="shared" si="20"/>
        <v>9996701.8605893292</v>
      </c>
    </row>
    <row r="158" spans="1:11" ht="15">
      <c r="A158" s="1">
        <v>13</v>
      </c>
      <c r="B158" s="1" t="s">
        <v>9</v>
      </c>
      <c r="C158" s="1">
        <v>0.88159144188254801</v>
      </c>
      <c r="D158" s="1">
        <v>97.084245612888452</v>
      </c>
      <c r="E158" s="1">
        <f t="shared" si="14"/>
        <v>20</v>
      </c>
      <c r="F158" s="1">
        <f t="shared" si="15"/>
        <v>3.173729190777173</v>
      </c>
      <c r="G158" s="3">
        <f t="shared" si="16"/>
        <v>13647035.520341843</v>
      </c>
      <c r="H158" s="3">
        <f t="shared" si="17"/>
        <v>2729407.1040683687</v>
      </c>
      <c r="I158" s="3">
        <f t="shared" si="18"/>
        <v>5458814.2081367373</v>
      </c>
      <c r="J158" s="3">
        <f t="shared" si="19"/>
        <v>8188221.312205106</v>
      </c>
      <c r="K158" s="3">
        <f t="shared" si="20"/>
        <v>10917628.416273475</v>
      </c>
    </row>
    <row r="159" spans="1:11" s="4" customFormat="1" ht="15">
      <c r="A159" s="4">
        <v>14</v>
      </c>
      <c r="B159" s="4" t="s">
        <v>9</v>
      </c>
      <c r="C159" s="4">
        <v>0.90806848867918899</v>
      </c>
      <c r="D159" s="4">
        <v>100</v>
      </c>
      <c r="E159" s="4">
        <f t="shared" si="14"/>
        <v>20</v>
      </c>
      <c r="F159" s="4">
        <f t="shared" si="15"/>
        <v>3.2690465592450799</v>
      </c>
      <c r="G159" s="5">
        <f t="shared" si="16"/>
        <v>14056900.204753844</v>
      </c>
      <c r="H159" s="5">
        <f t="shared" si="17"/>
        <v>2811380.0409507686</v>
      </c>
      <c r="I159" s="5">
        <f t="shared" si="18"/>
        <v>5622760.0819015373</v>
      </c>
      <c r="J159" s="5">
        <f t="shared" si="19"/>
        <v>8434140.1228523068</v>
      </c>
      <c r="K159" s="5">
        <f t="shared" si="20"/>
        <v>11245520.163803075</v>
      </c>
    </row>
    <row r="160" spans="1:11" ht="15">
      <c r="A160" s="1">
        <v>15</v>
      </c>
      <c r="B160" s="1" t="s">
        <v>9</v>
      </c>
      <c r="C160" s="1">
        <v>0.88135404611412793</v>
      </c>
      <c r="D160" s="1">
        <v>97.058102676383157</v>
      </c>
      <c r="E160" s="1">
        <f t="shared" si="14"/>
        <v>20</v>
      </c>
      <c r="F160" s="1">
        <f t="shared" si="15"/>
        <v>3.1728745660108606</v>
      </c>
      <c r="G160" s="3">
        <f t="shared" si="16"/>
        <v>13643360.6338467</v>
      </c>
      <c r="H160" s="3">
        <f t="shared" si="17"/>
        <v>2728672.1267693401</v>
      </c>
      <c r="I160" s="3">
        <f t="shared" si="18"/>
        <v>5457344.2535386803</v>
      </c>
      <c r="J160" s="3">
        <f t="shared" si="19"/>
        <v>8186016.3803080199</v>
      </c>
      <c r="K160" s="3">
        <f t="shared" si="20"/>
        <v>10914688.507077361</v>
      </c>
    </row>
    <row r="161" spans="1:11" ht="15">
      <c r="A161" s="1">
        <v>16</v>
      </c>
      <c r="B161" s="1" t="s">
        <v>9</v>
      </c>
      <c r="C161" s="1">
        <v>0.81740927030475596</v>
      </c>
      <c r="D161" s="1">
        <v>90.016257638639203</v>
      </c>
      <c r="E161" s="1">
        <f t="shared" si="14"/>
        <v>20</v>
      </c>
      <c r="F161" s="1">
        <f t="shared" si="15"/>
        <v>2.9426733730971213</v>
      </c>
      <c r="G161" s="3">
        <f t="shared" si="16"/>
        <v>12653495.504317621</v>
      </c>
      <c r="H161" s="3">
        <f t="shared" si="17"/>
        <v>2530699.1008635242</v>
      </c>
      <c r="I161" s="3">
        <f t="shared" si="18"/>
        <v>5061398.2017270485</v>
      </c>
      <c r="J161" s="3">
        <f t="shared" si="19"/>
        <v>7592097.3025905732</v>
      </c>
      <c r="K161" s="3">
        <f t="shared" si="20"/>
        <v>10122796.403454097</v>
      </c>
    </row>
    <row r="162" spans="1:11" ht="15">
      <c r="A162" s="1">
        <v>17</v>
      </c>
      <c r="B162" s="1" t="s">
        <v>9</v>
      </c>
      <c r="C162" s="1">
        <v>0.697613430665598</v>
      </c>
      <c r="D162" s="1">
        <v>76.823878304630554</v>
      </c>
      <c r="E162" s="1">
        <f t="shared" si="14"/>
        <v>20</v>
      </c>
      <c r="F162" s="1">
        <f t="shared" si="15"/>
        <v>2.5114083503961528</v>
      </c>
      <c r="G162" s="3">
        <f t="shared" si="16"/>
        <v>10799055.906703457</v>
      </c>
      <c r="H162" s="3">
        <f t="shared" si="17"/>
        <v>2159811.1813406916</v>
      </c>
      <c r="I162" s="3">
        <f t="shared" si="18"/>
        <v>4319622.3626813833</v>
      </c>
      <c r="J162" s="3">
        <f t="shared" si="19"/>
        <v>6479433.544022074</v>
      </c>
      <c r="K162" s="3">
        <f t="shared" si="20"/>
        <v>8639244.7253627665</v>
      </c>
    </row>
    <row r="163" spans="1:11" ht="15">
      <c r="A163" s="1">
        <v>18</v>
      </c>
      <c r="B163" s="1" t="s">
        <v>9</v>
      </c>
      <c r="C163" s="1">
        <v>0.52196652719665204</v>
      </c>
      <c r="D163" s="1">
        <v>57.48096467435699</v>
      </c>
      <c r="E163" s="1">
        <f t="shared" si="14"/>
        <v>20</v>
      </c>
      <c r="F163" s="1">
        <f t="shared" si="15"/>
        <v>1.8790794979079473</v>
      </c>
      <c r="G163" s="3">
        <f t="shared" si="16"/>
        <v>8080041.8410041733</v>
      </c>
      <c r="H163" s="3">
        <f t="shared" si="17"/>
        <v>1616008.3682008346</v>
      </c>
      <c r="I163" s="3">
        <f t="shared" si="18"/>
        <v>3232016.7364016692</v>
      </c>
      <c r="J163" s="3">
        <f t="shared" si="19"/>
        <v>4848025.1046025036</v>
      </c>
      <c r="K163" s="3">
        <f t="shared" si="20"/>
        <v>6464033.4728033384</v>
      </c>
    </row>
    <row r="164" spans="1:11" ht="15">
      <c r="A164" s="1">
        <v>19</v>
      </c>
      <c r="B164" s="1" t="s">
        <v>9</v>
      </c>
      <c r="C164" s="1">
        <v>0.341000474791536</v>
      </c>
      <c r="D164" s="1">
        <v>37.552285873010611</v>
      </c>
      <c r="E164" s="1">
        <f t="shared" si="14"/>
        <v>20</v>
      </c>
      <c r="F164" s="1">
        <f t="shared" si="15"/>
        <v>1.2276017092495295</v>
      </c>
      <c r="G164" s="3">
        <f t="shared" si="16"/>
        <v>5278687.3497729767</v>
      </c>
      <c r="H164" s="3">
        <f t="shared" si="17"/>
        <v>1055737.4699545954</v>
      </c>
      <c r="I164" s="3">
        <f t="shared" si="18"/>
        <v>2111474.9399091909</v>
      </c>
      <c r="J164" s="3">
        <f t="shared" si="19"/>
        <v>3167212.4098637863</v>
      </c>
      <c r="K164" s="3">
        <f t="shared" si="20"/>
        <v>4222949.8798183817</v>
      </c>
    </row>
    <row r="165" spans="1:11" ht="15">
      <c r="A165" s="1">
        <v>20</v>
      </c>
      <c r="B165" s="1" t="s">
        <v>9</v>
      </c>
      <c r="C165" s="1">
        <v>0.13609083355589199</v>
      </c>
      <c r="D165" s="1">
        <v>14.986846835070768</v>
      </c>
      <c r="E165" s="1">
        <f t="shared" si="14"/>
        <v>20</v>
      </c>
      <c r="F165" s="1">
        <f t="shared" si="15"/>
        <v>0.48992700080121115</v>
      </c>
      <c r="G165" s="3">
        <f t="shared" si="16"/>
        <v>2106686.1034452082</v>
      </c>
      <c r="H165" s="3">
        <f t="shared" si="17"/>
        <v>421337.2206890416</v>
      </c>
      <c r="I165" s="3">
        <f t="shared" si="18"/>
        <v>842674.4413780832</v>
      </c>
      <c r="J165" s="3">
        <f t="shared" si="19"/>
        <v>1264011.6620671249</v>
      </c>
      <c r="K165" s="3">
        <f t="shared" si="20"/>
        <v>1685348.8827561664</v>
      </c>
    </row>
    <row r="166" spans="1:11" ht="15">
      <c r="A166" s="1">
        <v>21</v>
      </c>
      <c r="B166" s="1" t="s">
        <v>9</v>
      </c>
      <c r="C166" s="1">
        <v>1.8961987002581702E-2</v>
      </c>
      <c r="D166" s="1">
        <v>2.0881670533642724</v>
      </c>
      <c r="E166" s="1">
        <f t="shared" si="14"/>
        <v>20</v>
      </c>
      <c r="F166" s="1">
        <f t="shared" si="15"/>
        <v>6.8263153209294117E-2</v>
      </c>
      <c r="G166" s="3">
        <f t="shared" si="16"/>
        <v>293531.55879996473</v>
      </c>
      <c r="H166" s="3">
        <f t="shared" si="17"/>
        <v>58706.311759992939</v>
      </c>
      <c r="I166" s="3">
        <f t="shared" si="18"/>
        <v>117412.62351998588</v>
      </c>
      <c r="J166" s="3">
        <f t="shared" si="19"/>
        <v>176118.93527997882</v>
      </c>
      <c r="K166" s="3">
        <f t="shared" si="20"/>
        <v>234825.24703997176</v>
      </c>
    </row>
    <row r="167" spans="1:11" ht="15">
      <c r="A167" s="1">
        <v>22</v>
      </c>
      <c r="B167" s="1" t="s">
        <v>9</v>
      </c>
      <c r="D167" s="1">
        <v>0</v>
      </c>
      <c r="E167" s="1">
        <f t="shared" si="14"/>
        <v>20</v>
      </c>
      <c r="F167" s="1">
        <f t="shared" si="15"/>
        <v>0</v>
      </c>
      <c r="G167" s="3">
        <f t="shared" si="16"/>
        <v>0</v>
      </c>
      <c r="H167" s="3">
        <f t="shared" si="17"/>
        <v>0</v>
      </c>
      <c r="I167" s="3">
        <f t="shared" si="18"/>
        <v>0</v>
      </c>
      <c r="J167" s="3">
        <f t="shared" si="19"/>
        <v>0</v>
      </c>
      <c r="K167" s="3">
        <f t="shared" si="20"/>
        <v>0</v>
      </c>
    </row>
    <row r="168" spans="1:11" ht="15">
      <c r="A168" s="1">
        <v>23</v>
      </c>
      <c r="B168" s="1" t="s">
        <v>9</v>
      </c>
      <c r="D168" s="1">
        <v>0</v>
      </c>
      <c r="E168" s="1">
        <f t="shared" si="14"/>
        <v>20</v>
      </c>
      <c r="F168" s="1">
        <f t="shared" si="15"/>
        <v>0</v>
      </c>
      <c r="G168" s="3">
        <f t="shared" si="16"/>
        <v>0</v>
      </c>
      <c r="H168" s="3">
        <f t="shared" si="17"/>
        <v>0</v>
      </c>
      <c r="I168" s="3">
        <f t="shared" si="18"/>
        <v>0</v>
      </c>
      <c r="J168" s="3">
        <f t="shared" si="19"/>
        <v>0</v>
      </c>
      <c r="K168" s="3">
        <f t="shared" si="20"/>
        <v>0</v>
      </c>
    </row>
    <row r="169" spans="1:11" ht="15">
      <c r="A169" s="1">
        <v>24</v>
      </c>
      <c r="B169" s="1" t="s">
        <v>9</v>
      </c>
      <c r="D169" s="1">
        <v>0</v>
      </c>
      <c r="E169" s="1">
        <f t="shared" si="14"/>
        <v>20</v>
      </c>
      <c r="F169" s="1">
        <f t="shared" si="15"/>
        <v>0</v>
      </c>
      <c r="G169" s="3">
        <f t="shared" si="16"/>
        <v>0</v>
      </c>
      <c r="H169" s="3">
        <f t="shared" si="17"/>
        <v>0</v>
      </c>
      <c r="I169" s="3">
        <f t="shared" si="18"/>
        <v>0</v>
      </c>
      <c r="J169" s="3">
        <f t="shared" si="19"/>
        <v>0</v>
      </c>
      <c r="K169" s="3">
        <f t="shared" si="20"/>
        <v>0</v>
      </c>
    </row>
    <row r="170" spans="1:11" ht="15">
      <c r="A170" s="1">
        <v>1</v>
      </c>
      <c r="B170" s="1" t="s">
        <v>10</v>
      </c>
      <c r="D170" s="1">
        <v>0</v>
      </c>
      <c r="E170" s="1">
        <f t="shared" si="14"/>
        <v>20</v>
      </c>
      <c r="F170" s="1">
        <f t="shared" si="15"/>
        <v>0</v>
      </c>
      <c r="G170" s="3">
        <f t="shared" si="16"/>
        <v>0</v>
      </c>
      <c r="H170" s="3">
        <f t="shared" si="17"/>
        <v>0</v>
      </c>
      <c r="I170" s="3">
        <f t="shared" si="18"/>
        <v>0</v>
      </c>
      <c r="J170" s="3">
        <f t="shared" si="19"/>
        <v>0</v>
      </c>
      <c r="K170" s="3">
        <f t="shared" si="20"/>
        <v>0</v>
      </c>
    </row>
    <row r="171" spans="1:11" ht="15">
      <c r="A171" s="1">
        <v>2</v>
      </c>
      <c r="B171" s="1" t="s">
        <v>10</v>
      </c>
      <c r="D171" s="1">
        <v>0</v>
      </c>
      <c r="E171" s="1">
        <f t="shared" si="14"/>
        <v>20</v>
      </c>
      <c r="F171" s="1">
        <f t="shared" si="15"/>
        <v>0</v>
      </c>
      <c r="G171" s="3">
        <f t="shared" si="16"/>
        <v>0</v>
      </c>
      <c r="H171" s="3">
        <f t="shared" si="17"/>
        <v>0</v>
      </c>
      <c r="I171" s="3">
        <f t="shared" si="18"/>
        <v>0</v>
      </c>
      <c r="J171" s="3">
        <f t="shared" si="19"/>
        <v>0</v>
      </c>
      <c r="K171" s="3">
        <f t="shared" si="20"/>
        <v>0</v>
      </c>
    </row>
    <row r="172" spans="1:11" ht="15">
      <c r="A172" s="1">
        <v>3</v>
      </c>
      <c r="B172" s="1" t="s">
        <v>10</v>
      </c>
      <c r="D172" s="1">
        <v>0</v>
      </c>
      <c r="E172" s="1">
        <f t="shared" si="14"/>
        <v>20</v>
      </c>
      <c r="F172" s="1">
        <f t="shared" si="15"/>
        <v>0</v>
      </c>
      <c r="G172" s="3">
        <f t="shared" si="16"/>
        <v>0</v>
      </c>
      <c r="H172" s="3">
        <f t="shared" si="17"/>
        <v>0</v>
      </c>
      <c r="I172" s="3">
        <f t="shared" si="18"/>
        <v>0</v>
      </c>
      <c r="J172" s="3">
        <f t="shared" si="19"/>
        <v>0</v>
      </c>
      <c r="K172" s="3">
        <f t="shared" si="20"/>
        <v>0</v>
      </c>
    </row>
    <row r="173" spans="1:11" ht="15">
      <c r="A173" s="1">
        <v>4</v>
      </c>
      <c r="B173" s="1" t="s">
        <v>10</v>
      </c>
      <c r="D173" s="1">
        <v>0</v>
      </c>
      <c r="E173" s="1">
        <f t="shared" si="14"/>
        <v>20</v>
      </c>
      <c r="F173" s="1">
        <f t="shared" si="15"/>
        <v>0</v>
      </c>
      <c r="G173" s="3">
        <f t="shared" si="16"/>
        <v>0</v>
      </c>
      <c r="H173" s="3">
        <f t="shared" si="17"/>
        <v>0</v>
      </c>
      <c r="I173" s="3">
        <f t="shared" si="18"/>
        <v>0</v>
      </c>
      <c r="J173" s="3">
        <f t="shared" si="19"/>
        <v>0</v>
      </c>
      <c r="K173" s="3">
        <f t="shared" si="20"/>
        <v>0</v>
      </c>
    </row>
    <row r="174" spans="1:11" ht="15">
      <c r="A174" s="1">
        <v>5</v>
      </c>
      <c r="B174" s="1" t="s">
        <v>10</v>
      </c>
      <c r="D174" s="1">
        <v>0</v>
      </c>
      <c r="E174" s="1">
        <f t="shared" si="14"/>
        <v>20</v>
      </c>
      <c r="F174" s="1">
        <f t="shared" si="15"/>
        <v>0</v>
      </c>
      <c r="G174" s="3">
        <f t="shared" si="16"/>
        <v>0</v>
      </c>
      <c r="H174" s="3">
        <f t="shared" si="17"/>
        <v>0</v>
      </c>
      <c r="I174" s="3">
        <f t="shared" si="18"/>
        <v>0</v>
      </c>
      <c r="J174" s="3">
        <f t="shared" si="19"/>
        <v>0</v>
      </c>
      <c r="K174" s="3">
        <f t="shared" si="20"/>
        <v>0</v>
      </c>
    </row>
    <row r="175" spans="1:11" ht="15">
      <c r="A175" s="1">
        <v>6</v>
      </c>
      <c r="B175" s="1" t="s">
        <v>10</v>
      </c>
      <c r="D175" s="1">
        <v>0</v>
      </c>
      <c r="E175" s="1">
        <f t="shared" si="14"/>
        <v>20</v>
      </c>
      <c r="F175" s="1">
        <f t="shared" si="15"/>
        <v>0</v>
      </c>
      <c r="G175" s="3">
        <f t="shared" si="16"/>
        <v>0</v>
      </c>
      <c r="H175" s="3">
        <f t="shared" si="17"/>
        <v>0</v>
      </c>
      <c r="I175" s="3">
        <f t="shared" si="18"/>
        <v>0</v>
      </c>
      <c r="J175" s="3">
        <f t="shared" si="19"/>
        <v>0</v>
      </c>
      <c r="K175" s="3">
        <f t="shared" si="20"/>
        <v>0</v>
      </c>
    </row>
    <row r="176" spans="1:11" ht="15">
      <c r="A176" s="1">
        <v>7</v>
      </c>
      <c r="B176" s="1" t="s">
        <v>10</v>
      </c>
      <c r="C176" s="1">
        <v>4.6143802486721995E-3</v>
      </c>
      <c r="D176" s="1">
        <v>0.50815332832261861</v>
      </c>
      <c r="E176" s="1">
        <f t="shared" si="14"/>
        <v>20</v>
      </c>
      <c r="F176" s="1">
        <f t="shared" si="15"/>
        <v>1.6611768895219918E-2</v>
      </c>
      <c r="G176" s="3">
        <f t="shared" si="16"/>
        <v>71430.606249445642</v>
      </c>
      <c r="H176" s="3">
        <f t="shared" si="17"/>
        <v>14286.121249889129</v>
      </c>
      <c r="I176" s="3">
        <f t="shared" si="18"/>
        <v>28572.242499778258</v>
      </c>
      <c r="J176" s="3">
        <f t="shared" si="19"/>
        <v>42858.363749667391</v>
      </c>
      <c r="K176" s="3">
        <f t="shared" si="20"/>
        <v>57144.484999556516</v>
      </c>
    </row>
    <row r="177" spans="1:11" ht="15">
      <c r="A177" s="1">
        <v>8</v>
      </c>
      <c r="B177" s="1" t="s">
        <v>10</v>
      </c>
      <c r="C177" s="1">
        <v>5.2382860025520006E-2</v>
      </c>
      <c r="D177" s="1">
        <v>5.768602333257081</v>
      </c>
      <c r="E177" s="1">
        <f t="shared" si="14"/>
        <v>20</v>
      </c>
      <c r="F177" s="1">
        <f t="shared" si="15"/>
        <v>0.18857829609187202</v>
      </c>
      <c r="G177" s="3">
        <f t="shared" si="16"/>
        <v>810886.67319504963</v>
      </c>
      <c r="H177" s="3">
        <f t="shared" si="17"/>
        <v>162177.33463900993</v>
      </c>
      <c r="I177" s="3">
        <f t="shared" si="18"/>
        <v>324354.66927801986</v>
      </c>
      <c r="J177" s="3">
        <f t="shared" si="19"/>
        <v>486532.00391702983</v>
      </c>
      <c r="K177" s="3">
        <f t="shared" si="20"/>
        <v>648709.33855603973</v>
      </c>
    </row>
    <row r="178" spans="1:11" ht="15">
      <c r="A178" s="1">
        <v>9</v>
      </c>
      <c r="B178" s="1" t="s">
        <v>10</v>
      </c>
      <c r="C178" s="1">
        <v>0.13205510549274399</v>
      </c>
      <c r="D178" s="1">
        <v>14.542416914479857</v>
      </c>
      <c r="E178" s="1">
        <f t="shared" si="14"/>
        <v>20</v>
      </c>
      <c r="F178" s="1">
        <f t="shared" si="15"/>
        <v>0.47539837977387839</v>
      </c>
      <c r="G178" s="3">
        <f t="shared" si="16"/>
        <v>2044213.0330276771</v>
      </c>
      <c r="H178" s="3">
        <f t="shared" si="17"/>
        <v>408842.60660553543</v>
      </c>
      <c r="I178" s="3">
        <f t="shared" si="18"/>
        <v>817685.21321107086</v>
      </c>
      <c r="J178" s="3">
        <f t="shared" si="19"/>
        <v>1226527.8198166064</v>
      </c>
      <c r="K178" s="3">
        <f t="shared" si="20"/>
        <v>1635370.4264221417</v>
      </c>
    </row>
    <row r="179" spans="1:11" ht="15">
      <c r="A179" s="1">
        <v>10</v>
      </c>
      <c r="B179" s="1" t="s">
        <v>10</v>
      </c>
      <c r="C179" s="1">
        <v>0.24098267010890501</v>
      </c>
      <c r="D179" s="1">
        <v>26.537939936603351</v>
      </c>
      <c r="E179" s="1">
        <f t="shared" si="14"/>
        <v>20</v>
      </c>
      <c r="F179" s="1">
        <f t="shared" si="15"/>
        <v>0.86753761239205807</v>
      </c>
      <c r="G179" s="3">
        <f t="shared" si="16"/>
        <v>3730411.7332858499</v>
      </c>
      <c r="H179" s="3">
        <f t="shared" si="17"/>
        <v>746082.34665716998</v>
      </c>
      <c r="I179" s="3">
        <f t="shared" si="18"/>
        <v>1492164.69331434</v>
      </c>
      <c r="J179" s="3">
        <f t="shared" si="19"/>
        <v>2238247.0399715099</v>
      </c>
      <c r="K179" s="3">
        <f t="shared" si="20"/>
        <v>2984329.3866286799</v>
      </c>
    </row>
    <row r="180" spans="1:11" ht="15">
      <c r="A180" s="1">
        <v>11</v>
      </c>
      <c r="B180" s="1" t="s">
        <v>10</v>
      </c>
      <c r="C180" s="1">
        <v>0.51214427727825707</v>
      </c>
      <c r="D180" s="1">
        <v>56.399300676448455</v>
      </c>
      <c r="E180" s="1">
        <f t="shared" si="14"/>
        <v>20</v>
      </c>
      <c r="F180" s="1">
        <f t="shared" si="15"/>
        <v>1.8437193982017253</v>
      </c>
      <c r="G180" s="3">
        <f t="shared" si="16"/>
        <v>7927993.4122674186</v>
      </c>
      <c r="H180" s="3">
        <f t="shared" si="17"/>
        <v>1585598.6824534838</v>
      </c>
      <c r="I180" s="3">
        <f t="shared" si="18"/>
        <v>3171197.3649069676</v>
      </c>
      <c r="J180" s="3">
        <f t="shared" si="19"/>
        <v>4756796.047360451</v>
      </c>
      <c r="K180" s="3">
        <f t="shared" si="20"/>
        <v>6342394.7298139352</v>
      </c>
    </row>
    <row r="181" spans="1:11" ht="15">
      <c r="A181" s="1">
        <v>12</v>
      </c>
      <c r="B181" s="1" t="s">
        <v>10</v>
      </c>
      <c r="C181" s="1">
        <v>0.75405056529867298</v>
      </c>
      <c r="D181" s="1">
        <v>83.038952975392917</v>
      </c>
      <c r="E181" s="1">
        <f t="shared" si="14"/>
        <v>20</v>
      </c>
      <c r="F181" s="1">
        <f t="shared" si="15"/>
        <v>2.7145820350752228</v>
      </c>
      <c r="G181" s="3">
        <f t="shared" si="16"/>
        <v>11672702.750823459</v>
      </c>
      <c r="H181" s="3">
        <f t="shared" si="17"/>
        <v>2334540.5501646916</v>
      </c>
      <c r="I181" s="3">
        <f t="shared" si="18"/>
        <v>4669081.1003293833</v>
      </c>
      <c r="J181" s="3">
        <f t="shared" si="19"/>
        <v>7003621.6504940744</v>
      </c>
      <c r="K181" s="3">
        <f t="shared" si="20"/>
        <v>9338162.2006587666</v>
      </c>
    </row>
    <row r="182" spans="1:11" ht="15">
      <c r="A182" s="1">
        <v>13</v>
      </c>
      <c r="B182" s="1" t="s">
        <v>10</v>
      </c>
      <c r="C182" s="1">
        <v>0.83903825039318602</v>
      </c>
      <c r="D182" s="1">
        <v>92.398124244305691</v>
      </c>
      <c r="E182" s="1">
        <f t="shared" si="14"/>
        <v>20</v>
      </c>
      <c r="F182" s="1">
        <f t="shared" si="15"/>
        <v>3.0205377014154697</v>
      </c>
      <c r="G182" s="3">
        <f t="shared" si="16"/>
        <v>12988312.11608652</v>
      </c>
      <c r="H182" s="3">
        <f t="shared" si="17"/>
        <v>2597662.4232173041</v>
      </c>
      <c r="I182" s="3">
        <f t="shared" si="18"/>
        <v>5195324.8464346081</v>
      </c>
      <c r="J182" s="3">
        <f t="shared" si="19"/>
        <v>7792987.2696519122</v>
      </c>
      <c r="K182" s="3">
        <f t="shared" si="20"/>
        <v>10390649.692869216</v>
      </c>
    </row>
    <row r="183" spans="1:11" ht="15">
      <c r="A183" s="1">
        <v>14</v>
      </c>
      <c r="B183" s="1" t="s">
        <v>10</v>
      </c>
      <c r="C183" s="1">
        <v>0.86551158788094595</v>
      </c>
      <c r="D183" s="1">
        <v>95.313470148034398</v>
      </c>
      <c r="E183" s="1">
        <f t="shared" si="14"/>
        <v>20</v>
      </c>
      <c r="F183" s="1">
        <f t="shared" si="15"/>
        <v>3.1158417163714054</v>
      </c>
      <c r="G183" s="3">
        <f t="shared" si="16"/>
        <v>13398119.380397042</v>
      </c>
      <c r="H183" s="3">
        <f t="shared" si="17"/>
        <v>2679623.8760794085</v>
      </c>
      <c r="I183" s="3">
        <f t="shared" si="18"/>
        <v>5359247.7521588169</v>
      </c>
      <c r="J183" s="3">
        <f t="shared" si="19"/>
        <v>8038871.6282382263</v>
      </c>
      <c r="K183" s="3">
        <f t="shared" si="20"/>
        <v>10718495.504317634</v>
      </c>
    </row>
    <row r="184" spans="1:11" ht="15">
      <c r="A184" s="1">
        <v>15</v>
      </c>
      <c r="B184" s="1" t="s">
        <v>10</v>
      </c>
      <c r="C184" s="1">
        <v>0.83614128015668099</v>
      </c>
      <c r="D184" s="1">
        <v>92.079098722263993</v>
      </c>
      <c r="E184" s="1">
        <f t="shared" si="14"/>
        <v>20</v>
      </c>
      <c r="F184" s="1">
        <f t="shared" si="15"/>
        <v>3.0101086085640518</v>
      </c>
      <c r="G184" s="3">
        <f t="shared" si="16"/>
        <v>12943467.016825423</v>
      </c>
      <c r="H184" s="3">
        <f t="shared" si="17"/>
        <v>2588693.4033650844</v>
      </c>
      <c r="I184" s="3">
        <f t="shared" si="18"/>
        <v>5177386.8067301689</v>
      </c>
      <c r="J184" s="3">
        <f t="shared" si="19"/>
        <v>7766080.2100952538</v>
      </c>
      <c r="K184" s="3">
        <f t="shared" si="20"/>
        <v>10354773.613460338</v>
      </c>
    </row>
    <row r="185" spans="1:11" ht="15">
      <c r="A185" s="1">
        <v>16</v>
      </c>
      <c r="B185" s="1" t="s">
        <v>10</v>
      </c>
      <c r="C185" s="1">
        <v>0.75890234131576595</v>
      </c>
      <c r="D185" s="1">
        <v>83.573249240220917</v>
      </c>
      <c r="E185" s="1">
        <f t="shared" si="14"/>
        <v>20</v>
      </c>
      <c r="F185" s="1">
        <f t="shared" si="15"/>
        <v>2.732048428736757</v>
      </c>
      <c r="G185" s="3">
        <f t="shared" si="16"/>
        <v>11747808.243568055</v>
      </c>
      <c r="H185" s="3">
        <f t="shared" si="17"/>
        <v>2349561.6487136111</v>
      </c>
      <c r="I185" s="3">
        <f t="shared" si="18"/>
        <v>4699123.2974272221</v>
      </c>
      <c r="J185" s="3">
        <f t="shared" si="19"/>
        <v>7048684.9461408332</v>
      </c>
      <c r="K185" s="3">
        <f t="shared" si="20"/>
        <v>9398246.5948544443</v>
      </c>
    </row>
    <row r="186" spans="1:11" ht="15">
      <c r="A186" s="1">
        <v>17</v>
      </c>
      <c r="B186" s="1" t="s">
        <v>10</v>
      </c>
      <c r="C186" s="1">
        <v>0.62580492002730004</v>
      </c>
      <c r="D186" s="1">
        <v>68.916048495147194</v>
      </c>
      <c r="E186" s="1">
        <f t="shared" si="14"/>
        <v>20</v>
      </c>
      <c r="F186" s="1">
        <f t="shared" si="15"/>
        <v>2.2528977120982803</v>
      </c>
      <c r="G186" s="3">
        <f t="shared" si="16"/>
        <v>9687460.1620226055</v>
      </c>
      <c r="H186" s="3">
        <f t="shared" si="17"/>
        <v>1937492.032404521</v>
      </c>
      <c r="I186" s="3">
        <f t="shared" si="18"/>
        <v>3874984.064809042</v>
      </c>
      <c r="J186" s="3">
        <f t="shared" si="19"/>
        <v>5812476.0972135635</v>
      </c>
      <c r="K186" s="3">
        <f t="shared" si="20"/>
        <v>7749968.1296180841</v>
      </c>
    </row>
    <row r="187" spans="1:11" ht="15">
      <c r="A187" s="1">
        <v>18</v>
      </c>
      <c r="B187" s="1" t="s">
        <v>10</v>
      </c>
      <c r="C187" s="1">
        <v>0.46080002373957596</v>
      </c>
      <c r="D187" s="1">
        <v>50.745073690402194</v>
      </c>
      <c r="E187" s="1">
        <f t="shared" si="14"/>
        <v>20</v>
      </c>
      <c r="F187" s="1">
        <f t="shared" si="15"/>
        <v>1.6588800854624735</v>
      </c>
      <c r="G187" s="3">
        <f t="shared" si="16"/>
        <v>7133184.3674886357</v>
      </c>
      <c r="H187" s="3">
        <f t="shared" si="17"/>
        <v>1426636.8734977271</v>
      </c>
      <c r="I187" s="3">
        <f t="shared" si="18"/>
        <v>2853273.7469954542</v>
      </c>
      <c r="J187" s="3">
        <f t="shared" si="19"/>
        <v>4279910.620493181</v>
      </c>
      <c r="K187" s="3">
        <f t="shared" si="20"/>
        <v>5706547.4939909084</v>
      </c>
    </row>
    <row r="188" spans="1:11" ht="15">
      <c r="A188" s="1">
        <v>19</v>
      </c>
      <c r="B188" s="1" t="s">
        <v>10</v>
      </c>
      <c r="C188" s="1">
        <v>0.46080002373957596</v>
      </c>
      <c r="D188" s="1">
        <v>50.745073690402194</v>
      </c>
      <c r="E188" s="1">
        <f t="shared" si="14"/>
        <v>20</v>
      </c>
      <c r="F188" s="1">
        <f t="shared" si="15"/>
        <v>1.6588800854624735</v>
      </c>
      <c r="G188" s="3">
        <f t="shared" si="16"/>
        <v>7133184.3674886357</v>
      </c>
      <c r="H188" s="3">
        <f t="shared" si="17"/>
        <v>1426636.8734977271</v>
      </c>
      <c r="I188" s="3">
        <f t="shared" si="18"/>
        <v>2853273.7469954542</v>
      </c>
      <c r="J188" s="3">
        <f t="shared" si="19"/>
        <v>4279910.620493181</v>
      </c>
      <c r="K188" s="3">
        <f t="shared" si="20"/>
        <v>5706547.4939909084</v>
      </c>
    </row>
    <row r="189" spans="1:11" ht="15">
      <c r="A189" s="1">
        <v>20</v>
      </c>
      <c r="B189" s="1" t="s">
        <v>10</v>
      </c>
      <c r="C189" s="1">
        <v>0.247911659099676</v>
      </c>
      <c r="D189" s="1">
        <v>27.300986895853026</v>
      </c>
      <c r="E189" s="1">
        <f t="shared" si="14"/>
        <v>20</v>
      </c>
      <c r="F189" s="1">
        <f t="shared" si="15"/>
        <v>0.89248197275883356</v>
      </c>
      <c r="G189" s="3">
        <f t="shared" si="16"/>
        <v>3837672.4828629843</v>
      </c>
      <c r="H189" s="3">
        <f t="shared" si="17"/>
        <v>767534.49657259684</v>
      </c>
      <c r="I189" s="3">
        <f t="shared" si="18"/>
        <v>1535068.9931451937</v>
      </c>
      <c r="J189" s="3">
        <f t="shared" si="19"/>
        <v>2302603.4897177904</v>
      </c>
      <c r="K189" s="3">
        <f t="shared" si="20"/>
        <v>3070137.9862903873</v>
      </c>
    </row>
    <row r="190" spans="1:11" ht="15">
      <c r="A190" s="1">
        <v>21</v>
      </c>
      <c r="B190" s="1" t="s">
        <v>10</v>
      </c>
      <c r="C190" s="1">
        <v>7.2268464939612601E-2</v>
      </c>
      <c r="D190" s="1">
        <v>7.9584817489624715</v>
      </c>
      <c r="E190" s="1">
        <f t="shared" si="14"/>
        <v>20</v>
      </c>
      <c r="F190" s="1">
        <f t="shared" si="15"/>
        <v>0.26016647378260532</v>
      </c>
      <c r="G190" s="3">
        <f t="shared" si="16"/>
        <v>1118715.8372652028</v>
      </c>
      <c r="H190" s="3">
        <f t="shared" si="17"/>
        <v>223743.16745304057</v>
      </c>
      <c r="I190" s="3">
        <f t="shared" si="18"/>
        <v>447486.33490608115</v>
      </c>
      <c r="J190" s="3">
        <f t="shared" si="19"/>
        <v>671229.50235912169</v>
      </c>
      <c r="K190" s="3">
        <f t="shared" si="20"/>
        <v>894972.66981216229</v>
      </c>
    </row>
    <row r="191" spans="1:11" ht="15">
      <c r="A191" s="1">
        <v>22</v>
      </c>
      <c r="B191" s="1" t="s">
        <v>10</v>
      </c>
      <c r="C191" s="1">
        <v>3.01566812071587E-3</v>
      </c>
      <c r="D191" s="1">
        <v>0.33209699029444834</v>
      </c>
      <c r="E191" s="1">
        <f t="shared" si="14"/>
        <v>20</v>
      </c>
      <c r="F191" s="1">
        <f t="shared" si="15"/>
        <v>1.0856405234577132E-2</v>
      </c>
      <c r="G191" s="3">
        <f t="shared" si="16"/>
        <v>46682.542508681669</v>
      </c>
      <c r="H191" s="3">
        <f t="shared" si="17"/>
        <v>9336.5085017363326</v>
      </c>
      <c r="I191" s="3">
        <f t="shared" si="18"/>
        <v>18673.017003472665</v>
      </c>
      <c r="J191" s="3">
        <f t="shared" si="19"/>
        <v>28009.525505209</v>
      </c>
      <c r="K191" s="3">
        <f t="shared" si="20"/>
        <v>37346.03400694533</v>
      </c>
    </row>
    <row r="192" spans="1:11" ht="15">
      <c r="A192" s="1">
        <v>23</v>
      </c>
      <c r="B192" s="1" t="s">
        <v>10</v>
      </c>
      <c r="D192" s="1">
        <v>0</v>
      </c>
      <c r="E192" s="1">
        <f t="shared" si="14"/>
        <v>20</v>
      </c>
      <c r="F192" s="1">
        <f t="shared" si="15"/>
        <v>0</v>
      </c>
      <c r="G192" s="3">
        <f t="shared" si="16"/>
        <v>0</v>
      </c>
      <c r="H192" s="3">
        <f t="shared" si="17"/>
        <v>0</v>
      </c>
      <c r="I192" s="3">
        <f t="shared" si="18"/>
        <v>0</v>
      </c>
      <c r="J192" s="3">
        <f t="shared" si="19"/>
        <v>0</v>
      </c>
      <c r="K192" s="3">
        <f t="shared" si="20"/>
        <v>0</v>
      </c>
    </row>
    <row r="193" spans="1:11" ht="15">
      <c r="A193" s="1">
        <v>24</v>
      </c>
      <c r="B193" s="1" t="s">
        <v>10</v>
      </c>
      <c r="D193" s="1">
        <v>0</v>
      </c>
      <c r="E193" s="1">
        <f t="shared" si="14"/>
        <v>20</v>
      </c>
      <c r="F193" s="1">
        <f t="shared" si="15"/>
        <v>0</v>
      </c>
      <c r="G193" s="3">
        <f t="shared" si="16"/>
        <v>0</v>
      </c>
      <c r="H193" s="3">
        <f t="shared" si="17"/>
        <v>0</v>
      </c>
      <c r="I193" s="3">
        <f t="shared" si="18"/>
        <v>0</v>
      </c>
      <c r="J193" s="3">
        <f t="shared" si="19"/>
        <v>0</v>
      </c>
      <c r="K193" s="3">
        <f t="shared" si="20"/>
        <v>0</v>
      </c>
    </row>
    <row r="194" spans="1:11" ht="30">
      <c r="A194" s="1">
        <v>1</v>
      </c>
      <c r="B194" s="1" t="s">
        <v>11</v>
      </c>
      <c r="D194" s="1">
        <v>0</v>
      </c>
      <c r="E194" s="1">
        <f t="shared" si="14"/>
        <v>20</v>
      </c>
      <c r="F194" s="1">
        <f t="shared" si="15"/>
        <v>0</v>
      </c>
      <c r="G194" s="3">
        <f t="shared" si="16"/>
        <v>0</v>
      </c>
      <c r="H194" s="3">
        <f t="shared" si="17"/>
        <v>0</v>
      </c>
      <c r="I194" s="3">
        <f t="shared" si="18"/>
        <v>0</v>
      </c>
      <c r="J194" s="3">
        <f t="shared" si="19"/>
        <v>0</v>
      </c>
      <c r="K194" s="3">
        <f t="shared" si="20"/>
        <v>0</v>
      </c>
    </row>
    <row r="195" spans="1:11" ht="30">
      <c r="A195" s="1">
        <v>2</v>
      </c>
      <c r="B195" s="1" t="s">
        <v>11</v>
      </c>
      <c r="D195" s="1">
        <v>0</v>
      </c>
      <c r="E195" s="1">
        <f t="shared" ref="E195:E258" si="21">1*(4000/200)</f>
        <v>20</v>
      </c>
      <c r="F195" s="1">
        <f t="shared" ref="F195:F258" si="22">E195*C195*0.18</f>
        <v>0</v>
      </c>
      <c r="G195" s="3">
        <f t="shared" ref="G195:G258" si="23">F195*4300000</f>
        <v>0</v>
      </c>
      <c r="H195" s="3">
        <f t="shared" ref="H195:H258" si="24">(4300000*5/25)*F195</f>
        <v>0</v>
      </c>
      <c r="I195" s="3">
        <f t="shared" ref="I195:I258" si="25">(4300000*10/25)*F195</f>
        <v>0</v>
      </c>
      <c r="J195" s="3">
        <f t="shared" ref="J195:J258" si="26">F195*2580000</f>
        <v>0</v>
      </c>
      <c r="K195" s="3">
        <f t="shared" ref="K195:K258" si="27">F195*3440000</f>
        <v>0</v>
      </c>
    </row>
    <row r="196" spans="1:11" ht="30">
      <c r="A196" s="1">
        <v>3</v>
      </c>
      <c r="B196" s="1" t="s">
        <v>11</v>
      </c>
      <c r="D196" s="1">
        <v>0</v>
      </c>
      <c r="E196" s="1">
        <f t="shared" si="21"/>
        <v>20</v>
      </c>
      <c r="F196" s="1">
        <f t="shared" si="22"/>
        <v>0</v>
      </c>
      <c r="G196" s="3">
        <f t="shared" si="23"/>
        <v>0</v>
      </c>
      <c r="H196" s="3">
        <f t="shared" si="24"/>
        <v>0</v>
      </c>
      <c r="I196" s="3">
        <f t="shared" si="25"/>
        <v>0</v>
      </c>
      <c r="J196" s="3">
        <f t="shared" si="26"/>
        <v>0</v>
      </c>
      <c r="K196" s="3">
        <f t="shared" si="27"/>
        <v>0</v>
      </c>
    </row>
    <row r="197" spans="1:11" ht="30">
      <c r="A197" s="1">
        <v>4</v>
      </c>
      <c r="B197" s="1" t="s">
        <v>11</v>
      </c>
      <c r="D197" s="1">
        <v>0</v>
      </c>
      <c r="E197" s="1">
        <f t="shared" si="21"/>
        <v>20</v>
      </c>
      <c r="F197" s="1">
        <f t="shared" si="22"/>
        <v>0</v>
      </c>
      <c r="G197" s="3">
        <f t="shared" si="23"/>
        <v>0</v>
      </c>
      <c r="H197" s="3">
        <f t="shared" si="24"/>
        <v>0</v>
      </c>
      <c r="I197" s="3">
        <f t="shared" si="25"/>
        <v>0</v>
      </c>
      <c r="J197" s="3">
        <f t="shared" si="26"/>
        <v>0</v>
      </c>
      <c r="K197" s="3">
        <f t="shared" si="27"/>
        <v>0</v>
      </c>
    </row>
    <row r="198" spans="1:11" ht="30">
      <c r="A198" s="1">
        <v>5</v>
      </c>
      <c r="B198" s="1" t="s">
        <v>11</v>
      </c>
      <c r="D198" s="1">
        <v>0</v>
      </c>
      <c r="E198" s="1">
        <f t="shared" si="21"/>
        <v>20</v>
      </c>
      <c r="F198" s="1">
        <f t="shared" si="22"/>
        <v>0</v>
      </c>
      <c r="G198" s="3">
        <f t="shared" si="23"/>
        <v>0</v>
      </c>
      <c r="H198" s="3">
        <f t="shared" si="24"/>
        <v>0</v>
      </c>
      <c r="I198" s="3">
        <f t="shared" si="25"/>
        <v>0</v>
      </c>
      <c r="J198" s="3">
        <f t="shared" si="26"/>
        <v>0</v>
      </c>
      <c r="K198" s="3">
        <f t="shared" si="27"/>
        <v>0</v>
      </c>
    </row>
    <row r="199" spans="1:11" ht="30">
      <c r="A199" s="1">
        <v>6</v>
      </c>
      <c r="B199" s="1" t="s">
        <v>11</v>
      </c>
      <c r="D199" s="1">
        <v>0</v>
      </c>
      <c r="E199" s="1">
        <f t="shared" si="21"/>
        <v>20</v>
      </c>
      <c r="F199" s="1">
        <f t="shared" si="22"/>
        <v>0</v>
      </c>
      <c r="G199" s="3">
        <f t="shared" si="23"/>
        <v>0</v>
      </c>
      <c r="H199" s="3">
        <f t="shared" si="24"/>
        <v>0</v>
      </c>
      <c r="I199" s="3">
        <f t="shared" si="25"/>
        <v>0</v>
      </c>
      <c r="J199" s="3">
        <f t="shared" si="26"/>
        <v>0</v>
      </c>
      <c r="K199" s="3">
        <f t="shared" si="27"/>
        <v>0</v>
      </c>
    </row>
    <row r="200" spans="1:11" ht="30">
      <c r="A200" s="1">
        <v>7</v>
      </c>
      <c r="B200" s="1" t="s">
        <v>11</v>
      </c>
      <c r="C200" s="1">
        <v>4.6143802486721995E-3</v>
      </c>
      <c r="D200" s="1">
        <v>0.50815332832261861</v>
      </c>
      <c r="E200" s="1">
        <f t="shared" si="21"/>
        <v>20</v>
      </c>
      <c r="F200" s="1">
        <f t="shared" si="22"/>
        <v>1.6611768895219918E-2</v>
      </c>
      <c r="G200" s="3">
        <f t="shared" si="23"/>
        <v>71430.606249445642</v>
      </c>
      <c r="H200" s="3">
        <f t="shared" si="24"/>
        <v>14286.121249889129</v>
      </c>
      <c r="I200" s="3">
        <f t="shared" si="25"/>
        <v>28572.242499778258</v>
      </c>
      <c r="J200" s="3">
        <f t="shared" si="26"/>
        <v>42858.363749667391</v>
      </c>
      <c r="K200" s="3">
        <f t="shared" si="27"/>
        <v>57144.484999556516</v>
      </c>
    </row>
    <row r="201" spans="1:11" ht="30">
      <c r="A201" s="1">
        <v>8</v>
      </c>
      <c r="B201" s="1" t="s">
        <v>11</v>
      </c>
      <c r="C201" s="1">
        <v>2.0467966408498701E-2</v>
      </c>
      <c r="D201" s="1">
        <v>2.2540113068200318</v>
      </c>
      <c r="E201" s="1">
        <f t="shared" si="21"/>
        <v>20</v>
      </c>
      <c r="F201" s="1">
        <f t="shared" si="22"/>
        <v>7.3684679070595324E-2</v>
      </c>
      <c r="G201" s="3">
        <f t="shared" si="23"/>
        <v>316844.12000355992</v>
      </c>
      <c r="H201" s="3">
        <f t="shared" si="24"/>
        <v>63368.824000711982</v>
      </c>
      <c r="I201" s="3">
        <f t="shared" si="25"/>
        <v>126737.64800142396</v>
      </c>
      <c r="J201" s="3">
        <f t="shared" si="26"/>
        <v>190106.47200213594</v>
      </c>
      <c r="K201" s="3">
        <f t="shared" si="27"/>
        <v>253475.29600284793</v>
      </c>
    </row>
    <row r="202" spans="1:11" ht="30">
      <c r="A202" s="1">
        <v>9</v>
      </c>
      <c r="B202" s="1" t="s">
        <v>11</v>
      </c>
      <c r="C202" s="1">
        <v>8.1519481290246013E-2</v>
      </c>
      <c r="D202" s="1">
        <v>8.9772393059050408</v>
      </c>
      <c r="E202" s="1">
        <f t="shared" si="21"/>
        <v>20</v>
      </c>
      <c r="F202" s="1">
        <f t="shared" si="22"/>
        <v>0.29347013264488564</v>
      </c>
      <c r="G202" s="3">
        <f t="shared" si="23"/>
        <v>1261921.5703730083</v>
      </c>
      <c r="H202" s="3">
        <f t="shared" si="24"/>
        <v>252384.31407460166</v>
      </c>
      <c r="I202" s="3">
        <f t="shared" si="25"/>
        <v>504768.62814920332</v>
      </c>
      <c r="J202" s="3">
        <f t="shared" si="26"/>
        <v>757152.942223805</v>
      </c>
      <c r="K202" s="3">
        <f t="shared" si="27"/>
        <v>1009537.2562984066</v>
      </c>
    </row>
    <row r="203" spans="1:11" ht="30">
      <c r="A203" s="1">
        <v>10</v>
      </c>
      <c r="B203" s="1" t="s">
        <v>11</v>
      </c>
      <c r="C203" s="1">
        <v>0.20640078340603502</v>
      </c>
      <c r="D203" s="1">
        <v>22.729649357864044</v>
      </c>
      <c r="E203" s="1">
        <f t="shared" si="21"/>
        <v>20</v>
      </c>
      <c r="F203" s="1">
        <f t="shared" si="22"/>
        <v>0.74304282026172608</v>
      </c>
      <c r="G203" s="3">
        <f t="shared" si="23"/>
        <v>3195084.127125422</v>
      </c>
      <c r="H203" s="3">
        <f t="shared" si="24"/>
        <v>639016.82542508445</v>
      </c>
      <c r="I203" s="3">
        <f t="shared" si="25"/>
        <v>1278033.6508501689</v>
      </c>
      <c r="J203" s="3">
        <f t="shared" si="26"/>
        <v>1917050.4762752533</v>
      </c>
      <c r="K203" s="3">
        <f t="shared" si="27"/>
        <v>2556067.3017003378</v>
      </c>
    </row>
    <row r="204" spans="1:11" ht="30">
      <c r="A204" s="1">
        <v>11</v>
      </c>
      <c r="B204" s="1" t="s">
        <v>11</v>
      </c>
      <c r="C204" s="1">
        <v>0.47224695094809904</v>
      </c>
      <c r="D204" s="1">
        <v>52.005653410019264</v>
      </c>
      <c r="E204" s="1">
        <f t="shared" si="21"/>
        <v>20</v>
      </c>
      <c r="F204" s="1">
        <f t="shared" si="22"/>
        <v>1.7000890234131563</v>
      </c>
      <c r="G204" s="3">
        <f t="shared" si="23"/>
        <v>7310382.8006765721</v>
      </c>
      <c r="H204" s="3">
        <f t="shared" si="24"/>
        <v>1462076.5601353145</v>
      </c>
      <c r="I204" s="3">
        <f t="shared" si="25"/>
        <v>2924153.1202706289</v>
      </c>
      <c r="J204" s="3">
        <f t="shared" si="26"/>
        <v>4386229.6804059427</v>
      </c>
      <c r="K204" s="3">
        <f t="shared" si="27"/>
        <v>5848306.2405412579</v>
      </c>
    </row>
    <row r="205" spans="1:11" ht="30">
      <c r="A205" s="1">
        <v>12</v>
      </c>
      <c r="B205" s="1" t="s">
        <v>11</v>
      </c>
      <c r="C205" s="1">
        <v>0.64766387726638697</v>
      </c>
      <c r="D205" s="1">
        <v>71.323241070553195</v>
      </c>
      <c r="E205" s="1">
        <f t="shared" si="21"/>
        <v>20</v>
      </c>
      <c r="F205" s="1">
        <f t="shared" si="22"/>
        <v>2.3315899581589932</v>
      </c>
      <c r="G205" s="3">
        <f t="shared" si="23"/>
        <v>10025836.82008367</v>
      </c>
      <c r="H205" s="3">
        <f t="shared" si="24"/>
        <v>2005167.3640167341</v>
      </c>
      <c r="I205" s="3">
        <f t="shared" si="25"/>
        <v>4010334.7280334681</v>
      </c>
      <c r="J205" s="3">
        <f t="shared" si="26"/>
        <v>6015502.0920502022</v>
      </c>
      <c r="K205" s="3">
        <f t="shared" si="27"/>
        <v>8020669.4560669363</v>
      </c>
    </row>
    <row r="206" spans="1:11" ht="30">
      <c r="A206" s="1">
        <v>13</v>
      </c>
      <c r="B206" s="1" t="s">
        <v>11</v>
      </c>
      <c r="C206" s="1">
        <v>0.70871539214813406</v>
      </c>
      <c r="D206" s="1">
        <v>78.046469069638178</v>
      </c>
      <c r="E206" s="1">
        <f t="shared" si="21"/>
        <v>20</v>
      </c>
      <c r="F206" s="1">
        <f t="shared" si="22"/>
        <v>2.5513754117332827</v>
      </c>
      <c r="G206" s="3">
        <f t="shared" si="23"/>
        <v>10970914.270453116</v>
      </c>
      <c r="H206" s="3">
        <f t="shared" si="24"/>
        <v>2194182.8540906231</v>
      </c>
      <c r="I206" s="3">
        <f t="shared" si="25"/>
        <v>4388365.7081812462</v>
      </c>
      <c r="J206" s="3">
        <f t="shared" si="26"/>
        <v>6582548.5622718697</v>
      </c>
      <c r="K206" s="3">
        <f t="shared" si="27"/>
        <v>8776731.4163624924</v>
      </c>
    </row>
    <row r="207" spans="1:11" ht="30">
      <c r="A207" s="1">
        <v>14</v>
      </c>
      <c r="B207" s="1" t="s">
        <v>11</v>
      </c>
      <c r="C207" s="1">
        <v>0.72189827591323108</v>
      </c>
      <c r="D207" s="1">
        <v>79.498219012450519</v>
      </c>
      <c r="E207" s="1">
        <f t="shared" si="21"/>
        <v>20</v>
      </c>
      <c r="F207" s="1">
        <f t="shared" si="22"/>
        <v>2.598833793287632</v>
      </c>
      <c r="G207" s="3">
        <f t="shared" si="23"/>
        <v>11174985.311136818</v>
      </c>
      <c r="H207" s="3">
        <f t="shared" si="24"/>
        <v>2234997.0622273637</v>
      </c>
      <c r="I207" s="3">
        <f t="shared" si="25"/>
        <v>4469994.1244547274</v>
      </c>
      <c r="J207" s="3">
        <f t="shared" si="26"/>
        <v>6704991.1866820902</v>
      </c>
      <c r="K207" s="3">
        <f t="shared" si="27"/>
        <v>8939988.2489094548</v>
      </c>
    </row>
    <row r="208" spans="1:11" ht="30">
      <c r="A208" s="1">
        <v>15</v>
      </c>
      <c r="B208" s="1" t="s">
        <v>11</v>
      </c>
      <c r="C208" s="1">
        <v>0.70051040090210304</v>
      </c>
      <c r="D208" s="1">
        <v>77.142903826672267</v>
      </c>
      <c r="E208" s="1">
        <f t="shared" si="21"/>
        <v>20</v>
      </c>
      <c r="F208" s="1">
        <f t="shared" si="22"/>
        <v>2.5218374432475708</v>
      </c>
      <c r="G208" s="3">
        <f t="shared" si="23"/>
        <v>10843901.005964555</v>
      </c>
      <c r="H208" s="3">
        <f t="shared" si="24"/>
        <v>2168780.2011929108</v>
      </c>
      <c r="I208" s="3">
        <f t="shared" si="25"/>
        <v>4337560.4023858216</v>
      </c>
      <c r="J208" s="3">
        <f t="shared" si="26"/>
        <v>6506340.6035787323</v>
      </c>
      <c r="K208" s="3">
        <f t="shared" si="27"/>
        <v>8675120.8047716431</v>
      </c>
    </row>
    <row r="209" spans="1:11" ht="30">
      <c r="A209" s="1">
        <v>16</v>
      </c>
      <c r="B209" s="1" t="s">
        <v>11</v>
      </c>
      <c r="C209" s="1">
        <v>0.59400872429448892</v>
      </c>
      <c r="D209" s="1">
        <v>65.41452893696281</v>
      </c>
      <c r="E209" s="1">
        <f t="shared" si="21"/>
        <v>20</v>
      </c>
      <c r="F209" s="1">
        <f t="shared" si="22"/>
        <v>2.13843140746016</v>
      </c>
      <c r="G209" s="3">
        <f t="shared" si="23"/>
        <v>9195255.0520786885</v>
      </c>
      <c r="H209" s="3">
        <f t="shared" si="24"/>
        <v>1839051.0104157375</v>
      </c>
      <c r="I209" s="3">
        <f t="shared" si="25"/>
        <v>3678102.020831475</v>
      </c>
      <c r="J209" s="3">
        <f t="shared" si="26"/>
        <v>5517153.0312472126</v>
      </c>
      <c r="K209" s="3">
        <f t="shared" si="27"/>
        <v>7356204.0416629501</v>
      </c>
    </row>
    <row r="210" spans="1:11" ht="30">
      <c r="A210" s="1">
        <v>17</v>
      </c>
      <c r="B210" s="1" t="s">
        <v>11</v>
      </c>
      <c r="C210" s="1">
        <v>0.46623787055995702</v>
      </c>
      <c r="D210" s="1">
        <v>51.343910329727784</v>
      </c>
      <c r="E210" s="1">
        <f t="shared" si="21"/>
        <v>20</v>
      </c>
      <c r="F210" s="1">
        <f t="shared" si="22"/>
        <v>1.6784563340158452</v>
      </c>
      <c r="G210" s="3">
        <f t="shared" si="23"/>
        <v>7217362.2362681339</v>
      </c>
      <c r="H210" s="3">
        <f t="shared" si="24"/>
        <v>1443472.4472536268</v>
      </c>
      <c r="I210" s="3">
        <f t="shared" si="25"/>
        <v>2886944.8945072535</v>
      </c>
      <c r="J210" s="3">
        <f t="shared" si="26"/>
        <v>4330417.3417608803</v>
      </c>
      <c r="K210" s="3">
        <f t="shared" si="27"/>
        <v>5773889.7890145071</v>
      </c>
    </row>
    <row r="211" spans="1:11" ht="30">
      <c r="A211" s="1">
        <v>18</v>
      </c>
      <c r="B211" s="1" t="s">
        <v>11</v>
      </c>
      <c r="C211" s="1">
        <v>0.285264399537078</v>
      </c>
      <c r="D211" s="1">
        <v>31.414414561615615</v>
      </c>
      <c r="E211" s="1">
        <f t="shared" si="21"/>
        <v>20</v>
      </c>
      <c r="F211" s="1">
        <f t="shared" si="22"/>
        <v>1.0269518383334808</v>
      </c>
      <c r="G211" s="3">
        <f t="shared" si="23"/>
        <v>4415892.9048339678</v>
      </c>
      <c r="H211" s="3">
        <f t="shared" si="24"/>
        <v>883178.58096679347</v>
      </c>
      <c r="I211" s="3">
        <f t="shared" si="25"/>
        <v>1766357.1619335869</v>
      </c>
      <c r="J211" s="3">
        <f t="shared" si="26"/>
        <v>2649535.7429003804</v>
      </c>
      <c r="K211" s="3">
        <f t="shared" si="27"/>
        <v>3532714.3238671739</v>
      </c>
    </row>
    <row r="212" spans="1:11" ht="30">
      <c r="A212" s="1">
        <v>19</v>
      </c>
      <c r="B212" s="1" t="s">
        <v>11</v>
      </c>
      <c r="C212" s="1">
        <v>9.8979198195792095E-2</v>
      </c>
      <c r="D212" s="1">
        <v>10.899970589196428</v>
      </c>
      <c r="E212" s="1">
        <f t="shared" si="21"/>
        <v>20</v>
      </c>
      <c r="F212" s="1">
        <f t="shared" si="22"/>
        <v>0.35632511350485152</v>
      </c>
      <c r="G212" s="3">
        <f t="shared" si="23"/>
        <v>1532197.9880708614</v>
      </c>
      <c r="H212" s="3">
        <f t="shared" si="24"/>
        <v>306439.59761417232</v>
      </c>
      <c r="I212" s="3">
        <f t="shared" si="25"/>
        <v>612879.19522834464</v>
      </c>
      <c r="J212" s="3">
        <f t="shared" si="26"/>
        <v>919318.79284251691</v>
      </c>
      <c r="K212" s="3">
        <f t="shared" si="27"/>
        <v>1225758.3904566893</v>
      </c>
    </row>
    <row r="213" spans="1:11" ht="30">
      <c r="A213" s="1">
        <v>20</v>
      </c>
      <c r="B213" s="1" t="s">
        <v>11</v>
      </c>
      <c r="C213" s="1">
        <v>1.1098252173655E-2</v>
      </c>
      <c r="D213" s="1">
        <v>1.2221822816247834</v>
      </c>
      <c r="E213" s="1">
        <f t="shared" si="21"/>
        <v>20</v>
      </c>
      <c r="F213" s="1">
        <f t="shared" si="22"/>
        <v>3.9953707825157996E-2</v>
      </c>
      <c r="G213" s="3">
        <f t="shared" si="23"/>
        <v>171800.94364817938</v>
      </c>
      <c r="H213" s="3">
        <f t="shared" si="24"/>
        <v>34360.188729635876</v>
      </c>
      <c r="I213" s="3">
        <f t="shared" si="25"/>
        <v>68720.377459271753</v>
      </c>
      <c r="J213" s="3">
        <f t="shared" si="26"/>
        <v>103080.56618890763</v>
      </c>
      <c r="K213" s="3">
        <f t="shared" si="27"/>
        <v>137440.75491854351</v>
      </c>
    </row>
    <row r="214" spans="1:11" ht="30">
      <c r="A214" s="1">
        <v>21</v>
      </c>
      <c r="B214" s="1" t="s">
        <v>11</v>
      </c>
      <c r="D214" s="1">
        <v>0</v>
      </c>
      <c r="E214" s="1">
        <f t="shared" si="21"/>
        <v>20</v>
      </c>
      <c r="F214" s="1">
        <f t="shared" si="22"/>
        <v>0</v>
      </c>
      <c r="G214" s="3">
        <f t="shared" si="23"/>
        <v>0</v>
      </c>
      <c r="H214" s="3">
        <f t="shared" si="24"/>
        <v>0</v>
      </c>
      <c r="I214" s="3">
        <f t="shared" si="25"/>
        <v>0</v>
      </c>
      <c r="J214" s="3">
        <f t="shared" si="26"/>
        <v>0</v>
      </c>
      <c r="K214" s="3">
        <f t="shared" si="27"/>
        <v>0</v>
      </c>
    </row>
    <row r="215" spans="1:11" ht="30">
      <c r="A215" s="1">
        <v>22</v>
      </c>
      <c r="B215" s="1" t="s">
        <v>11</v>
      </c>
      <c r="D215" s="1">
        <v>0</v>
      </c>
      <c r="E215" s="1">
        <f t="shared" si="21"/>
        <v>20</v>
      </c>
      <c r="F215" s="1">
        <f t="shared" si="22"/>
        <v>0</v>
      </c>
      <c r="G215" s="3">
        <f t="shared" si="23"/>
        <v>0</v>
      </c>
      <c r="H215" s="3">
        <f t="shared" si="24"/>
        <v>0</v>
      </c>
      <c r="I215" s="3">
        <f t="shared" si="25"/>
        <v>0</v>
      </c>
      <c r="J215" s="3">
        <f t="shared" si="26"/>
        <v>0</v>
      </c>
      <c r="K215" s="3">
        <f t="shared" si="27"/>
        <v>0</v>
      </c>
    </row>
    <row r="216" spans="1:11" ht="30">
      <c r="A216" s="1">
        <v>23</v>
      </c>
      <c r="B216" s="1" t="s">
        <v>11</v>
      </c>
      <c r="D216" s="1">
        <v>0</v>
      </c>
      <c r="E216" s="1">
        <f t="shared" si="21"/>
        <v>20</v>
      </c>
      <c r="F216" s="1">
        <f t="shared" si="22"/>
        <v>0</v>
      </c>
      <c r="G216" s="3">
        <f t="shared" si="23"/>
        <v>0</v>
      </c>
      <c r="H216" s="3">
        <f t="shared" si="24"/>
        <v>0</v>
      </c>
      <c r="I216" s="3">
        <f t="shared" si="25"/>
        <v>0</v>
      </c>
      <c r="J216" s="3">
        <f t="shared" si="26"/>
        <v>0</v>
      </c>
      <c r="K216" s="3">
        <f t="shared" si="27"/>
        <v>0</v>
      </c>
    </row>
    <row r="217" spans="1:11" ht="30">
      <c r="A217" s="1">
        <v>24</v>
      </c>
      <c r="B217" s="1" t="s">
        <v>11</v>
      </c>
      <c r="D217" s="1">
        <v>0</v>
      </c>
      <c r="E217" s="1">
        <f t="shared" si="21"/>
        <v>20</v>
      </c>
      <c r="F217" s="1">
        <f t="shared" si="22"/>
        <v>0</v>
      </c>
      <c r="G217" s="3">
        <f t="shared" si="23"/>
        <v>0</v>
      </c>
      <c r="H217" s="3">
        <f t="shared" si="24"/>
        <v>0</v>
      </c>
      <c r="I217" s="3">
        <f t="shared" si="25"/>
        <v>0</v>
      </c>
      <c r="J217" s="3">
        <f t="shared" si="26"/>
        <v>0</v>
      </c>
      <c r="K217" s="3">
        <f t="shared" si="27"/>
        <v>0</v>
      </c>
    </row>
    <row r="218" spans="1:11" ht="15">
      <c r="A218" s="1">
        <v>1</v>
      </c>
      <c r="B218" s="1" t="s">
        <v>12</v>
      </c>
      <c r="D218" s="1">
        <v>0</v>
      </c>
      <c r="E218" s="1">
        <f t="shared" si="21"/>
        <v>20</v>
      </c>
      <c r="F218" s="1">
        <f t="shared" si="22"/>
        <v>0</v>
      </c>
      <c r="G218" s="3">
        <f t="shared" si="23"/>
        <v>0</v>
      </c>
      <c r="H218" s="3">
        <f t="shared" si="24"/>
        <v>0</v>
      </c>
      <c r="I218" s="3">
        <f t="shared" si="25"/>
        <v>0</v>
      </c>
      <c r="J218" s="3">
        <f t="shared" si="26"/>
        <v>0</v>
      </c>
      <c r="K218" s="3">
        <f t="shared" si="27"/>
        <v>0</v>
      </c>
    </row>
    <row r="219" spans="1:11" ht="15">
      <c r="A219" s="1">
        <v>2</v>
      </c>
      <c r="B219" s="1" t="s">
        <v>12</v>
      </c>
      <c r="D219" s="1">
        <v>0</v>
      </c>
      <c r="E219" s="1">
        <f t="shared" si="21"/>
        <v>20</v>
      </c>
      <c r="F219" s="1">
        <f t="shared" si="22"/>
        <v>0</v>
      </c>
      <c r="G219" s="3">
        <f t="shared" si="23"/>
        <v>0</v>
      </c>
      <c r="H219" s="3">
        <f t="shared" si="24"/>
        <v>0</v>
      </c>
      <c r="I219" s="3">
        <f t="shared" si="25"/>
        <v>0</v>
      </c>
      <c r="J219" s="3">
        <f t="shared" si="26"/>
        <v>0</v>
      </c>
      <c r="K219" s="3">
        <f t="shared" si="27"/>
        <v>0</v>
      </c>
    </row>
    <row r="220" spans="1:11" ht="15">
      <c r="A220" s="1">
        <v>3</v>
      </c>
      <c r="B220" s="1" t="s">
        <v>12</v>
      </c>
      <c r="D220" s="1">
        <v>0</v>
      </c>
      <c r="E220" s="1">
        <f t="shared" si="21"/>
        <v>20</v>
      </c>
      <c r="F220" s="1">
        <f t="shared" si="22"/>
        <v>0</v>
      </c>
      <c r="G220" s="3">
        <f t="shared" si="23"/>
        <v>0</v>
      </c>
      <c r="H220" s="3">
        <f t="shared" si="24"/>
        <v>0</v>
      </c>
      <c r="I220" s="3">
        <f t="shared" si="25"/>
        <v>0</v>
      </c>
      <c r="J220" s="3">
        <f t="shared" si="26"/>
        <v>0</v>
      </c>
      <c r="K220" s="3">
        <f t="shared" si="27"/>
        <v>0</v>
      </c>
    </row>
    <row r="221" spans="1:11" ht="15">
      <c r="A221" s="1">
        <v>4</v>
      </c>
      <c r="B221" s="1" t="s">
        <v>12</v>
      </c>
      <c r="D221" s="1">
        <v>0</v>
      </c>
      <c r="E221" s="1">
        <f t="shared" si="21"/>
        <v>20</v>
      </c>
      <c r="F221" s="1">
        <f t="shared" si="22"/>
        <v>0</v>
      </c>
      <c r="G221" s="3">
        <f t="shared" si="23"/>
        <v>0</v>
      </c>
      <c r="H221" s="3">
        <f t="shared" si="24"/>
        <v>0</v>
      </c>
      <c r="I221" s="3">
        <f t="shared" si="25"/>
        <v>0</v>
      </c>
      <c r="J221" s="3">
        <f t="shared" si="26"/>
        <v>0</v>
      </c>
      <c r="K221" s="3">
        <f t="shared" si="27"/>
        <v>0</v>
      </c>
    </row>
    <row r="222" spans="1:11" ht="15">
      <c r="A222" s="1">
        <v>5</v>
      </c>
      <c r="B222" s="1" t="s">
        <v>12</v>
      </c>
      <c r="D222" s="1">
        <v>0</v>
      </c>
      <c r="E222" s="1">
        <f t="shared" si="21"/>
        <v>20</v>
      </c>
      <c r="F222" s="1">
        <f t="shared" si="22"/>
        <v>0</v>
      </c>
      <c r="G222" s="3">
        <f t="shared" si="23"/>
        <v>0</v>
      </c>
      <c r="H222" s="3">
        <f t="shared" si="24"/>
        <v>0</v>
      </c>
      <c r="I222" s="3">
        <f t="shared" si="25"/>
        <v>0</v>
      </c>
      <c r="J222" s="3">
        <f t="shared" si="26"/>
        <v>0</v>
      </c>
      <c r="K222" s="3">
        <f t="shared" si="27"/>
        <v>0</v>
      </c>
    </row>
    <row r="223" spans="1:11" ht="15">
      <c r="A223" s="1">
        <v>6</v>
      </c>
      <c r="B223" s="1" t="s">
        <v>12</v>
      </c>
      <c r="D223" s="1">
        <v>0</v>
      </c>
      <c r="E223" s="1">
        <f t="shared" si="21"/>
        <v>20</v>
      </c>
      <c r="F223" s="1">
        <f t="shared" si="22"/>
        <v>0</v>
      </c>
      <c r="G223" s="3">
        <f t="shared" si="23"/>
        <v>0</v>
      </c>
      <c r="H223" s="3">
        <f t="shared" si="24"/>
        <v>0</v>
      </c>
      <c r="I223" s="3">
        <f t="shared" si="25"/>
        <v>0</v>
      </c>
      <c r="J223" s="3">
        <f t="shared" si="26"/>
        <v>0</v>
      </c>
      <c r="K223" s="3">
        <f t="shared" si="27"/>
        <v>0</v>
      </c>
    </row>
    <row r="224" spans="1:11" ht="15">
      <c r="A224" s="1">
        <v>7</v>
      </c>
      <c r="B224" s="1" t="s">
        <v>12</v>
      </c>
      <c r="C224" s="1">
        <v>4.6143802486721995E-3</v>
      </c>
      <c r="D224" s="1">
        <v>0.50815332832261861</v>
      </c>
      <c r="E224" s="1">
        <f t="shared" si="21"/>
        <v>20</v>
      </c>
      <c r="F224" s="1">
        <f t="shared" si="22"/>
        <v>1.6611768895219918E-2</v>
      </c>
      <c r="G224" s="3">
        <f t="shared" si="23"/>
        <v>71430.606249445642</v>
      </c>
      <c r="H224" s="3">
        <f t="shared" si="24"/>
        <v>14286.121249889129</v>
      </c>
      <c r="I224" s="3">
        <f t="shared" si="25"/>
        <v>28572.242499778258</v>
      </c>
      <c r="J224" s="3">
        <f t="shared" si="26"/>
        <v>42858.363749667391</v>
      </c>
      <c r="K224" s="3">
        <f t="shared" si="27"/>
        <v>57144.484999556516</v>
      </c>
    </row>
    <row r="225" spans="1:11" ht="15">
      <c r="A225" s="1">
        <v>8</v>
      </c>
      <c r="B225" s="1" t="s">
        <v>12</v>
      </c>
      <c r="C225" s="1">
        <v>7.1626754503101801E-3</v>
      </c>
      <c r="D225" s="1">
        <v>0.78878141237215393</v>
      </c>
      <c r="E225" s="1">
        <f t="shared" si="21"/>
        <v>20</v>
      </c>
      <c r="F225" s="1">
        <f t="shared" si="22"/>
        <v>2.5785631621116648E-2</v>
      </c>
      <c r="G225" s="3">
        <f t="shared" si="23"/>
        <v>110878.21597080158</v>
      </c>
      <c r="H225" s="3">
        <f t="shared" si="24"/>
        <v>22175.643194160319</v>
      </c>
      <c r="I225" s="3">
        <f t="shared" si="25"/>
        <v>44351.286388320637</v>
      </c>
      <c r="J225" s="3">
        <f t="shared" si="26"/>
        <v>66526.929582480952</v>
      </c>
      <c r="K225" s="3">
        <f t="shared" si="27"/>
        <v>88702.572776641275</v>
      </c>
    </row>
    <row r="226" spans="1:11" ht="15">
      <c r="A226" s="1">
        <v>9</v>
      </c>
      <c r="B226" s="1" t="s">
        <v>12</v>
      </c>
      <c r="C226" s="1">
        <v>5.2267871450191301E-2</v>
      </c>
      <c r="D226" s="1">
        <v>5.7559393483872983</v>
      </c>
      <c r="E226" s="1">
        <f t="shared" si="21"/>
        <v>20</v>
      </c>
      <c r="F226" s="1">
        <f t="shared" si="22"/>
        <v>0.1881643372206887</v>
      </c>
      <c r="G226" s="3">
        <f t="shared" si="23"/>
        <v>809106.6500489614</v>
      </c>
      <c r="H226" s="3">
        <f t="shared" si="24"/>
        <v>161821.33000979229</v>
      </c>
      <c r="I226" s="3">
        <f t="shared" si="25"/>
        <v>323642.66001958458</v>
      </c>
      <c r="J226" s="3">
        <f t="shared" si="26"/>
        <v>485463.99002937687</v>
      </c>
      <c r="K226" s="3">
        <f t="shared" si="27"/>
        <v>647285.32003916916</v>
      </c>
    </row>
    <row r="227" spans="1:11" ht="15">
      <c r="A227" s="1">
        <v>10</v>
      </c>
      <c r="B227" s="1" t="s">
        <v>12</v>
      </c>
      <c r="C227" s="1">
        <v>0.19044704590640602</v>
      </c>
      <c r="D227" s="1">
        <v>20.972762328028427</v>
      </c>
      <c r="E227" s="1">
        <f t="shared" si="21"/>
        <v>20</v>
      </c>
      <c r="F227" s="1">
        <f t="shared" si="22"/>
        <v>0.6856093652630616</v>
      </c>
      <c r="G227" s="3">
        <f t="shared" si="23"/>
        <v>2948120.2706311648</v>
      </c>
      <c r="H227" s="3">
        <f t="shared" si="24"/>
        <v>589624.05412623298</v>
      </c>
      <c r="I227" s="3">
        <f t="shared" si="25"/>
        <v>1179248.108252466</v>
      </c>
      <c r="J227" s="3">
        <f t="shared" si="26"/>
        <v>1768872.1623786988</v>
      </c>
      <c r="K227" s="3">
        <f t="shared" si="27"/>
        <v>2358496.2165049319</v>
      </c>
    </row>
    <row r="228" spans="1:11" ht="15">
      <c r="A228" s="1">
        <v>11</v>
      </c>
      <c r="B228" s="1" t="s">
        <v>12</v>
      </c>
      <c r="C228" s="1">
        <v>0.38182141903320505</v>
      </c>
      <c r="D228" s="1">
        <v>42.047645501780927</v>
      </c>
      <c r="E228" s="1">
        <f t="shared" si="21"/>
        <v>20</v>
      </c>
      <c r="F228" s="1">
        <f t="shared" si="22"/>
        <v>1.3745571085195381</v>
      </c>
      <c r="G228" s="3">
        <f t="shared" si="23"/>
        <v>5910595.5666340133</v>
      </c>
      <c r="H228" s="3">
        <f t="shared" si="24"/>
        <v>1182119.1133268026</v>
      </c>
      <c r="I228" s="3">
        <f t="shared" si="25"/>
        <v>2364238.2266536052</v>
      </c>
      <c r="J228" s="3">
        <f t="shared" si="26"/>
        <v>3546357.3399804081</v>
      </c>
      <c r="K228" s="3">
        <f t="shared" si="27"/>
        <v>4728476.4533072105</v>
      </c>
    </row>
    <row r="229" spans="1:11" ht="15">
      <c r="A229" s="1">
        <v>12</v>
      </c>
      <c r="B229" s="1" t="s">
        <v>12</v>
      </c>
      <c r="C229" s="1">
        <v>0.49872028843585797</v>
      </c>
      <c r="D229" s="1">
        <v>54.920999313747863</v>
      </c>
      <c r="E229" s="1">
        <f t="shared" si="21"/>
        <v>20</v>
      </c>
      <c r="F229" s="1">
        <f t="shared" si="22"/>
        <v>1.7953930383690888</v>
      </c>
      <c r="G229" s="3">
        <f t="shared" si="23"/>
        <v>7720190.064987082</v>
      </c>
      <c r="H229" s="3">
        <f t="shared" si="24"/>
        <v>1544038.0129974163</v>
      </c>
      <c r="I229" s="3">
        <f t="shared" si="25"/>
        <v>3088076.0259948326</v>
      </c>
      <c r="J229" s="3">
        <f t="shared" si="26"/>
        <v>4632114.0389922494</v>
      </c>
      <c r="K229" s="3">
        <f t="shared" si="27"/>
        <v>6176152.0519896653</v>
      </c>
    </row>
    <row r="230" spans="1:11" ht="15">
      <c r="A230" s="1">
        <v>13</v>
      </c>
      <c r="B230" s="1" t="s">
        <v>12</v>
      </c>
      <c r="C230" s="1">
        <v>0.54913721475414701</v>
      </c>
      <c r="D230" s="1">
        <v>60.473105454070151</v>
      </c>
      <c r="E230" s="1">
        <f t="shared" si="21"/>
        <v>20</v>
      </c>
      <c r="F230" s="1">
        <f t="shared" si="22"/>
        <v>1.9768939731149291</v>
      </c>
      <c r="G230" s="3">
        <f t="shared" si="23"/>
        <v>8500644.0843941942</v>
      </c>
      <c r="H230" s="3">
        <f t="shared" si="24"/>
        <v>1700128.8168788389</v>
      </c>
      <c r="I230" s="3">
        <f t="shared" si="25"/>
        <v>3400257.6337576779</v>
      </c>
      <c r="J230" s="3">
        <f t="shared" si="26"/>
        <v>5100386.4506365173</v>
      </c>
      <c r="K230" s="3">
        <f t="shared" si="27"/>
        <v>6800515.2675153557</v>
      </c>
    </row>
    <row r="231" spans="1:11" ht="15">
      <c r="A231" s="1">
        <v>14</v>
      </c>
      <c r="B231" s="1" t="s">
        <v>12</v>
      </c>
      <c r="C231" s="1">
        <v>0.55434508442387009</v>
      </c>
      <c r="D231" s="1">
        <v>61.046616123656101</v>
      </c>
      <c r="E231" s="1">
        <f t="shared" si="21"/>
        <v>20</v>
      </c>
      <c r="F231" s="1">
        <f t="shared" si="22"/>
        <v>1.9956423039259323</v>
      </c>
      <c r="G231" s="3">
        <f t="shared" si="23"/>
        <v>8581261.9068815093</v>
      </c>
      <c r="H231" s="3">
        <f t="shared" si="24"/>
        <v>1716252.3813763019</v>
      </c>
      <c r="I231" s="3">
        <f t="shared" si="25"/>
        <v>3432504.7627526037</v>
      </c>
      <c r="J231" s="3">
        <f t="shared" si="26"/>
        <v>5148757.1441289056</v>
      </c>
      <c r="K231" s="3">
        <f t="shared" si="27"/>
        <v>6865009.5255052075</v>
      </c>
    </row>
    <row r="232" spans="1:11" ht="15">
      <c r="A232" s="1">
        <v>15</v>
      </c>
      <c r="B232" s="1" t="s">
        <v>12</v>
      </c>
      <c r="C232" s="1">
        <v>0.51699605329534992</v>
      </c>
      <c r="D232" s="1">
        <v>56.933596941276434</v>
      </c>
      <c r="E232" s="1">
        <f t="shared" si="21"/>
        <v>20</v>
      </c>
      <c r="F232" s="1">
        <f t="shared" si="22"/>
        <v>1.8611857918632597</v>
      </c>
      <c r="G232" s="3">
        <f t="shared" si="23"/>
        <v>8003098.9050120171</v>
      </c>
      <c r="H232" s="3">
        <f t="shared" si="24"/>
        <v>1600619.7810024035</v>
      </c>
      <c r="I232" s="3">
        <f t="shared" si="25"/>
        <v>3201239.5620048069</v>
      </c>
      <c r="J232" s="3">
        <f t="shared" si="26"/>
        <v>4801859.3430072097</v>
      </c>
      <c r="K232" s="3">
        <f t="shared" si="27"/>
        <v>6402479.1240096139</v>
      </c>
    </row>
    <row r="233" spans="1:11" ht="15">
      <c r="A233" s="1">
        <v>16</v>
      </c>
      <c r="B233" s="1" t="s">
        <v>12</v>
      </c>
      <c r="C233" s="1">
        <v>0.43443425620938303</v>
      </c>
      <c r="D233" s="1">
        <v>47.841573804777632</v>
      </c>
      <c r="E233" s="1">
        <f t="shared" si="21"/>
        <v>20</v>
      </c>
      <c r="F233" s="1">
        <f t="shared" si="22"/>
        <v>1.5639633223537788</v>
      </c>
      <c r="G233" s="3">
        <f t="shared" si="23"/>
        <v>6725042.2861212483</v>
      </c>
      <c r="H233" s="3">
        <f t="shared" si="24"/>
        <v>1345008.4572242498</v>
      </c>
      <c r="I233" s="3">
        <f t="shared" si="25"/>
        <v>2690016.9144484997</v>
      </c>
      <c r="J233" s="3">
        <f t="shared" si="26"/>
        <v>4035025.3716727491</v>
      </c>
      <c r="K233" s="3">
        <f t="shared" si="27"/>
        <v>5380033.8288969994</v>
      </c>
    </row>
    <row r="234" spans="1:11" ht="15">
      <c r="A234" s="1">
        <v>17</v>
      </c>
      <c r="B234" s="1" t="s">
        <v>12</v>
      </c>
      <c r="C234" s="1">
        <v>0.29602510460251003</v>
      </c>
      <c r="D234" s="1">
        <v>32.599424855396848</v>
      </c>
      <c r="E234" s="1">
        <f t="shared" si="21"/>
        <v>20</v>
      </c>
      <c r="F234" s="1">
        <f t="shared" si="22"/>
        <v>1.065690376569036</v>
      </c>
      <c r="G234" s="3">
        <f t="shared" si="23"/>
        <v>4582468.6192468544</v>
      </c>
      <c r="H234" s="3">
        <f t="shared" si="24"/>
        <v>916493.72384937096</v>
      </c>
      <c r="I234" s="3">
        <f t="shared" si="25"/>
        <v>1832987.4476987419</v>
      </c>
      <c r="J234" s="3">
        <f t="shared" si="26"/>
        <v>2749481.1715481128</v>
      </c>
      <c r="K234" s="3">
        <f t="shared" si="27"/>
        <v>3665974.8953974838</v>
      </c>
    </row>
    <row r="235" spans="1:11" ht="15">
      <c r="A235" s="1">
        <v>18</v>
      </c>
      <c r="B235" s="1" t="s">
        <v>12</v>
      </c>
      <c r="C235" s="1">
        <v>0.128353215228938</v>
      </c>
      <c r="D235" s="1">
        <v>14.134750498349671</v>
      </c>
      <c r="E235" s="1">
        <f t="shared" si="21"/>
        <v>20</v>
      </c>
      <c r="F235" s="1">
        <f t="shared" si="22"/>
        <v>0.46207157482417677</v>
      </c>
      <c r="G235" s="3">
        <f t="shared" si="23"/>
        <v>1986907.7717439602</v>
      </c>
      <c r="H235" s="3">
        <f t="shared" si="24"/>
        <v>397381.55434879201</v>
      </c>
      <c r="I235" s="3">
        <f t="shared" si="25"/>
        <v>794763.10869758402</v>
      </c>
      <c r="J235" s="3">
        <f t="shared" si="26"/>
        <v>1192144.6630463761</v>
      </c>
      <c r="K235" s="3">
        <f t="shared" si="27"/>
        <v>1589526.217395168</v>
      </c>
    </row>
    <row r="236" spans="1:11" ht="15">
      <c r="A236" s="1">
        <v>19</v>
      </c>
      <c r="B236" s="1" t="s">
        <v>12</v>
      </c>
      <c r="C236" s="1">
        <v>1.6528680376272403E-2</v>
      </c>
      <c r="D236" s="1">
        <v>1.8202019541845165</v>
      </c>
      <c r="E236" s="1">
        <f t="shared" si="21"/>
        <v>20</v>
      </c>
      <c r="F236" s="1">
        <f t="shared" si="22"/>
        <v>5.9503249354580651E-2</v>
      </c>
      <c r="G236" s="3">
        <f t="shared" si="23"/>
        <v>255863.9722246968</v>
      </c>
      <c r="H236" s="3">
        <f t="shared" si="24"/>
        <v>51172.794444939362</v>
      </c>
      <c r="I236" s="3">
        <f t="shared" si="25"/>
        <v>102345.58888987872</v>
      </c>
      <c r="J236" s="3">
        <f t="shared" si="26"/>
        <v>153518.38333481809</v>
      </c>
      <c r="K236" s="3">
        <f t="shared" si="27"/>
        <v>204691.17777975745</v>
      </c>
    </row>
    <row r="237" spans="1:11" ht="15">
      <c r="A237" s="1">
        <v>20</v>
      </c>
      <c r="B237" s="1" t="s">
        <v>12</v>
      </c>
      <c r="D237" s="1">
        <v>0</v>
      </c>
      <c r="E237" s="1">
        <f t="shared" si="21"/>
        <v>20</v>
      </c>
      <c r="F237" s="1">
        <f t="shared" si="22"/>
        <v>0</v>
      </c>
      <c r="G237" s="3">
        <f t="shared" si="23"/>
        <v>0</v>
      </c>
      <c r="H237" s="3">
        <f t="shared" si="24"/>
        <v>0</v>
      </c>
      <c r="I237" s="3">
        <f t="shared" si="25"/>
        <v>0</v>
      </c>
      <c r="J237" s="3">
        <f t="shared" si="26"/>
        <v>0</v>
      </c>
      <c r="K237" s="3">
        <f t="shared" si="27"/>
        <v>0</v>
      </c>
    </row>
    <row r="238" spans="1:11" ht="15">
      <c r="A238" s="1">
        <v>21</v>
      </c>
      <c r="B238" s="1" t="s">
        <v>12</v>
      </c>
      <c r="D238" s="1">
        <v>0</v>
      </c>
      <c r="E238" s="1">
        <f t="shared" si="21"/>
        <v>20</v>
      </c>
      <c r="F238" s="1">
        <f t="shared" si="22"/>
        <v>0</v>
      </c>
      <c r="G238" s="3">
        <f t="shared" si="23"/>
        <v>0</v>
      </c>
      <c r="H238" s="3">
        <f t="shared" si="24"/>
        <v>0</v>
      </c>
      <c r="I238" s="3">
        <f t="shared" si="25"/>
        <v>0</v>
      </c>
      <c r="J238" s="3">
        <f t="shared" si="26"/>
        <v>0</v>
      </c>
      <c r="K238" s="3">
        <f t="shared" si="27"/>
        <v>0</v>
      </c>
    </row>
    <row r="239" spans="1:11" ht="15">
      <c r="A239" s="1">
        <v>22</v>
      </c>
      <c r="B239" s="1" t="s">
        <v>12</v>
      </c>
      <c r="D239" s="1">
        <v>0</v>
      </c>
      <c r="E239" s="1">
        <f t="shared" si="21"/>
        <v>20</v>
      </c>
      <c r="F239" s="1">
        <f t="shared" si="22"/>
        <v>0</v>
      </c>
      <c r="G239" s="3">
        <f t="shared" si="23"/>
        <v>0</v>
      </c>
      <c r="H239" s="3">
        <f t="shared" si="24"/>
        <v>0</v>
      </c>
      <c r="I239" s="3">
        <f t="shared" si="25"/>
        <v>0</v>
      </c>
      <c r="J239" s="3">
        <f t="shared" si="26"/>
        <v>0</v>
      </c>
      <c r="K239" s="3">
        <f t="shared" si="27"/>
        <v>0</v>
      </c>
    </row>
    <row r="240" spans="1:11" ht="15">
      <c r="A240" s="1">
        <v>23</v>
      </c>
      <c r="B240" s="1" t="s">
        <v>12</v>
      </c>
      <c r="D240" s="1">
        <v>0</v>
      </c>
      <c r="E240" s="1">
        <f t="shared" si="21"/>
        <v>20</v>
      </c>
      <c r="F240" s="1">
        <f t="shared" si="22"/>
        <v>0</v>
      </c>
      <c r="G240" s="3">
        <f t="shared" si="23"/>
        <v>0</v>
      </c>
      <c r="H240" s="3">
        <f t="shared" si="24"/>
        <v>0</v>
      </c>
      <c r="I240" s="3">
        <f t="shared" si="25"/>
        <v>0</v>
      </c>
      <c r="J240" s="3">
        <f t="shared" si="26"/>
        <v>0</v>
      </c>
      <c r="K240" s="3">
        <f t="shared" si="27"/>
        <v>0</v>
      </c>
    </row>
    <row r="241" spans="1:11" ht="15">
      <c r="A241" s="1">
        <v>24</v>
      </c>
      <c r="B241" s="1" t="s">
        <v>12</v>
      </c>
      <c r="D241" s="1">
        <v>0</v>
      </c>
      <c r="E241" s="1">
        <f t="shared" si="21"/>
        <v>20</v>
      </c>
      <c r="F241" s="1">
        <f t="shared" si="22"/>
        <v>0</v>
      </c>
      <c r="G241" s="3">
        <f t="shared" si="23"/>
        <v>0</v>
      </c>
      <c r="H241" s="3">
        <f t="shared" si="24"/>
        <v>0</v>
      </c>
      <c r="I241" s="3">
        <f t="shared" si="25"/>
        <v>0</v>
      </c>
      <c r="J241" s="3">
        <f t="shared" si="26"/>
        <v>0</v>
      </c>
      <c r="K241" s="3">
        <f t="shared" si="27"/>
        <v>0</v>
      </c>
    </row>
    <row r="242" spans="1:11" ht="30">
      <c r="A242" s="1">
        <v>1</v>
      </c>
      <c r="B242" s="1" t="s">
        <v>13</v>
      </c>
      <c r="D242" s="1">
        <v>0</v>
      </c>
      <c r="E242" s="1">
        <f t="shared" si="21"/>
        <v>20</v>
      </c>
      <c r="F242" s="1">
        <f t="shared" si="22"/>
        <v>0</v>
      </c>
      <c r="G242" s="3">
        <f t="shared" si="23"/>
        <v>0</v>
      </c>
      <c r="H242" s="3">
        <f t="shared" si="24"/>
        <v>0</v>
      </c>
      <c r="I242" s="3">
        <f t="shared" si="25"/>
        <v>0</v>
      </c>
      <c r="J242" s="3">
        <f t="shared" si="26"/>
        <v>0</v>
      </c>
      <c r="K242" s="3">
        <f t="shared" si="27"/>
        <v>0</v>
      </c>
    </row>
    <row r="243" spans="1:11" ht="30">
      <c r="A243" s="1">
        <v>2</v>
      </c>
      <c r="B243" s="1" t="s">
        <v>13</v>
      </c>
      <c r="D243" s="1">
        <v>0</v>
      </c>
      <c r="E243" s="1">
        <f t="shared" si="21"/>
        <v>20</v>
      </c>
      <c r="F243" s="1">
        <f t="shared" si="22"/>
        <v>0</v>
      </c>
      <c r="G243" s="3">
        <f t="shared" si="23"/>
        <v>0</v>
      </c>
      <c r="H243" s="3">
        <f t="shared" si="24"/>
        <v>0</v>
      </c>
      <c r="I243" s="3">
        <f t="shared" si="25"/>
        <v>0</v>
      </c>
      <c r="J243" s="3">
        <f t="shared" si="26"/>
        <v>0</v>
      </c>
      <c r="K243" s="3">
        <f t="shared" si="27"/>
        <v>0</v>
      </c>
    </row>
    <row r="244" spans="1:11" ht="30">
      <c r="A244" s="1">
        <v>3</v>
      </c>
      <c r="B244" s="1" t="s">
        <v>13</v>
      </c>
      <c r="D244" s="1">
        <v>0</v>
      </c>
      <c r="E244" s="1">
        <f t="shared" si="21"/>
        <v>20</v>
      </c>
      <c r="F244" s="1">
        <f t="shared" si="22"/>
        <v>0</v>
      </c>
      <c r="G244" s="3">
        <f t="shared" si="23"/>
        <v>0</v>
      </c>
      <c r="H244" s="3">
        <f t="shared" si="24"/>
        <v>0</v>
      </c>
      <c r="I244" s="3">
        <f t="shared" si="25"/>
        <v>0</v>
      </c>
      <c r="J244" s="3">
        <f t="shared" si="26"/>
        <v>0</v>
      </c>
      <c r="K244" s="3">
        <f t="shared" si="27"/>
        <v>0</v>
      </c>
    </row>
    <row r="245" spans="1:11" ht="30">
      <c r="A245" s="1">
        <v>4</v>
      </c>
      <c r="B245" s="1" t="s">
        <v>13</v>
      </c>
      <c r="D245" s="1">
        <v>0</v>
      </c>
      <c r="E245" s="1">
        <f t="shared" si="21"/>
        <v>20</v>
      </c>
      <c r="F245" s="1">
        <f t="shared" si="22"/>
        <v>0</v>
      </c>
      <c r="G245" s="3">
        <f t="shared" si="23"/>
        <v>0</v>
      </c>
      <c r="H245" s="3">
        <f t="shared" si="24"/>
        <v>0</v>
      </c>
      <c r="I245" s="3">
        <f t="shared" si="25"/>
        <v>0</v>
      </c>
      <c r="J245" s="3">
        <f t="shared" si="26"/>
        <v>0</v>
      </c>
      <c r="K245" s="3">
        <f t="shared" si="27"/>
        <v>0</v>
      </c>
    </row>
    <row r="246" spans="1:11" ht="30">
      <c r="A246" s="1">
        <v>5</v>
      </c>
      <c r="B246" s="1" t="s">
        <v>13</v>
      </c>
      <c r="D246" s="1">
        <v>0</v>
      </c>
      <c r="E246" s="1">
        <f t="shared" si="21"/>
        <v>20</v>
      </c>
      <c r="F246" s="1">
        <f t="shared" si="22"/>
        <v>0</v>
      </c>
      <c r="G246" s="3">
        <f t="shared" si="23"/>
        <v>0</v>
      </c>
      <c r="H246" s="3">
        <f t="shared" si="24"/>
        <v>0</v>
      </c>
      <c r="I246" s="3">
        <f t="shared" si="25"/>
        <v>0</v>
      </c>
      <c r="J246" s="3">
        <f t="shared" si="26"/>
        <v>0</v>
      </c>
      <c r="K246" s="3">
        <f t="shared" si="27"/>
        <v>0</v>
      </c>
    </row>
    <row r="247" spans="1:11" ht="30">
      <c r="A247" s="1">
        <v>6</v>
      </c>
      <c r="B247" s="1" t="s">
        <v>13</v>
      </c>
      <c r="D247" s="1">
        <v>0</v>
      </c>
      <c r="E247" s="1">
        <f t="shared" si="21"/>
        <v>20</v>
      </c>
      <c r="F247" s="1">
        <f t="shared" si="22"/>
        <v>0</v>
      </c>
      <c r="G247" s="3">
        <f t="shared" si="23"/>
        <v>0</v>
      </c>
      <c r="H247" s="3">
        <f t="shared" si="24"/>
        <v>0</v>
      </c>
      <c r="I247" s="3">
        <f t="shared" si="25"/>
        <v>0</v>
      </c>
      <c r="J247" s="3">
        <f t="shared" si="26"/>
        <v>0</v>
      </c>
      <c r="K247" s="3">
        <f t="shared" si="27"/>
        <v>0</v>
      </c>
    </row>
    <row r="248" spans="1:11" ht="30">
      <c r="A248" s="1">
        <v>7</v>
      </c>
      <c r="B248" s="1" t="s">
        <v>13</v>
      </c>
      <c r="C248" s="1">
        <v>4.6143802486721995E-3</v>
      </c>
      <c r="D248" s="1">
        <v>0.50815332832261861</v>
      </c>
      <c r="E248" s="1">
        <f t="shared" si="21"/>
        <v>20</v>
      </c>
      <c r="F248" s="1">
        <f t="shared" si="22"/>
        <v>1.6611768895219918E-2</v>
      </c>
      <c r="G248" s="3">
        <f t="shared" si="23"/>
        <v>71430.606249445642</v>
      </c>
      <c r="H248" s="3">
        <f t="shared" si="24"/>
        <v>14286.121249889129</v>
      </c>
      <c r="I248" s="3">
        <f t="shared" si="25"/>
        <v>28572.242499778258</v>
      </c>
      <c r="J248" s="3">
        <f t="shared" si="26"/>
        <v>42858.363749667391</v>
      </c>
      <c r="K248" s="3">
        <f t="shared" si="27"/>
        <v>57144.484999556516</v>
      </c>
    </row>
    <row r="249" spans="1:11" ht="30">
      <c r="A249" s="1">
        <v>8</v>
      </c>
      <c r="B249" s="1" t="s">
        <v>13</v>
      </c>
      <c r="C249" s="1">
        <v>7.1626754503101801E-3</v>
      </c>
      <c r="D249" s="1">
        <v>0.78878141237215393</v>
      </c>
      <c r="E249" s="1">
        <f t="shared" si="21"/>
        <v>20</v>
      </c>
      <c r="F249" s="1">
        <f t="shared" si="22"/>
        <v>2.5785631621116648E-2</v>
      </c>
      <c r="G249" s="3">
        <f t="shared" si="23"/>
        <v>110878.21597080158</v>
      </c>
      <c r="H249" s="3">
        <f t="shared" si="24"/>
        <v>22175.643194160319</v>
      </c>
      <c r="I249" s="3">
        <f t="shared" si="25"/>
        <v>44351.286388320637</v>
      </c>
      <c r="J249" s="3">
        <f t="shared" si="26"/>
        <v>66526.929582480952</v>
      </c>
      <c r="K249" s="3">
        <f t="shared" si="27"/>
        <v>88702.572776641275</v>
      </c>
    </row>
    <row r="250" spans="1:11" ht="30">
      <c r="A250" s="1">
        <v>9</v>
      </c>
      <c r="B250" s="1" t="s">
        <v>13</v>
      </c>
      <c r="C250" s="1">
        <v>2.0349268524288599E-2</v>
      </c>
      <c r="D250" s="1">
        <v>2.2409398385673729</v>
      </c>
      <c r="E250" s="1">
        <f t="shared" si="21"/>
        <v>20</v>
      </c>
      <c r="F250" s="1">
        <f t="shared" si="22"/>
        <v>7.3257366687438957E-2</v>
      </c>
      <c r="G250" s="3">
        <f t="shared" si="23"/>
        <v>315006.67675598752</v>
      </c>
      <c r="H250" s="3">
        <f t="shared" si="24"/>
        <v>63001.3353511975</v>
      </c>
      <c r="I250" s="3">
        <f t="shared" si="25"/>
        <v>126002.670702395</v>
      </c>
      <c r="J250" s="3">
        <f t="shared" si="26"/>
        <v>189004.00605359251</v>
      </c>
      <c r="K250" s="3">
        <f t="shared" si="27"/>
        <v>252005.34140479</v>
      </c>
    </row>
    <row r="251" spans="1:11" ht="30">
      <c r="A251" s="1">
        <v>10</v>
      </c>
      <c r="B251" s="1" t="s">
        <v>13</v>
      </c>
      <c r="C251" s="1">
        <v>0.102684797768479</v>
      </c>
      <c r="D251" s="1">
        <v>11.308045488709437</v>
      </c>
      <c r="E251" s="1">
        <f t="shared" si="21"/>
        <v>20</v>
      </c>
      <c r="F251" s="1">
        <f t="shared" si="22"/>
        <v>0.36966527196652443</v>
      </c>
      <c r="G251" s="3">
        <f t="shared" si="23"/>
        <v>1589560.6694560552</v>
      </c>
      <c r="H251" s="3">
        <f t="shared" si="24"/>
        <v>317912.13389121101</v>
      </c>
      <c r="I251" s="3">
        <f t="shared" si="25"/>
        <v>635824.26778242202</v>
      </c>
      <c r="J251" s="3">
        <f t="shared" si="26"/>
        <v>953736.40167363302</v>
      </c>
      <c r="K251" s="3">
        <f t="shared" si="27"/>
        <v>1271648.535564844</v>
      </c>
    </row>
    <row r="252" spans="1:11" ht="30">
      <c r="A252" s="1">
        <v>11</v>
      </c>
      <c r="B252" s="1" t="s">
        <v>13</v>
      </c>
      <c r="C252" s="1">
        <v>0.21959479509777699</v>
      </c>
      <c r="D252" s="1">
        <v>24.182624750825099</v>
      </c>
      <c r="E252" s="1">
        <f t="shared" si="21"/>
        <v>20</v>
      </c>
      <c r="F252" s="1">
        <f t="shared" si="22"/>
        <v>0.79054126235199706</v>
      </c>
      <c r="G252" s="3">
        <f t="shared" si="23"/>
        <v>3399327.4281135872</v>
      </c>
      <c r="H252" s="3">
        <f t="shared" si="24"/>
        <v>679865.48562271753</v>
      </c>
      <c r="I252" s="3">
        <f t="shared" si="25"/>
        <v>1359730.9712454351</v>
      </c>
      <c r="J252" s="3">
        <f t="shared" si="26"/>
        <v>2039596.4568681524</v>
      </c>
      <c r="K252" s="3">
        <f t="shared" si="27"/>
        <v>2719461.9424908701</v>
      </c>
    </row>
    <row r="253" spans="1:11" ht="30">
      <c r="A253" s="1">
        <v>12</v>
      </c>
      <c r="B253" s="1" t="s">
        <v>13</v>
      </c>
      <c r="C253" s="1">
        <v>0.381706430457877</v>
      </c>
      <c r="D253" s="1">
        <v>42.034982516911214</v>
      </c>
      <c r="E253" s="1">
        <f t="shared" si="21"/>
        <v>20</v>
      </c>
      <c r="F253" s="1">
        <f t="shared" si="22"/>
        <v>1.3741431496483572</v>
      </c>
      <c r="G253" s="3">
        <f t="shared" si="23"/>
        <v>5908815.5434879353</v>
      </c>
      <c r="H253" s="3">
        <f t="shared" si="24"/>
        <v>1181763.1086975872</v>
      </c>
      <c r="I253" s="3">
        <f t="shared" si="25"/>
        <v>2363526.2173951743</v>
      </c>
      <c r="J253" s="3">
        <f t="shared" si="26"/>
        <v>3545289.3260927615</v>
      </c>
      <c r="K253" s="3">
        <f t="shared" si="27"/>
        <v>4727052.4347903486</v>
      </c>
    </row>
    <row r="254" spans="1:11" ht="30">
      <c r="A254" s="1">
        <v>13</v>
      </c>
      <c r="B254" s="1" t="s">
        <v>13</v>
      </c>
      <c r="C254" s="1">
        <v>0.42899999999999999</v>
      </c>
      <c r="D254" s="1">
        <v>47.243132577366765</v>
      </c>
      <c r="E254" s="1">
        <f t="shared" si="21"/>
        <v>20</v>
      </c>
      <c r="F254" s="1">
        <f t="shared" si="22"/>
        <v>1.5444</v>
      </c>
      <c r="G254" s="3">
        <f t="shared" si="23"/>
        <v>6640920</v>
      </c>
      <c r="H254" s="3">
        <f t="shared" si="24"/>
        <v>1328184</v>
      </c>
      <c r="I254" s="3">
        <f t="shared" si="25"/>
        <v>2656368</v>
      </c>
      <c r="J254" s="3">
        <f t="shared" si="26"/>
        <v>3984552</v>
      </c>
      <c r="K254" s="3">
        <f t="shared" si="27"/>
        <v>5312736</v>
      </c>
    </row>
    <row r="255" spans="1:11" ht="30">
      <c r="A255" s="1">
        <v>14</v>
      </c>
      <c r="B255" s="1" t="s">
        <v>13</v>
      </c>
      <c r="C255" s="1">
        <v>0.42934508442386998</v>
      </c>
      <c r="D255" s="1">
        <v>47.281134603444329</v>
      </c>
      <c r="E255" s="1">
        <f t="shared" si="21"/>
        <v>20</v>
      </c>
      <c r="F255" s="1">
        <f t="shared" si="22"/>
        <v>1.5456423039259319</v>
      </c>
      <c r="G255" s="3">
        <f t="shared" si="23"/>
        <v>6646261.9068815075</v>
      </c>
      <c r="H255" s="3">
        <f t="shared" si="24"/>
        <v>1329252.3813763014</v>
      </c>
      <c r="I255" s="3">
        <f t="shared" si="25"/>
        <v>2658504.7627526028</v>
      </c>
      <c r="J255" s="3">
        <f t="shared" si="26"/>
        <v>3987757.1441289042</v>
      </c>
      <c r="K255" s="3">
        <f t="shared" si="27"/>
        <v>5317009.5255052056</v>
      </c>
    </row>
    <row r="256" spans="1:11" ht="30">
      <c r="A256" s="1">
        <v>15</v>
      </c>
      <c r="B256" s="1" t="s">
        <v>13</v>
      </c>
      <c r="C256" s="1">
        <v>0.39731520223152</v>
      </c>
      <c r="D256" s="1">
        <v>43.753880592137506</v>
      </c>
      <c r="E256" s="1">
        <f t="shared" si="21"/>
        <v>20</v>
      </c>
      <c r="F256" s="1">
        <f t="shared" si="22"/>
        <v>1.4303347280334719</v>
      </c>
      <c r="G256" s="3">
        <f t="shared" si="23"/>
        <v>6150439.3305439297</v>
      </c>
      <c r="H256" s="3">
        <f t="shared" si="24"/>
        <v>1230087.8661087858</v>
      </c>
      <c r="I256" s="3">
        <f t="shared" si="25"/>
        <v>2460175.7322175717</v>
      </c>
      <c r="J256" s="3">
        <f t="shared" si="26"/>
        <v>3690263.5983263575</v>
      </c>
      <c r="K256" s="3">
        <f t="shared" si="27"/>
        <v>4920351.4644351434</v>
      </c>
    </row>
    <row r="257" spans="1:11" ht="30">
      <c r="A257" s="1">
        <v>16</v>
      </c>
      <c r="B257" s="1" t="s">
        <v>13</v>
      </c>
      <c r="C257" s="1">
        <v>0.31209012136858599</v>
      </c>
      <c r="D257" s="1">
        <v>34.368566386719337</v>
      </c>
      <c r="E257" s="1">
        <f t="shared" si="21"/>
        <v>20</v>
      </c>
      <c r="F257" s="1">
        <f t="shared" si="22"/>
        <v>1.1235244369269095</v>
      </c>
      <c r="G257" s="3">
        <f t="shared" si="23"/>
        <v>4831155.078785711</v>
      </c>
      <c r="H257" s="3">
        <f t="shared" si="24"/>
        <v>966231.01575714222</v>
      </c>
      <c r="I257" s="3">
        <f t="shared" si="25"/>
        <v>1932462.0315142844</v>
      </c>
      <c r="J257" s="3">
        <f t="shared" si="26"/>
        <v>2898693.0472714263</v>
      </c>
      <c r="K257" s="3">
        <f t="shared" si="27"/>
        <v>3864924.0630285689</v>
      </c>
    </row>
    <row r="258" spans="1:11" ht="30">
      <c r="A258" s="1">
        <v>17</v>
      </c>
      <c r="B258" s="1" t="s">
        <v>13</v>
      </c>
      <c r="C258" s="1">
        <v>0.17899640938900199</v>
      </c>
      <c r="D258" s="1">
        <v>19.711774125028526</v>
      </c>
      <c r="E258" s="1">
        <f t="shared" si="21"/>
        <v>20</v>
      </c>
      <c r="F258" s="1">
        <f t="shared" si="22"/>
        <v>0.64438707380040716</v>
      </c>
      <c r="G258" s="3">
        <f t="shared" si="23"/>
        <v>2770864.4173417506</v>
      </c>
      <c r="H258" s="3">
        <f t="shared" si="24"/>
        <v>554172.88346835016</v>
      </c>
      <c r="I258" s="3">
        <f t="shared" si="25"/>
        <v>1108345.7669367003</v>
      </c>
      <c r="J258" s="3">
        <f t="shared" si="26"/>
        <v>1662518.6504050505</v>
      </c>
      <c r="K258" s="3">
        <f t="shared" si="27"/>
        <v>2216691.5338734007</v>
      </c>
    </row>
    <row r="259" spans="1:11" ht="30">
      <c r="A259" s="1">
        <v>18</v>
      </c>
      <c r="B259" s="1" t="s">
        <v>13</v>
      </c>
      <c r="C259" s="1">
        <v>5.6540995281759099E-2</v>
      </c>
      <c r="D259" s="1">
        <v>6.2265122054834823</v>
      </c>
      <c r="E259" s="1">
        <f t="shared" ref="E259:E289" si="28">1*(4000/200)</f>
        <v>20</v>
      </c>
      <c r="F259" s="1">
        <f t="shared" ref="F259:F289" si="29">E259*C259*0.18</f>
        <v>0.20354758301433276</v>
      </c>
      <c r="G259" s="3">
        <f t="shared" ref="G259:G289" si="30">F259*4300000</f>
        <v>875254.60696163087</v>
      </c>
      <c r="H259" s="3">
        <f t="shared" ref="H259:H289" si="31">(4300000*5/25)*F259</f>
        <v>175050.92139232619</v>
      </c>
      <c r="I259" s="3">
        <f t="shared" ref="I259:I289" si="32">(4300000*10/25)*F259</f>
        <v>350101.84278465237</v>
      </c>
      <c r="J259" s="3">
        <f t="shared" ref="J259:J289" si="33">F259*2580000</f>
        <v>525152.7641769785</v>
      </c>
      <c r="K259" s="3">
        <f t="shared" ref="K259:K289" si="34">F259*3440000</f>
        <v>700203.68556930474</v>
      </c>
    </row>
    <row r="260" spans="1:11" ht="30">
      <c r="A260" s="1">
        <v>19</v>
      </c>
      <c r="B260" s="1" t="s">
        <v>13</v>
      </c>
      <c r="C260" s="1">
        <v>5.89038250393196E-3</v>
      </c>
      <c r="D260" s="1">
        <v>0.64867161203883272</v>
      </c>
      <c r="E260" s="1">
        <f t="shared" si="28"/>
        <v>20</v>
      </c>
      <c r="F260" s="1">
        <f t="shared" si="29"/>
        <v>2.1205377014155053E-2</v>
      </c>
      <c r="G260" s="3">
        <f t="shared" si="30"/>
        <v>91183.121160866722</v>
      </c>
      <c r="H260" s="3">
        <f t="shared" si="31"/>
        <v>18236.624232173344</v>
      </c>
      <c r="I260" s="3">
        <f t="shared" si="32"/>
        <v>36473.248464346689</v>
      </c>
      <c r="J260" s="3">
        <f t="shared" si="33"/>
        <v>54709.87269652004</v>
      </c>
      <c r="K260" s="3">
        <f t="shared" si="34"/>
        <v>72946.496928693377</v>
      </c>
    </row>
    <row r="261" spans="1:11" ht="30">
      <c r="A261" s="1">
        <v>20</v>
      </c>
      <c r="B261" s="1" t="s">
        <v>13</v>
      </c>
      <c r="D261" s="1">
        <v>0</v>
      </c>
      <c r="E261" s="1">
        <f t="shared" si="28"/>
        <v>20</v>
      </c>
      <c r="F261" s="1">
        <f t="shared" si="29"/>
        <v>0</v>
      </c>
      <c r="G261" s="3">
        <f t="shared" si="30"/>
        <v>0</v>
      </c>
      <c r="H261" s="3">
        <f t="shared" si="31"/>
        <v>0</v>
      </c>
      <c r="I261" s="3">
        <f t="shared" si="32"/>
        <v>0</v>
      </c>
      <c r="J261" s="3">
        <f t="shared" si="33"/>
        <v>0</v>
      </c>
      <c r="K261" s="3">
        <f t="shared" si="34"/>
        <v>0</v>
      </c>
    </row>
    <row r="262" spans="1:11" ht="30">
      <c r="A262" s="1">
        <v>21</v>
      </c>
      <c r="B262" s="1" t="s">
        <v>13</v>
      </c>
      <c r="D262" s="1">
        <v>0</v>
      </c>
      <c r="E262" s="1">
        <f t="shared" si="28"/>
        <v>20</v>
      </c>
      <c r="F262" s="1">
        <f t="shared" si="29"/>
        <v>0</v>
      </c>
      <c r="G262" s="3">
        <f t="shared" si="30"/>
        <v>0</v>
      </c>
      <c r="H262" s="3">
        <f t="shared" si="31"/>
        <v>0</v>
      </c>
      <c r="I262" s="3">
        <f t="shared" si="32"/>
        <v>0</v>
      </c>
      <c r="J262" s="3">
        <f t="shared" si="33"/>
        <v>0</v>
      </c>
      <c r="K262" s="3">
        <f t="shared" si="34"/>
        <v>0</v>
      </c>
    </row>
    <row r="263" spans="1:11" ht="30">
      <c r="A263" s="1">
        <v>22</v>
      </c>
      <c r="B263" s="1" t="s">
        <v>13</v>
      </c>
      <c r="D263" s="1">
        <v>0</v>
      </c>
      <c r="E263" s="1">
        <f t="shared" si="28"/>
        <v>20</v>
      </c>
      <c r="F263" s="1">
        <f t="shared" si="29"/>
        <v>0</v>
      </c>
      <c r="G263" s="3">
        <f t="shared" si="30"/>
        <v>0</v>
      </c>
      <c r="H263" s="3">
        <f t="shared" si="31"/>
        <v>0</v>
      </c>
      <c r="I263" s="3">
        <f t="shared" si="32"/>
        <v>0</v>
      </c>
      <c r="J263" s="3">
        <f t="shared" si="33"/>
        <v>0</v>
      </c>
      <c r="K263" s="3">
        <f t="shared" si="34"/>
        <v>0</v>
      </c>
    </row>
    <row r="264" spans="1:11" ht="30">
      <c r="A264" s="1">
        <v>23</v>
      </c>
      <c r="B264" s="1" t="s">
        <v>13</v>
      </c>
      <c r="D264" s="1">
        <v>0</v>
      </c>
      <c r="E264" s="1">
        <f t="shared" si="28"/>
        <v>20</v>
      </c>
      <c r="F264" s="1">
        <f t="shared" si="29"/>
        <v>0</v>
      </c>
      <c r="G264" s="3">
        <f t="shared" si="30"/>
        <v>0</v>
      </c>
      <c r="H264" s="3">
        <f t="shared" si="31"/>
        <v>0</v>
      </c>
      <c r="I264" s="3">
        <f t="shared" si="32"/>
        <v>0</v>
      </c>
      <c r="J264" s="3">
        <f t="shared" si="33"/>
        <v>0</v>
      </c>
      <c r="K264" s="3">
        <f t="shared" si="34"/>
        <v>0</v>
      </c>
    </row>
    <row r="265" spans="1:11" ht="30">
      <c r="A265" s="1">
        <v>24</v>
      </c>
      <c r="B265" s="1" t="s">
        <v>13</v>
      </c>
      <c r="D265" s="1">
        <v>0</v>
      </c>
      <c r="E265" s="1">
        <f t="shared" si="28"/>
        <v>20</v>
      </c>
      <c r="F265" s="1">
        <f t="shared" si="29"/>
        <v>0</v>
      </c>
      <c r="G265" s="3">
        <f t="shared" si="30"/>
        <v>0</v>
      </c>
      <c r="H265" s="3">
        <f t="shared" si="31"/>
        <v>0</v>
      </c>
      <c r="I265" s="3">
        <f t="shared" si="32"/>
        <v>0</v>
      </c>
      <c r="J265" s="3">
        <f t="shared" si="33"/>
        <v>0</v>
      </c>
      <c r="K265" s="3">
        <f t="shared" si="34"/>
        <v>0</v>
      </c>
    </row>
    <row r="266" spans="1:11" ht="30">
      <c r="A266" s="1">
        <v>1</v>
      </c>
      <c r="B266" s="1" t="s">
        <v>14</v>
      </c>
      <c r="D266" s="1">
        <v>0</v>
      </c>
      <c r="E266" s="1">
        <f t="shared" si="28"/>
        <v>20</v>
      </c>
      <c r="F266" s="1">
        <f t="shared" si="29"/>
        <v>0</v>
      </c>
      <c r="G266" s="3">
        <f t="shared" si="30"/>
        <v>0</v>
      </c>
      <c r="H266" s="3">
        <f t="shared" si="31"/>
        <v>0</v>
      </c>
      <c r="I266" s="3">
        <f t="shared" si="32"/>
        <v>0</v>
      </c>
      <c r="J266" s="3">
        <f t="shared" si="33"/>
        <v>0</v>
      </c>
      <c r="K266" s="3">
        <f t="shared" si="34"/>
        <v>0</v>
      </c>
    </row>
    <row r="267" spans="1:11" ht="30">
      <c r="A267" s="1">
        <v>2</v>
      </c>
      <c r="B267" s="1" t="s">
        <v>14</v>
      </c>
      <c r="D267" s="1">
        <v>0</v>
      </c>
      <c r="E267" s="1">
        <f t="shared" si="28"/>
        <v>20</v>
      </c>
      <c r="F267" s="1">
        <f t="shared" si="29"/>
        <v>0</v>
      </c>
      <c r="G267" s="3">
        <f t="shared" si="30"/>
        <v>0</v>
      </c>
      <c r="H267" s="3">
        <f t="shared" si="31"/>
        <v>0</v>
      </c>
      <c r="I267" s="3">
        <f t="shared" si="32"/>
        <v>0</v>
      </c>
      <c r="J267" s="3">
        <f t="shared" si="33"/>
        <v>0</v>
      </c>
      <c r="K267" s="3">
        <f t="shared" si="34"/>
        <v>0</v>
      </c>
    </row>
    <row r="268" spans="1:11" ht="30">
      <c r="A268" s="1">
        <v>3</v>
      </c>
      <c r="B268" s="1" t="s">
        <v>14</v>
      </c>
      <c r="D268" s="1">
        <v>0</v>
      </c>
      <c r="E268" s="1">
        <f t="shared" si="28"/>
        <v>20</v>
      </c>
      <c r="F268" s="1">
        <f t="shared" si="29"/>
        <v>0</v>
      </c>
      <c r="G268" s="3">
        <f t="shared" si="30"/>
        <v>0</v>
      </c>
      <c r="H268" s="3">
        <f t="shared" si="31"/>
        <v>0</v>
      </c>
      <c r="I268" s="3">
        <f t="shared" si="32"/>
        <v>0</v>
      </c>
      <c r="J268" s="3">
        <f t="shared" si="33"/>
        <v>0</v>
      </c>
      <c r="K268" s="3">
        <f t="shared" si="34"/>
        <v>0</v>
      </c>
    </row>
    <row r="269" spans="1:11" ht="30">
      <c r="A269" s="1">
        <v>4</v>
      </c>
      <c r="B269" s="1" t="s">
        <v>14</v>
      </c>
      <c r="D269" s="1">
        <v>0</v>
      </c>
      <c r="E269" s="1">
        <f t="shared" si="28"/>
        <v>20</v>
      </c>
      <c r="F269" s="1">
        <f t="shared" si="29"/>
        <v>0</v>
      </c>
      <c r="G269" s="3">
        <f t="shared" si="30"/>
        <v>0</v>
      </c>
      <c r="H269" s="3">
        <f t="shared" si="31"/>
        <v>0</v>
      </c>
      <c r="I269" s="3">
        <f t="shared" si="32"/>
        <v>0</v>
      </c>
      <c r="J269" s="3">
        <f t="shared" si="33"/>
        <v>0</v>
      </c>
      <c r="K269" s="3">
        <f t="shared" si="34"/>
        <v>0</v>
      </c>
    </row>
    <row r="270" spans="1:11" ht="30">
      <c r="A270" s="1">
        <v>5</v>
      </c>
      <c r="B270" s="1" t="s">
        <v>14</v>
      </c>
      <c r="D270" s="1">
        <v>0</v>
      </c>
      <c r="E270" s="1">
        <f t="shared" si="28"/>
        <v>20</v>
      </c>
      <c r="F270" s="1">
        <f t="shared" si="29"/>
        <v>0</v>
      </c>
      <c r="G270" s="3">
        <f t="shared" si="30"/>
        <v>0</v>
      </c>
      <c r="H270" s="3">
        <f t="shared" si="31"/>
        <v>0</v>
      </c>
      <c r="I270" s="3">
        <f t="shared" si="32"/>
        <v>0</v>
      </c>
      <c r="J270" s="3">
        <f t="shared" si="33"/>
        <v>0</v>
      </c>
      <c r="K270" s="3">
        <f t="shared" si="34"/>
        <v>0</v>
      </c>
    </row>
    <row r="271" spans="1:11" ht="30">
      <c r="A271" s="1">
        <v>6</v>
      </c>
      <c r="B271" s="1" t="s">
        <v>14</v>
      </c>
      <c r="D271" s="1">
        <v>0</v>
      </c>
      <c r="E271" s="1">
        <f t="shared" si="28"/>
        <v>20</v>
      </c>
      <c r="F271" s="1">
        <f t="shared" si="29"/>
        <v>0</v>
      </c>
      <c r="G271" s="3">
        <f t="shared" si="30"/>
        <v>0</v>
      </c>
      <c r="H271" s="3">
        <f t="shared" si="31"/>
        <v>0</v>
      </c>
      <c r="I271" s="3">
        <f t="shared" si="32"/>
        <v>0</v>
      </c>
      <c r="J271" s="3">
        <f t="shared" si="33"/>
        <v>0</v>
      </c>
      <c r="K271" s="3">
        <f t="shared" si="34"/>
        <v>0</v>
      </c>
    </row>
    <row r="272" spans="1:11" ht="30">
      <c r="A272" s="1">
        <v>7</v>
      </c>
      <c r="B272" s="1" t="s">
        <v>14</v>
      </c>
      <c r="C272" s="1">
        <v>0.01</v>
      </c>
      <c r="D272" s="1">
        <v>1.1012385216169409</v>
      </c>
      <c r="E272" s="1">
        <f t="shared" si="28"/>
        <v>20</v>
      </c>
      <c r="F272" s="1">
        <f t="shared" si="29"/>
        <v>3.5999999999999997E-2</v>
      </c>
      <c r="G272" s="3">
        <f t="shared" si="30"/>
        <v>154800</v>
      </c>
      <c r="H272" s="3">
        <f t="shared" si="31"/>
        <v>30959.999999999996</v>
      </c>
      <c r="I272" s="3">
        <f t="shared" si="32"/>
        <v>61919.999999999993</v>
      </c>
      <c r="J272" s="3">
        <f t="shared" si="33"/>
        <v>92880</v>
      </c>
      <c r="K272" s="3">
        <f t="shared" si="34"/>
        <v>123839.99999999999</v>
      </c>
    </row>
    <row r="273" spans="1:11" ht="30">
      <c r="A273" s="1">
        <v>8</v>
      </c>
      <c r="B273" s="1" t="s">
        <v>14</v>
      </c>
      <c r="C273" s="1">
        <v>0.02</v>
      </c>
      <c r="D273" s="1">
        <v>2.2024770432338818</v>
      </c>
      <c r="E273" s="1">
        <f t="shared" si="28"/>
        <v>20</v>
      </c>
      <c r="F273" s="1">
        <f t="shared" si="29"/>
        <v>7.1999999999999995E-2</v>
      </c>
      <c r="G273" s="3">
        <f t="shared" si="30"/>
        <v>309600</v>
      </c>
      <c r="H273" s="3">
        <f t="shared" si="31"/>
        <v>61919.999999999993</v>
      </c>
      <c r="I273" s="3">
        <f t="shared" si="32"/>
        <v>123839.99999999999</v>
      </c>
      <c r="J273" s="3">
        <f t="shared" si="33"/>
        <v>185760</v>
      </c>
      <c r="K273" s="3">
        <f t="shared" si="34"/>
        <v>247679.99999999997</v>
      </c>
    </row>
    <row r="274" spans="1:11" ht="30">
      <c r="A274" s="1">
        <v>9</v>
      </c>
      <c r="B274" s="1" t="s">
        <v>14</v>
      </c>
      <c r="C274" s="1">
        <v>0.03</v>
      </c>
      <c r="D274" s="1">
        <v>3.303715564850823</v>
      </c>
      <c r="E274" s="1">
        <f t="shared" si="28"/>
        <v>20</v>
      </c>
      <c r="F274" s="1">
        <f t="shared" si="29"/>
        <v>0.108</v>
      </c>
      <c r="G274" s="3">
        <f t="shared" si="30"/>
        <v>464400</v>
      </c>
      <c r="H274" s="3">
        <f t="shared" si="31"/>
        <v>92880</v>
      </c>
      <c r="I274" s="3">
        <f t="shared" si="32"/>
        <v>185760</v>
      </c>
      <c r="J274" s="3">
        <f t="shared" si="33"/>
        <v>278640</v>
      </c>
      <c r="K274" s="3">
        <f t="shared" si="34"/>
        <v>371520</v>
      </c>
    </row>
    <row r="275" spans="1:11" ht="30">
      <c r="A275" s="1">
        <v>10</v>
      </c>
      <c r="B275" s="1" t="s">
        <v>14</v>
      </c>
      <c r="C275" s="1">
        <v>4.9493308406777702E-2</v>
      </c>
      <c r="D275" s="1">
        <v>5.4503937779811187</v>
      </c>
      <c r="E275" s="1">
        <f t="shared" si="28"/>
        <v>20</v>
      </c>
      <c r="F275" s="1">
        <f t="shared" si="29"/>
        <v>0.17817591026439972</v>
      </c>
      <c r="G275" s="3">
        <f t="shared" si="30"/>
        <v>766156.41413691873</v>
      </c>
      <c r="H275" s="3">
        <f t="shared" si="31"/>
        <v>153231.28282738375</v>
      </c>
      <c r="I275" s="3">
        <f t="shared" si="32"/>
        <v>306462.5656547675</v>
      </c>
      <c r="J275" s="3">
        <f t="shared" si="33"/>
        <v>459693.84848215128</v>
      </c>
      <c r="K275" s="3">
        <f t="shared" si="34"/>
        <v>612925.13130953501</v>
      </c>
    </row>
    <row r="276" spans="1:11" ht="30">
      <c r="A276" s="1">
        <v>11</v>
      </c>
      <c r="B276" s="1" t="s">
        <v>14</v>
      </c>
      <c r="C276" s="1">
        <v>0.169059170895278</v>
      </c>
      <c r="D276" s="1">
        <v>18.617447142250175</v>
      </c>
      <c r="E276" s="1">
        <f t="shared" si="28"/>
        <v>20</v>
      </c>
      <c r="F276" s="1">
        <f t="shared" si="29"/>
        <v>0.60861301522300082</v>
      </c>
      <c r="G276" s="3">
        <f t="shared" si="30"/>
        <v>2617035.9654589035</v>
      </c>
      <c r="H276" s="3">
        <f t="shared" si="31"/>
        <v>523407.1930917807</v>
      </c>
      <c r="I276" s="3">
        <f t="shared" si="32"/>
        <v>1046814.3861835614</v>
      </c>
      <c r="J276" s="3">
        <f t="shared" si="33"/>
        <v>1570221.5792753422</v>
      </c>
      <c r="K276" s="3">
        <f t="shared" si="34"/>
        <v>2093628.7723671228</v>
      </c>
    </row>
    <row r="277" spans="1:11" ht="30">
      <c r="A277" s="1">
        <v>12</v>
      </c>
      <c r="B277" s="1" t="s">
        <v>14</v>
      </c>
      <c r="C277" s="1">
        <v>0.28063889136176101</v>
      </c>
      <c r="D277" s="1">
        <v>30.905035783144299</v>
      </c>
      <c r="E277" s="1">
        <f t="shared" si="28"/>
        <v>20</v>
      </c>
      <c r="F277" s="1">
        <f t="shared" si="29"/>
        <v>1.0103000089023395</v>
      </c>
      <c r="G277" s="3">
        <f t="shared" si="30"/>
        <v>4344290.0382800596</v>
      </c>
      <c r="H277" s="3">
        <f t="shared" si="31"/>
        <v>868858.00765601196</v>
      </c>
      <c r="I277" s="3">
        <f t="shared" si="32"/>
        <v>1737716.0153120239</v>
      </c>
      <c r="J277" s="3">
        <f t="shared" si="33"/>
        <v>2606574.0229680361</v>
      </c>
      <c r="K277" s="3">
        <f t="shared" si="34"/>
        <v>3475432.0306240479</v>
      </c>
    </row>
    <row r="278" spans="1:11" ht="30">
      <c r="A278" s="1">
        <v>13</v>
      </c>
      <c r="B278" s="1" t="s">
        <v>14</v>
      </c>
      <c r="C278" s="1">
        <v>0.34967283895664503</v>
      </c>
      <c r="D278" s="1">
        <v>38.507320022221442</v>
      </c>
      <c r="E278" s="1">
        <f t="shared" si="28"/>
        <v>20</v>
      </c>
      <c r="F278" s="1">
        <f t="shared" si="29"/>
        <v>1.2588222202439221</v>
      </c>
      <c r="G278" s="3">
        <f t="shared" si="30"/>
        <v>5412935.5470488649</v>
      </c>
      <c r="H278" s="3">
        <f t="shared" si="31"/>
        <v>1082587.109409773</v>
      </c>
      <c r="I278" s="3">
        <f t="shared" si="32"/>
        <v>2165174.218819546</v>
      </c>
      <c r="J278" s="3">
        <f t="shared" si="33"/>
        <v>3247761.3282293188</v>
      </c>
      <c r="K278" s="3">
        <f t="shared" si="34"/>
        <v>4330348.4376390921</v>
      </c>
    </row>
    <row r="279" spans="1:11" ht="30">
      <c r="A279" s="1">
        <v>14</v>
      </c>
      <c r="B279" s="1" t="s">
        <v>14</v>
      </c>
      <c r="C279" s="1">
        <v>0.35487699931748701</v>
      </c>
      <c r="D279" s="1">
        <v>39.080422208424558</v>
      </c>
      <c r="E279" s="1">
        <f t="shared" si="28"/>
        <v>20</v>
      </c>
      <c r="F279" s="1">
        <f t="shared" si="29"/>
        <v>1.2775571975429532</v>
      </c>
      <c r="G279" s="3">
        <f t="shared" si="30"/>
        <v>5493495.9494346986</v>
      </c>
      <c r="H279" s="3">
        <f t="shared" si="31"/>
        <v>1098699.1898869397</v>
      </c>
      <c r="I279" s="3">
        <f t="shared" si="32"/>
        <v>2197398.3797738794</v>
      </c>
      <c r="J279" s="3">
        <f t="shared" si="33"/>
        <v>3296097.5696608191</v>
      </c>
      <c r="K279" s="3">
        <f t="shared" si="34"/>
        <v>4394796.7595477588</v>
      </c>
    </row>
    <row r="280" spans="1:11" ht="30">
      <c r="A280" s="1">
        <v>15</v>
      </c>
      <c r="B280" s="1" t="s">
        <v>14</v>
      </c>
      <c r="C280" s="1">
        <v>0.33082584052939201</v>
      </c>
      <c r="D280" s="1">
        <v>36.431815953726954</v>
      </c>
      <c r="E280" s="1">
        <f t="shared" si="28"/>
        <v>20</v>
      </c>
      <c r="F280" s="1">
        <f t="shared" si="29"/>
        <v>1.1909730259058111</v>
      </c>
      <c r="G280" s="3">
        <f t="shared" si="30"/>
        <v>5121184.0113949878</v>
      </c>
      <c r="H280" s="3">
        <f t="shared" si="31"/>
        <v>1024236.8022789976</v>
      </c>
      <c r="I280" s="3">
        <f t="shared" si="32"/>
        <v>2048473.6045579952</v>
      </c>
      <c r="J280" s="3">
        <f t="shared" si="33"/>
        <v>3072710.4068369926</v>
      </c>
      <c r="K280" s="3">
        <f t="shared" si="34"/>
        <v>4096947.2091159904</v>
      </c>
    </row>
    <row r="281" spans="1:11" ht="30">
      <c r="A281" s="1">
        <v>16</v>
      </c>
      <c r="B281" s="1" t="s">
        <v>14</v>
      </c>
      <c r="C281" s="1">
        <v>0.256239057538799</v>
      </c>
      <c r="D281" s="1">
        <v>28.218032090454528</v>
      </c>
      <c r="E281" s="1">
        <f t="shared" si="28"/>
        <v>20</v>
      </c>
      <c r="F281" s="1">
        <f t="shared" si="29"/>
        <v>0.92246060713967637</v>
      </c>
      <c r="G281" s="3">
        <f t="shared" si="30"/>
        <v>3966580.6107006082</v>
      </c>
      <c r="H281" s="3">
        <f t="shared" si="31"/>
        <v>793316.12214012165</v>
      </c>
      <c r="I281" s="3">
        <f t="shared" si="32"/>
        <v>1586632.2442802433</v>
      </c>
      <c r="J281" s="3">
        <f t="shared" si="33"/>
        <v>2379948.3664203649</v>
      </c>
      <c r="K281" s="3">
        <f t="shared" si="34"/>
        <v>3173264.4885604866</v>
      </c>
    </row>
    <row r="282" spans="1:11" ht="30">
      <c r="A282" s="1">
        <v>17</v>
      </c>
      <c r="B282" s="1" t="s">
        <v>14</v>
      </c>
      <c r="C282" s="1">
        <v>0.152400664708151</v>
      </c>
      <c r="D282" s="1">
        <v>16.782948269664331</v>
      </c>
      <c r="E282" s="1">
        <f t="shared" si="28"/>
        <v>20</v>
      </c>
      <c r="F282" s="1">
        <f t="shared" si="29"/>
        <v>0.54864239294934358</v>
      </c>
      <c r="G282" s="3">
        <f t="shared" si="30"/>
        <v>2359162.2896821774</v>
      </c>
      <c r="H282" s="3">
        <f t="shared" si="31"/>
        <v>471832.45793643547</v>
      </c>
      <c r="I282" s="3">
        <f t="shared" si="32"/>
        <v>943664.91587287094</v>
      </c>
      <c r="J282" s="3">
        <f t="shared" si="33"/>
        <v>1415497.3738093064</v>
      </c>
      <c r="K282" s="3">
        <f t="shared" si="34"/>
        <v>1887329.8317457419</v>
      </c>
    </row>
    <row r="283" spans="1:11" ht="30">
      <c r="A283" s="1">
        <v>18</v>
      </c>
      <c r="B283" s="1" t="s">
        <v>14</v>
      </c>
      <c r="C283" s="1">
        <v>3.7923974005163404E-2</v>
      </c>
      <c r="D283" s="1">
        <v>4.1763341067285449</v>
      </c>
      <c r="E283" s="1">
        <f t="shared" si="28"/>
        <v>20</v>
      </c>
      <c r="F283" s="1">
        <f t="shared" si="29"/>
        <v>0.13652630641858823</v>
      </c>
      <c r="G283" s="3">
        <f t="shared" si="30"/>
        <v>587063.11759992945</v>
      </c>
      <c r="H283" s="3">
        <f t="shared" si="31"/>
        <v>117412.62351998588</v>
      </c>
      <c r="I283" s="3">
        <f t="shared" si="32"/>
        <v>234825.24703997176</v>
      </c>
      <c r="J283" s="3">
        <f t="shared" si="33"/>
        <v>352237.87055995764</v>
      </c>
      <c r="K283" s="3">
        <f t="shared" si="34"/>
        <v>469650.49407994351</v>
      </c>
    </row>
    <row r="284" spans="1:11" ht="30">
      <c r="A284" s="1">
        <v>19</v>
      </c>
      <c r="B284" s="1" t="s">
        <v>14</v>
      </c>
      <c r="C284" s="1">
        <v>0</v>
      </c>
      <c r="D284" s="1">
        <v>0</v>
      </c>
      <c r="E284" s="1">
        <f t="shared" si="28"/>
        <v>20</v>
      </c>
      <c r="F284" s="1">
        <f t="shared" si="29"/>
        <v>0</v>
      </c>
      <c r="G284" s="3">
        <f t="shared" si="30"/>
        <v>0</v>
      </c>
      <c r="H284" s="3">
        <f t="shared" si="31"/>
        <v>0</v>
      </c>
      <c r="I284" s="3">
        <f t="shared" si="32"/>
        <v>0</v>
      </c>
      <c r="J284" s="3">
        <f t="shared" si="33"/>
        <v>0</v>
      </c>
      <c r="K284" s="3">
        <f t="shared" si="34"/>
        <v>0</v>
      </c>
    </row>
    <row r="285" spans="1:11" ht="30">
      <c r="A285" s="1">
        <v>20</v>
      </c>
      <c r="B285" s="1" t="s">
        <v>14</v>
      </c>
      <c r="D285" s="1">
        <v>0</v>
      </c>
      <c r="E285" s="1">
        <f t="shared" si="28"/>
        <v>20</v>
      </c>
      <c r="F285" s="1">
        <f t="shared" si="29"/>
        <v>0</v>
      </c>
      <c r="G285" s="3">
        <f t="shared" si="30"/>
        <v>0</v>
      </c>
      <c r="H285" s="3">
        <f t="shared" si="31"/>
        <v>0</v>
      </c>
      <c r="I285" s="3">
        <f t="shared" si="32"/>
        <v>0</v>
      </c>
      <c r="J285" s="3">
        <f t="shared" si="33"/>
        <v>0</v>
      </c>
      <c r="K285" s="3">
        <f t="shared" si="34"/>
        <v>0</v>
      </c>
    </row>
    <row r="286" spans="1:11" ht="30">
      <c r="A286" s="1">
        <v>21</v>
      </c>
      <c r="B286" s="1" t="s">
        <v>14</v>
      </c>
      <c r="D286" s="1">
        <v>0</v>
      </c>
      <c r="E286" s="1">
        <f t="shared" si="28"/>
        <v>20</v>
      </c>
      <c r="F286" s="1">
        <f t="shared" si="29"/>
        <v>0</v>
      </c>
      <c r="G286" s="3">
        <f t="shared" si="30"/>
        <v>0</v>
      </c>
      <c r="H286" s="3">
        <f t="shared" si="31"/>
        <v>0</v>
      </c>
      <c r="I286" s="3">
        <f t="shared" si="32"/>
        <v>0</v>
      </c>
      <c r="J286" s="3">
        <f t="shared" si="33"/>
        <v>0</v>
      </c>
      <c r="K286" s="3">
        <f t="shared" si="34"/>
        <v>0</v>
      </c>
    </row>
    <row r="287" spans="1:11" ht="30">
      <c r="A287" s="1">
        <v>22</v>
      </c>
      <c r="B287" s="1" t="s">
        <v>14</v>
      </c>
      <c r="D287" s="1">
        <v>0</v>
      </c>
      <c r="E287" s="1">
        <f t="shared" si="28"/>
        <v>20</v>
      </c>
      <c r="F287" s="1">
        <f t="shared" si="29"/>
        <v>0</v>
      </c>
      <c r="G287" s="3">
        <f t="shared" si="30"/>
        <v>0</v>
      </c>
      <c r="H287" s="3">
        <f t="shared" si="31"/>
        <v>0</v>
      </c>
      <c r="I287" s="3">
        <f t="shared" si="32"/>
        <v>0</v>
      </c>
      <c r="J287" s="3">
        <f t="shared" si="33"/>
        <v>0</v>
      </c>
      <c r="K287" s="3">
        <f t="shared" si="34"/>
        <v>0</v>
      </c>
    </row>
    <row r="288" spans="1:11" ht="30">
      <c r="A288" s="1">
        <v>23</v>
      </c>
      <c r="B288" s="1" t="s">
        <v>14</v>
      </c>
      <c r="D288" s="1">
        <v>0</v>
      </c>
      <c r="E288" s="1">
        <f t="shared" si="28"/>
        <v>20</v>
      </c>
      <c r="F288" s="1">
        <f t="shared" si="29"/>
        <v>0</v>
      </c>
      <c r="G288" s="3">
        <f t="shared" si="30"/>
        <v>0</v>
      </c>
      <c r="H288" s="3">
        <f t="shared" si="31"/>
        <v>0</v>
      </c>
      <c r="I288" s="3">
        <f t="shared" si="32"/>
        <v>0</v>
      </c>
      <c r="J288" s="3">
        <f t="shared" si="33"/>
        <v>0</v>
      </c>
      <c r="K288" s="3">
        <f t="shared" si="34"/>
        <v>0</v>
      </c>
    </row>
    <row r="289" spans="1:11" ht="30">
      <c r="A289" s="1">
        <v>24</v>
      </c>
      <c r="B289" s="1" t="s">
        <v>14</v>
      </c>
      <c r="D289" s="1">
        <v>0</v>
      </c>
      <c r="E289" s="1">
        <f t="shared" si="28"/>
        <v>20</v>
      </c>
      <c r="F289" s="1">
        <f t="shared" si="29"/>
        <v>0</v>
      </c>
      <c r="G289" s="3">
        <f t="shared" si="30"/>
        <v>0</v>
      </c>
      <c r="H289" s="3">
        <f t="shared" si="31"/>
        <v>0</v>
      </c>
      <c r="I289" s="3">
        <f t="shared" si="32"/>
        <v>0</v>
      </c>
      <c r="J289" s="3">
        <f t="shared" si="33"/>
        <v>0</v>
      </c>
      <c r="K289" s="3">
        <f t="shared" si="34"/>
        <v>0</v>
      </c>
    </row>
    <row r="290" spans="1:11">
      <c r="H290" s="3"/>
      <c r="I290" s="3"/>
      <c r="J290" s="3"/>
      <c r="K290" s="3"/>
    </row>
    <row r="291" spans="1:11" ht="37" customHeight="1">
      <c r="E291" s="1" t="s">
        <v>18</v>
      </c>
      <c r="F291" s="1">
        <f>SUM(F2:F289)</f>
        <v>203.20206122959124</v>
      </c>
      <c r="G291" s="3">
        <f>SUM(G2:G289)</f>
        <v>873768863.28724205</v>
      </c>
      <c r="H291" s="3">
        <f t="shared" ref="H291:K291" si="35">SUM(H2:H289)</f>
        <v>174753772.65744841</v>
      </c>
      <c r="I291" s="3">
        <f t="shared" si="35"/>
        <v>349507545.31489682</v>
      </c>
      <c r="J291" s="3">
        <f t="shared" si="35"/>
        <v>524261317.97234547</v>
      </c>
      <c r="K291" s="3">
        <f t="shared" si="35"/>
        <v>699015090.62979364</v>
      </c>
    </row>
    <row r="292" spans="1:11" ht="37" customHeight="1">
      <c r="E292" s="2" t="s">
        <v>17</v>
      </c>
      <c r="F292" s="2">
        <f>F291*30</f>
        <v>6096.0618368877367</v>
      </c>
      <c r="G292" s="3">
        <f>G291*30</f>
        <v>26213065898.61726</v>
      </c>
      <c r="H292" s="3">
        <f t="shared" ref="H292:K292" si="36">H291*30</f>
        <v>5242613179.7234526</v>
      </c>
      <c r="I292" s="3">
        <f t="shared" si="36"/>
        <v>10485226359.446905</v>
      </c>
      <c r="J292" s="3">
        <f t="shared" si="36"/>
        <v>15727839539.170364</v>
      </c>
      <c r="K292" s="3">
        <f t="shared" si="36"/>
        <v>20970452718.89381</v>
      </c>
    </row>
    <row r="293" spans="1:11" ht="15">
      <c r="F293" s="1" t="s">
        <v>22</v>
      </c>
      <c r="G293" s="3" t="s">
        <v>23</v>
      </c>
      <c r="H293" s="1" t="s">
        <v>24</v>
      </c>
      <c r="I293" s="1" t="s">
        <v>25</v>
      </c>
      <c r="J293" s="1" t="s">
        <v>26</v>
      </c>
      <c r="K293" s="1" t="s">
        <v>29</v>
      </c>
    </row>
    <row r="295" spans="1:11">
      <c r="F295" s="12">
        <f>F292/'System Load'!D291</f>
        <v>1.2663194026253335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7A94-142E-4D3E-900B-FD5677AD3328}">
  <dimension ref="A1:O291"/>
  <sheetViews>
    <sheetView showGridLines="0" workbookViewId="0">
      <selection activeCell="O3" sqref="O3"/>
    </sheetView>
  </sheetViews>
  <sheetFormatPr baseColWidth="10" defaultColWidth="8.83203125" defaultRowHeight="14"/>
  <cols>
    <col min="1" max="1" width="14.83203125" bestFit="1" customWidth="1"/>
    <col min="2" max="2" width="32.83203125" bestFit="1" customWidth="1"/>
    <col min="3" max="3" width="10.83203125" style="10" bestFit="1" customWidth="1"/>
  </cols>
  <sheetData>
    <row r="1" spans="1:15">
      <c r="A1" t="s">
        <v>54</v>
      </c>
      <c r="B1" t="s">
        <v>55</v>
      </c>
      <c r="C1" s="10" t="s">
        <v>360</v>
      </c>
      <c r="D1" t="s">
        <v>361</v>
      </c>
      <c r="I1" t="s">
        <v>48</v>
      </c>
      <c r="J1" t="s">
        <v>49</v>
      </c>
      <c r="O1" t="s">
        <v>392</v>
      </c>
    </row>
    <row r="2" spans="1:15">
      <c r="A2" t="s">
        <v>56</v>
      </c>
      <c r="B2">
        <v>31</v>
      </c>
      <c r="C2" s="10">
        <v>0.23097000000000001</v>
      </c>
      <c r="D2">
        <f t="shared" ref="D2:D65" si="0">($O$2*C2)/100</f>
        <v>0.37062627906976753</v>
      </c>
      <c r="I2" t="s">
        <v>50</v>
      </c>
      <c r="J2" t="s">
        <v>51</v>
      </c>
      <c r="O2">
        <f>(20.7*(10^9))/(30*4300000)</f>
        <v>160.46511627906978</v>
      </c>
    </row>
    <row r="3" spans="1:15">
      <c r="A3" t="s">
        <v>57</v>
      </c>
      <c r="B3">
        <v>31</v>
      </c>
      <c r="C3" s="10">
        <v>0.23</v>
      </c>
      <c r="D3">
        <f t="shared" si="0"/>
        <v>0.36906976744186054</v>
      </c>
      <c r="I3" t="s">
        <v>52</v>
      </c>
      <c r="J3" t="s">
        <v>53</v>
      </c>
    </row>
    <row r="4" spans="1:15">
      <c r="A4" t="s">
        <v>58</v>
      </c>
      <c r="B4">
        <v>31</v>
      </c>
      <c r="C4" s="10">
        <v>0.23</v>
      </c>
      <c r="D4">
        <f t="shared" si="0"/>
        <v>0.36906976744186054</v>
      </c>
    </row>
    <row r="5" spans="1:15">
      <c r="A5" t="s">
        <v>59</v>
      </c>
      <c r="B5">
        <v>31</v>
      </c>
      <c r="C5" s="10">
        <v>0.23</v>
      </c>
      <c r="D5">
        <f t="shared" si="0"/>
        <v>0.36906976744186054</v>
      </c>
    </row>
    <row r="6" spans="1:15">
      <c r="A6" t="s">
        <v>60</v>
      </c>
      <c r="B6">
        <v>31</v>
      </c>
      <c r="C6" s="10">
        <v>0.23</v>
      </c>
      <c r="D6">
        <f t="shared" si="0"/>
        <v>0.36906976744186054</v>
      </c>
    </row>
    <row r="7" spans="1:15">
      <c r="A7" t="s">
        <v>61</v>
      </c>
      <c r="B7">
        <v>31</v>
      </c>
      <c r="C7" s="10">
        <v>0.31</v>
      </c>
      <c r="D7">
        <f t="shared" si="0"/>
        <v>0.49744186046511629</v>
      </c>
    </row>
    <row r="8" spans="1:15">
      <c r="A8" t="s">
        <v>62</v>
      </c>
      <c r="B8">
        <v>31</v>
      </c>
      <c r="C8" s="10">
        <v>0.52</v>
      </c>
      <c r="D8">
        <f t="shared" si="0"/>
        <v>0.83441860465116291</v>
      </c>
    </row>
    <row r="9" spans="1:15">
      <c r="A9" t="s">
        <v>63</v>
      </c>
      <c r="B9">
        <v>31</v>
      </c>
      <c r="C9" s="10">
        <v>0.52</v>
      </c>
      <c r="D9">
        <f t="shared" si="0"/>
        <v>0.83441860465116291</v>
      </c>
    </row>
    <row r="10" spans="1:15">
      <c r="A10" t="s">
        <v>64</v>
      </c>
      <c r="B10">
        <v>31</v>
      </c>
      <c r="C10" s="10">
        <v>0.51</v>
      </c>
      <c r="D10">
        <f t="shared" si="0"/>
        <v>0.81837209302325586</v>
      </c>
    </row>
    <row r="11" spans="1:15">
      <c r="A11" t="s">
        <v>65</v>
      </c>
      <c r="B11">
        <v>31</v>
      </c>
      <c r="C11" s="10">
        <v>0.31</v>
      </c>
      <c r="D11">
        <f t="shared" si="0"/>
        <v>0.49744186046511629</v>
      </c>
    </row>
    <row r="12" spans="1:15">
      <c r="A12" t="s">
        <v>66</v>
      </c>
      <c r="B12">
        <v>31</v>
      </c>
      <c r="C12" s="10">
        <v>0.31</v>
      </c>
      <c r="D12">
        <f t="shared" si="0"/>
        <v>0.49744186046511629</v>
      </c>
    </row>
    <row r="13" spans="1:15">
      <c r="A13" t="s">
        <v>67</v>
      </c>
      <c r="B13">
        <v>31</v>
      </c>
      <c r="C13" s="10">
        <v>0.31</v>
      </c>
      <c r="D13">
        <f t="shared" si="0"/>
        <v>0.49744186046511629</v>
      </c>
    </row>
    <row r="14" spans="1:15">
      <c r="A14" t="s">
        <v>68</v>
      </c>
      <c r="B14">
        <v>31</v>
      </c>
      <c r="C14" s="10">
        <v>0.31</v>
      </c>
      <c r="D14">
        <f t="shared" si="0"/>
        <v>0.49744186046511629</v>
      </c>
    </row>
    <row r="15" spans="1:15">
      <c r="A15" t="s">
        <v>69</v>
      </c>
      <c r="B15">
        <v>31</v>
      </c>
      <c r="C15" s="10">
        <v>0.31</v>
      </c>
      <c r="D15">
        <f t="shared" si="0"/>
        <v>0.49744186046511629</v>
      </c>
    </row>
    <row r="16" spans="1:15">
      <c r="A16" t="s">
        <v>70</v>
      </c>
      <c r="B16">
        <v>31</v>
      </c>
      <c r="C16" s="10">
        <v>0.31</v>
      </c>
      <c r="D16">
        <f t="shared" si="0"/>
        <v>0.49744186046511629</v>
      </c>
    </row>
    <row r="17" spans="1:4">
      <c r="A17" t="s">
        <v>71</v>
      </c>
      <c r="B17">
        <v>31</v>
      </c>
      <c r="C17" s="10">
        <v>0.31</v>
      </c>
      <c r="D17">
        <f t="shared" si="0"/>
        <v>0.49744186046511629</v>
      </c>
    </row>
    <row r="18" spans="1:4">
      <c r="A18" t="s">
        <v>72</v>
      </c>
      <c r="B18">
        <v>31</v>
      </c>
      <c r="C18" s="10">
        <v>0.31</v>
      </c>
      <c r="D18">
        <f t="shared" si="0"/>
        <v>0.49744186046511629</v>
      </c>
    </row>
    <row r="19" spans="1:4">
      <c r="A19" t="s">
        <v>73</v>
      </c>
      <c r="B19">
        <v>31</v>
      </c>
      <c r="C19" s="10">
        <v>0.52</v>
      </c>
      <c r="D19">
        <f t="shared" si="0"/>
        <v>0.83441860465116291</v>
      </c>
    </row>
    <row r="20" spans="1:4">
      <c r="A20" t="s">
        <v>74</v>
      </c>
      <c r="B20">
        <v>31</v>
      </c>
      <c r="C20" s="10">
        <v>0.51</v>
      </c>
      <c r="D20">
        <f t="shared" si="0"/>
        <v>0.81837209302325586</v>
      </c>
    </row>
    <row r="21" spans="1:4">
      <c r="A21" t="s">
        <v>75</v>
      </c>
      <c r="B21">
        <v>31</v>
      </c>
      <c r="C21" s="10">
        <v>0.52</v>
      </c>
      <c r="D21">
        <f t="shared" si="0"/>
        <v>0.83441860465116291</v>
      </c>
    </row>
    <row r="22" spans="1:4">
      <c r="A22" t="s">
        <v>76</v>
      </c>
      <c r="B22">
        <v>31</v>
      </c>
      <c r="C22" s="10">
        <v>0.52</v>
      </c>
      <c r="D22">
        <f t="shared" si="0"/>
        <v>0.83441860465116291</v>
      </c>
    </row>
    <row r="23" spans="1:4">
      <c r="A23" t="s">
        <v>77</v>
      </c>
      <c r="B23">
        <v>31</v>
      </c>
      <c r="C23" s="10">
        <v>0.31</v>
      </c>
      <c r="D23">
        <f t="shared" si="0"/>
        <v>0.49744186046511629</v>
      </c>
    </row>
    <row r="24" spans="1:4">
      <c r="A24" t="s">
        <v>78</v>
      </c>
      <c r="B24">
        <v>31</v>
      </c>
      <c r="C24" s="10">
        <v>0.31</v>
      </c>
      <c r="D24">
        <f t="shared" si="0"/>
        <v>0.49744186046511629</v>
      </c>
    </row>
    <row r="25" spans="1:4">
      <c r="A25" t="s">
        <v>79</v>
      </c>
      <c r="B25">
        <v>31</v>
      </c>
      <c r="C25" s="10">
        <v>0.31</v>
      </c>
      <c r="D25">
        <f t="shared" si="0"/>
        <v>0.49744186046511629</v>
      </c>
    </row>
    <row r="26" spans="1:4">
      <c r="A26" t="s">
        <v>80</v>
      </c>
      <c r="B26">
        <v>28</v>
      </c>
      <c r="C26" s="10">
        <v>0.23</v>
      </c>
      <c r="D26">
        <f t="shared" si="0"/>
        <v>0.36906976744186054</v>
      </c>
    </row>
    <row r="27" spans="1:4">
      <c r="A27" t="s">
        <v>81</v>
      </c>
      <c r="B27">
        <v>28</v>
      </c>
      <c r="C27" s="10">
        <v>0.23</v>
      </c>
      <c r="D27">
        <f t="shared" si="0"/>
        <v>0.36906976744186054</v>
      </c>
    </row>
    <row r="28" spans="1:4">
      <c r="A28" t="s">
        <v>82</v>
      </c>
      <c r="B28">
        <v>28</v>
      </c>
      <c r="C28" s="10">
        <v>0.23</v>
      </c>
      <c r="D28">
        <f t="shared" si="0"/>
        <v>0.36906976744186054</v>
      </c>
    </row>
    <row r="29" spans="1:4">
      <c r="A29" t="s">
        <v>83</v>
      </c>
      <c r="B29">
        <v>28</v>
      </c>
      <c r="C29" s="10">
        <v>0.23</v>
      </c>
      <c r="D29">
        <f t="shared" si="0"/>
        <v>0.36906976744186054</v>
      </c>
    </row>
    <row r="30" spans="1:4">
      <c r="A30" t="s">
        <v>84</v>
      </c>
      <c r="B30">
        <v>28</v>
      </c>
      <c r="C30" s="10">
        <v>0.23</v>
      </c>
      <c r="D30">
        <f t="shared" si="0"/>
        <v>0.36906976744186054</v>
      </c>
    </row>
    <row r="31" spans="1:4">
      <c r="A31" t="s">
        <v>85</v>
      </c>
      <c r="B31">
        <v>28</v>
      </c>
      <c r="C31" s="10">
        <v>0.31</v>
      </c>
      <c r="D31">
        <f t="shared" si="0"/>
        <v>0.49744186046511629</v>
      </c>
    </row>
    <row r="32" spans="1:4">
      <c r="A32" t="s">
        <v>86</v>
      </c>
      <c r="B32">
        <v>28</v>
      </c>
      <c r="C32" s="10">
        <v>0.52</v>
      </c>
      <c r="D32">
        <f t="shared" si="0"/>
        <v>0.83441860465116291</v>
      </c>
    </row>
    <row r="33" spans="1:4">
      <c r="A33" t="s">
        <v>87</v>
      </c>
      <c r="B33">
        <v>28</v>
      </c>
      <c r="C33" s="10">
        <v>0.51</v>
      </c>
      <c r="D33">
        <f t="shared" si="0"/>
        <v>0.81837209302325586</v>
      </c>
    </row>
    <row r="34" spans="1:4">
      <c r="A34" t="s">
        <v>88</v>
      </c>
      <c r="B34">
        <v>28</v>
      </c>
      <c r="C34" s="10">
        <v>0.51</v>
      </c>
      <c r="D34">
        <f t="shared" si="0"/>
        <v>0.81837209302325586</v>
      </c>
    </row>
    <row r="35" spans="1:4">
      <c r="A35" t="s">
        <v>89</v>
      </c>
      <c r="B35">
        <v>28</v>
      </c>
      <c r="C35" s="10">
        <v>0.31</v>
      </c>
      <c r="D35">
        <f t="shared" si="0"/>
        <v>0.49744186046511629</v>
      </c>
    </row>
    <row r="36" spans="1:4">
      <c r="A36" t="s">
        <v>90</v>
      </c>
      <c r="B36">
        <v>28</v>
      </c>
      <c r="C36" s="10">
        <v>0.31</v>
      </c>
      <c r="D36">
        <f t="shared" si="0"/>
        <v>0.49744186046511629</v>
      </c>
    </row>
    <row r="37" spans="1:4">
      <c r="A37" t="s">
        <v>91</v>
      </c>
      <c r="B37">
        <v>28</v>
      </c>
      <c r="C37" s="10">
        <v>0.31</v>
      </c>
      <c r="D37">
        <f t="shared" si="0"/>
        <v>0.49744186046511629</v>
      </c>
    </row>
    <row r="38" spans="1:4">
      <c r="A38" t="s">
        <v>92</v>
      </c>
      <c r="B38">
        <v>28</v>
      </c>
      <c r="C38" s="10">
        <v>0.31</v>
      </c>
      <c r="D38">
        <f t="shared" si="0"/>
        <v>0.49744186046511629</v>
      </c>
    </row>
    <row r="39" spans="1:4">
      <c r="A39" t="s">
        <v>93</v>
      </c>
      <c r="B39">
        <v>28</v>
      </c>
      <c r="C39" s="10">
        <v>0.31</v>
      </c>
      <c r="D39">
        <f t="shared" si="0"/>
        <v>0.49744186046511629</v>
      </c>
    </row>
    <row r="40" spans="1:4">
      <c r="A40" t="s">
        <v>94</v>
      </c>
      <c r="B40">
        <v>28</v>
      </c>
      <c r="C40" s="10">
        <v>0.31</v>
      </c>
      <c r="D40">
        <f t="shared" si="0"/>
        <v>0.49744186046511629</v>
      </c>
    </row>
    <row r="41" spans="1:4">
      <c r="A41" t="s">
        <v>95</v>
      </c>
      <c r="B41">
        <v>28</v>
      </c>
      <c r="C41" s="10">
        <v>0.31</v>
      </c>
      <c r="D41">
        <f t="shared" si="0"/>
        <v>0.49744186046511629</v>
      </c>
    </row>
    <row r="42" spans="1:4">
      <c r="A42" t="s">
        <v>96</v>
      </c>
      <c r="B42">
        <v>28</v>
      </c>
      <c r="C42" s="10">
        <v>0.31</v>
      </c>
      <c r="D42">
        <f t="shared" si="0"/>
        <v>0.49744186046511629</v>
      </c>
    </row>
    <row r="43" spans="1:4">
      <c r="A43" t="s">
        <v>97</v>
      </c>
      <c r="B43">
        <v>28</v>
      </c>
      <c r="C43" s="10">
        <v>0.52</v>
      </c>
      <c r="D43">
        <f t="shared" si="0"/>
        <v>0.83441860465116291</v>
      </c>
    </row>
    <row r="44" spans="1:4">
      <c r="A44" t="s">
        <v>98</v>
      </c>
      <c r="B44">
        <v>28</v>
      </c>
      <c r="C44" s="10">
        <v>0.52</v>
      </c>
      <c r="D44">
        <f t="shared" si="0"/>
        <v>0.83441860465116291</v>
      </c>
    </row>
    <row r="45" spans="1:4">
      <c r="A45" t="s">
        <v>99</v>
      </c>
      <c r="B45">
        <v>28</v>
      </c>
      <c r="C45" s="10">
        <v>0.51</v>
      </c>
      <c r="D45">
        <f t="shared" si="0"/>
        <v>0.81837209302325586</v>
      </c>
    </row>
    <row r="46" spans="1:4">
      <c r="A46" t="s">
        <v>100</v>
      </c>
      <c r="B46">
        <v>28</v>
      </c>
      <c r="C46" s="10">
        <v>0.52</v>
      </c>
      <c r="D46">
        <f t="shared" si="0"/>
        <v>0.83441860465116291</v>
      </c>
    </row>
    <row r="47" spans="1:4">
      <c r="A47" t="s">
        <v>101</v>
      </c>
      <c r="B47">
        <v>28</v>
      </c>
      <c r="C47" s="10">
        <v>0.31</v>
      </c>
      <c r="D47">
        <f t="shared" si="0"/>
        <v>0.49744186046511629</v>
      </c>
    </row>
    <row r="48" spans="1:4">
      <c r="A48" t="s">
        <v>102</v>
      </c>
      <c r="B48">
        <v>28</v>
      </c>
      <c r="C48" s="10">
        <v>0.31</v>
      </c>
      <c r="D48">
        <f t="shared" si="0"/>
        <v>0.49744186046511629</v>
      </c>
    </row>
    <row r="49" spans="1:4">
      <c r="A49" t="s">
        <v>103</v>
      </c>
      <c r="B49">
        <v>28</v>
      </c>
      <c r="C49" s="10">
        <v>0.31</v>
      </c>
      <c r="D49">
        <f t="shared" si="0"/>
        <v>0.49744186046511629</v>
      </c>
    </row>
    <row r="50" spans="1:4">
      <c r="A50" t="s">
        <v>104</v>
      </c>
      <c r="B50">
        <v>31</v>
      </c>
      <c r="C50" s="10">
        <v>0.23</v>
      </c>
      <c r="D50">
        <f t="shared" si="0"/>
        <v>0.36906976744186054</v>
      </c>
    </row>
    <row r="51" spans="1:4">
      <c r="A51" t="s">
        <v>105</v>
      </c>
      <c r="B51">
        <v>31</v>
      </c>
      <c r="C51" s="10">
        <v>0.23</v>
      </c>
      <c r="D51">
        <f t="shared" si="0"/>
        <v>0.36906976744186054</v>
      </c>
    </row>
    <row r="52" spans="1:4">
      <c r="A52" t="s">
        <v>106</v>
      </c>
      <c r="B52">
        <v>31</v>
      </c>
      <c r="C52" s="10">
        <v>0.23</v>
      </c>
      <c r="D52">
        <f t="shared" si="0"/>
        <v>0.36906976744186054</v>
      </c>
    </row>
    <row r="53" spans="1:4">
      <c r="A53" t="s">
        <v>107</v>
      </c>
      <c r="B53">
        <v>31</v>
      </c>
      <c r="C53" s="10">
        <v>0.23</v>
      </c>
      <c r="D53">
        <f t="shared" si="0"/>
        <v>0.36906976744186054</v>
      </c>
    </row>
    <row r="54" spans="1:4">
      <c r="A54" t="s">
        <v>108</v>
      </c>
      <c r="B54">
        <v>31</v>
      </c>
      <c r="C54" s="10">
        <v>0.23</v>
      </c>
      <c r="D54">
        <f t="shared" si="0"/>
        <v>0.36906976744186054</v>
      </c>
    </row>
    <row r="55" spans="1:4">
      <c r="A55" t="s">
        <v>109</v>
      </c>
      <c r="B55">
        <v>31</v>
      </c>
      <c r="C55" s="10">
        <v>0.31</v>
      </c>
      <c r="D55">
        <f t="shared" si="0"/>
        <v>0.49744186046511629</v>
      </c>
    </row>
    <row r="56" spans="1:4">
      <c r="A56" t="s">
        <v>110</v>
      </c>
      <c r="B56">
        <v>31</v>
      </c>
      <c r="C56" s="10">
        <v>0.52</v>
      </c>
      <c r="D56">
        <f t="shared" si="0"/>
        <v>0.83441860465116291</v>
      </c>
    </row>
    <row r="57" spans="1:4">
      <c r="A57" t="s">
        <v>111</v>
      </c>
      <c r="B57">
        <v>31</v>
      </c>
      <c r="C57" s="10">
        <v>0.52</v>
      </c>
      <c r="D57">
        <f t="shared" si="0"/>
        <v>0.83441860465116291</v>
      </c>
    </row>
    <row r="58" spans="1:4">
      <c r="A58" t="s">
        <v>112</v>
      </c>
      <c r="B58">
        <v>31</v>
      </c>
      <c r="C58" s="10">
        <v>0.52</v>
      </c>
      <c r="D58">
        <f t="shared" si="0"/>
        <v>0.83441860465116291</v>
      </c>
    </row>
    <row r="59" spans="1:4">
      <c r="A59" t="s">
        <v>113</v>
      </c>
      <c r="B59">
        <v>31</v>
      </c>
      <c r="C59" s="10">
        <v>0.31</v>
      </c>
      <c r="D59">
        <f t="shared" si="0"/>
        <v>0.49744186046511629</v>
      </c>
    </row>
    <row r="60" spans="1:4">
      <c r="A60" t="s">
        <v>114</v>
      </c>
      <c r="B60">
        <v>31</v>
      </c>
      <c r="C60" s="10">
        <v>0.31</v>
      </c>
      <c r="D60">
        <f t="shared" si="0"/>
        <v>0.49744186046511629</v>
      </c>
    </row>
    <row r="61" spans="1:4">
      <c r="A61" t="s">
        <v>115</v>
      </c>
      <c r="B61">
        <v>31</v>
      </c>
      <c r="C61" s="10">
        <v>0.31</v>
      </c>
      <c r="D61">
        <f t="shared" si="0"/>
        <v>0.49744186046511629</v>
      </c>
    </row>
    <row r="62" spans="1:4">
      <c r="A62" t="s">
        <v>116</v>
      </c>
      <c r="B62">
        <v>31</v>
      </c>
      <c r="C62" s="10">
        <v>0.31</v>
      </c>
      <c r="D62">
        <f t="shared" si="0"/>
        <v>0.49744186046511629</v>
      </c>
    </row>
    <row r="63" spans="1:4">
      <c r="A63" t="s">
        <v>117</v>
      </c>
      <c r="B63">
        <v>31</v>
      </c>
      <c r="C63" s="10">
        <v>0.31</v>
      </c>
      <c r="D63">
        <f t="shared" si="0"/>
        <v>0.49744186046511629</v>
      </c>
    </row>
    <row r="64" spans="1:4">
      <c r="A64" t="s">
        <v>118</v>
      </c>
      <c r="B64">
        <v>31</v>
      </c>
      <c r="C64" s="10">
        <v>0.31</v>
      </c>
      <c r="D64">
        <f t="shared" si="0"/>
        <v>0.49744186046511629</v>
      </c>
    </row>
    <row r="65" spans="1:4">
      <c r="A65" t="s">
        <v>119</v>
      </c>
      <c r="B65">
        <v>31</v>
      </c>
      <c r="C65" s="10">
        <v>0.31</v>
      </c>
      <c r="D65">
        <f t="shared" si="0"/>
        <v>0.49744186046511629</v>
      </c>
    </row>
    <row r="66" spans="1:4">
      <c r="A66" t="s">
        <v>120</v>
      </c>
      <c r="B66">
        <v>31</v>
      </c>
      <c r="C66" s="10">
        <v>0.31</v>
      </c>
      <c r="D66">
        <f t="shared" ref="D66:D129" si="1">($O$2*C66)/100</f>
        <v>0.49744186046511629</v>
      </c>
    </row>
    <row r="67" spans="1:4">
      <c r="A67" t="s">
        <v>121</v>
      </c>
      <c r="B67">
        <v>31</v>
      </c>
      <c r="C67" s="10">
        <v>0.51</v>
      </c>
      <c r="D67">
        <f t="shared" si="1"/>
        <v>0.81837209302325586</v>
      </c>
    </row>
    <row r="68" spans="1:4">
      <c r="A68" t="s">
        <v>122</v>
      </c>
      <c r="B68">
        <v>31</v>
      </c>
      <c r="C68" s="10">
        <v>0.52</v>
      </c>
      <c r="D68">
        <f t="shared" si="1"/>
        <v>0.83441860465116291</v>
      </c>
    </row>
    <row r="69" spans="1:4">
      <c r="A69" t="s">
        <v>123</v>
      </c>
      <c r="B69">
        <v>31</v>
      </c>
      <c r="C69" s="10">
        <v>0.51</v>
      </c>
      <c r="D69">
        <f t="shared" si="1"/>
        <v>0.81837209302325586</v>
      </c>
    </row>
    <row r="70" spans="1:4">
      <c r="A70" t="s">
        <v>124</v>
      </c>
      <c r="B70">
        <v>31</v>
      </c>
      <c r="C70" s="10">
        <v>0.52</v>
      </c>
      <c r="D70">
        <f t="shared" si="1"/>
        <v>0.83441860465116291</v>
      </c>
    </row>
    <row r="71" spans="1:4">
      <c r="A71" t="s">
        <v>125</v>
      </c>
      <c r="B71">
        <v>31</v>
      </c>
      <c r="C71" s="10">
        <v>0.31</v>
      </c>
      <c r="D71">
        <f t="shared" si="1"/>
        <v>0.49744186046511629</v>
      </c>
    </row>
    <row r="72" spans="1:4">
      <c r="A72" t="s">
        <v>126</v>
      </c>
      <c r="B72">
        <v>31</v>
      </c>
      <c r="C72" s="10">
        <v>0.31</v>
      </c>
      <c r="D72">
        <f t="shared" si="1"/>
        <v>0.49744186046511629</v>
      </c>
    </row>
    <row r="73" spans="1:4">
      <c r="A73" t="s">
        <v>127</v>
      </c>
      <c r="B73">
        <v>31</v>
      </c>
      <c r="C73" s="10">
        <v>0.31</v>
      </c>
      <c r="D73">
        <f t="shared" si="1"/>
        <v>0.49744186046511629</v>
      </c>
    </row>
    <row r="74" spans="1:4">
      <c r="A74" t="s">
        <v>128</v>
      </c>
      <c r="B74">
        <v>30</v>
      </c>
      <c r="C74" s="10">
        <v>0.23</v>
      </c>
      <c r="D74">
        <f t="shared" si="1"/>
        <v>0.36906976744186054</v>
      </c>
    </row>
    <row r="75" spans="1:4">
      <c r="A75" t="s">
        <v>129</v>
      </c>
      <c r="B75">
        <v>30</v>
      </c>
      <c r="C75" s="10">
        <v>0.23</v>
      </c>
      <c r="D75">
        <f t="shared" si="1"/>
        <v>0.36906976744186054</v>
      </c>
    </row>
    <row r="76" spans="1:4">
      <c r="A76" t="s">
        <v>130</v>
      </c>
      <c r="B76">
        <v>30</v>
      </c>
      <c r="C76" s="10">
        <v>0.23</v>
      </c>
      <c r="D76">
        <f t="shared" si="1"/>
        <v>0.36906976744186054</v>
      </c>
    </row>
    <row r="77" spans="1:4">
      <c r="A77" t="s">
        <v>131</v>
      </c>
      <c r="B77">
        <v>30</v>
      </c>
      <c r="C77" s="10">
        <v>0.23</v>
      </c>
      <c r="D77">
        <f t="shared" si="1"/>
        <v>0.36906976744186054</v>
      </c>
    </row>
    <row r="78" spans="1:4">
      <c r="A78" t="s">
        <v>132</v>
      </c>
      <c r="B78">
        <v>30</v>
      </c>
      <c r="C78" s="10">
        <v>0.23</v>
      </c>
      <c r="D78">
        <f t="shared" si="1"/>
        <v>0.36906976744186054</v>
      </c>
    </row>
    <row r="79" spans="1:4">
      <c r="A79" t="s">
        <v>133</v>
      </c>
      <c r="B79">
        <v>30</v>
      </c>
      <c r="C79" s="10">
        <v>0.31</v>
      </c>
      <c r="D79">
        <f t="shared" si="1"/>
        <v>0.49744186046511629</v>
      </c>
    </row>
    <row r="80" spans="1:4">
      <c r="A80" t="s">
        <v>134</v>
      </c>
      <c r="B80">
        <v>30</v>
      </c>
      <c r="C80" s="10">
        <v>0.51</v>
      </c>
      <c r="D80">
        <f t="shared" si="1"/>
        <v>0.81837209302325586</v>
      </c>
    </row>
    <row r="81" spans="1:4">
      <c r="A81" t="s">
        <v>135</v>
      </c>
      <c r="B81">
        <v>30</v>
      </c>
      <c r="C81" s="10">
        <v>0.51</v>
      </c>
      <c r="D81">
        <f t="shared" si="1"/>
        <v>0.81837209302325586</v>
      </c>
    </row>
    <row r="82" spans="1:4">
      <c r="A82" t="s">
        <v>136</v>
      </c>
      <c r="B82">
        <v>30</v>
      </c>
      <c r="C82" s="10">
        <v>0.51</v>
      </c>
      <c r="D82">
        <f t="shared" si="1"/>
        <v>0.81837209302325586</v>
      </c>
    </row>
    <row r="83" spans="1:4">
      <c r="A83" t="s">
        <v>137</v>
      </c>
      <c r="B83">
        <v>30</v>
      </c>
      <c r="C83" s="10">
        <v>0.31</v>
      </c>
      <c r="D83">
        <f t="shared" si="1"/>
        <v>0.49744186046511629</v>
      </c>
    </row>
    <row r="84" spans="1:4">
      <c r="A84" t="s">
        <v>138</v>
      </c>
      <c r="B84">
        <v>30</v>
      </c>
      <c r="C84" s="10">
        <v>0.31</v>
      </c>
      <c r="D84">
        <f t="shared" si="1"/>
        <v>0.49744186046511629</v>
      </c>
    </row>
    <row r="85" spans="1:4">
      <c r="A85" t="s">
        <v>139</v>
      </c>
      <c r="B85">
        <v>30</v>
      </c>
      <c r="C85" s="10">
        <v>0.31</v>
      </c>
      <c r="D85">
        <f t="shared" si="1"/>
        <v>0.49744186046511629</v>
      </c>
    </row>
    <row r="86" spans="1:4">
      <c r="A86" t="s">
        <v>140</v>
      </c>
      <c r="B86">
        <v>30</v>
      </c>
      <c r="C86" s="10">
        <v>0.31</v>
      </c>
      <c r="D86">
        <f t="shared" si="1"/>
        <v>0.49744186046511629</v>
      </c>
    </row>
    <row r="87" spans="1:4">
      <c r="A87" t="s">
        <v>141</v>
      </c>
      <c r="B87">
        <v>30</v>
      </c>
      <c r="C87" s="10">
        <v>0.31</v>
      </c>
      <c r="D87">
        <f t="shared" si="1"/>
        <v>0.49744186046511629</v>
      </c>
    </row>
    <row r="88" spans="1:4">
      <c r="A88" t="s">
        <v>142</v>
      </c>
      <c r="B88">
        <v>30</v>
      </c>
      <c r="C88" s="10">
        <v>0.31</v>
      </c>
      <c r="D88">
        <f t="shared" si="1"/>
        <v>0.49744186046511629</v>
      </c>
    </row>
    <row r="89" spans="1:4">
      <c r="A89" t="s">
        <v>143</v>
      </c>
      <c r="B89">
        <v>30</v>
      </c>
      <c r="C89" s="10">
        <v>0.52</v>
      </c>
      <c r="D89">
        <f t="shared" si="1"/>
        <v>0.83441860465116291</v>
      </c>
    </row>
    <row r="90" spans="1:4">
      <c r="A90" t="s">
        <v>144</v>
      </c>
      <c r="B90">
        <v>30</v>
      </c>
      <c r="C90" s="10">
        <v>0.52</v>
      </c>
      <c r="D90">
        <f t="shared" si="1"/>
        <v>0.83441860465116291</v>
      </c>
    </row>
    <row r="91" spans="1:4">
      <c r="A91" t="s">
        <v>145</v>
      </c>
      <c r="B91">
        <v>30</v>
      </c>
      <c r="C91" s="10">
        <v>0.31</v>
      </c>
      <c r="D91">
        <f t="shared" si="1"/>
        <v>0.49744186046511629</v>
      </c>
    </row>
    <row r="92" spans="1:4">
      <c r="A92" t="s">
        <v>146</v>
      </c>
      <c r="B92">
        <v>30</v>
      </c>
      <c r="C92" s="10">
        <v>0.31</v>
      </c>
      <c r="D92">
        <f t="shared" si="1"/>
        <v>0.49744186046511629</v>
      </c>
    </row>
    <row r="93" spans="1:4">
      <c r="A93" t="s">
        <v>147</v>
      </c>
      <c r="B93">
        <v>30</v>
      </c>
      <c r="C93" s="10">
        <v>0.51</v>
      </c>
      <c r="D93">
        <f t="shared" si="1"/>
        <v>0.81837209302325586</v>
      </c>
    </row>
    <row r="94" spans="1:4">
      <c r="A94" t="s">
        <v>148</v>
      </c>
      <c r="B94">
        <v>30</v>
      </c>
      <c r="C94" s="10">
        <v>0.51</v>
      </c>
      <c r="D94">
        <f t="shared" si="1"/>
        <v>0.81837209302325586</v>
      </c>
    </row>
    <row r="95" spans="1:4">
      <c r="A95" t="s">
        <v>149</v>
      </c>
      <c r="B95">
        <v>30</v>
      </c>
      <c r="C95" s="10">
        <v>0.31</v>
      </c>
      <c r="D95">
        <f t="shared" si="1"/>
        <v>0.49744186046511629</v>
      </c>
    </row>
    <row r="96" spans="1:4">
      <c r="A96" t="s">
        <v>150</v>
      </c>
      <c r="B96">
        <v>30</v>
      </c>
      <c r="C96" s="10">
        <v>0.31</v>
      </c>
      <c r="D96">
        <f t="shared" si="1"/>
        <v>0.49744186046511629</v>
      </c>
    </row>
    <row r="97" spans="1:4">
      <c r="A97" t="s">
        <v>151</v>
      </c>
      <c r="B97">
        <v>30</v>
      </c>
      <c r="C97" s="10">
        <v>0.31</v>
      </c>
      <c r="D97">
        <f t="shared" si="1"/>
        <v>0.49744186046511629</v>
      </c>
    </row>
    <row r="98" spans="1:4">
      <c r="A98" t="s">
        <v>152</v>
      </c>
      <c r="B98">
        <v>31</v>
      </c>
      <c r="C98" s="10">
        <v>0.24</v>
      </c>
      <c r="D98">
        <f t="shared" si="1"/>
        <v>0.38511627906976742</v>
      </c>
    </row>
    <row r="99" spans="1:4">
      <c r="A99" t="s">
        <v>153</v>
      </c>
      <c r="B99">
        <v>31</v>
      </c>
      <c r="C99" s="10">
        <v>0.23</v>
      </c>
      <c r="D99">
        <f t="shared" si="1"/>
        <v>0.36906976744186054</v>
      </c>
    </row>
    <row r="100" spans="1:4">
      <c r="A100" t="s">
        <v>154</v>
      </c>
      <c r="B100">
        <v>31</v>
      </c>
      <c r="C100" s="10">
        <v>0.23</v>
      </c>
      <c r="D100">
        <f t="shared" si="1"/>
        <v>0.36906976744186054</v>
      </c>
    </row>
    <row r="101" spans="1:4">
      <c r="A101" t="s">
        <v>155</v>
      </c>
      <c r="B101">
        <v>31</v>
      </c>
      <c r="C101" s="10">
        <v>0.23</v>
      </c>
      <c r="D101">
        <f t="shared" si="1"/>
        <v>0.36906976744186054</v>
      </c>
    </row>
    <row r="102" spans="1:4">
      <c r="A102" t="s">
        <v>156</v>
      </c>
      <c r="B102">
        <v>31</v>
      </c>
      <c r="C102" s="10">
        <v>0.23</v>
      </c>
      <c r="D102">
        <f t="shared" si="1"/>
        <v>0.36906976744186054</v>
      </c>
    </row>
    <row r="103" spans="1:4">
      <c r="A103" t="s">
        <v>157</v>
      </c>
      <c r="B103">
        <v>31</v>
      </c>
      <c r="C103" s="10">
        <v>0.31</v>
      </c>
      <c r="D103">
        <f t="shared" si="1"/>
        <v>0.49744186046511629</v>
      </c>
    </row>
    <row r="104" spans="1:4">
      <c r="A104" t="s">
        <v>158</v>
      </c>
      <c r="B104">
        <v>31</v>
      </c>
      <c r="C104" s="10">
        <v>0.52</v>
      </c>
      <c r="D104">
        <f t="shared" si="1"/>
        <v>0.83441860465116291</v>
      </c>
    </row>
    <row r="105" spans="1:4">
      <c r="A105" t="s">
        <v>159</v>
      </c>
      <c r="B105">
        <v>31</v>
      </c>
      <c r="C105" s="10">
        <v>0.52</v>
      </c>
      <c r="D105">
        <f t="shared" si="1"/>
        <v>0.83441860465116291</v>
      </c>
    </row>
    <row r="106" spans="1:4">
      <c r="A106" t="s">
        <v>160</v>
      </c>
      <c r="B106">
        <v>31</v>
      </c>
      <c r="C106" s="10">
        <v>0.52</v>
      </c>
      <c r="D106">
        <f t="shared" si="1"/>
        <v>0.83441860465116291</v>
      </c>
    </row>
    <row r="107" spans="1:4">
      <c r="A107" t="s">
        <v>161</v>
      </c>
      <c r="B107">
        <v>31</v>
      </c>
      <c r="C107" s="10">
        <v>0.31</v>
      </c>
      <c r="D107">
        <f t="shared" si="1"/>
        <v>0.49744186046511629</v>
      </c>
    </row>
    <row r="108" spans="1:4">
      <c r="A108" t="s">
        <v>162</v>
      </c>
      <c r="B108">
        <v>31</v>
      </c>
      <c r="C108" s="10">
        <v>0.31</v>
      </c>
      <c r="D108">
        <f t="shared" si="1"/>
        <v>0.49744186046511629</v>
      </c>
    </row>
    <row r="109" spans="1:4">
      <c r="A109" t="s">
        <v>163</v>
      </c>
      <c r="B109">
        <v>31</v>
      </c>
      <c r="C109" s="10">
        <v>0.31</v>
      </c>
      <c r="D109">
        <f t="shared" si="1"/>
        <v>0.49744186046511629</v>
      </c>
    </row>
    <row r="110" spans="1:4">
      <c r="A110" t="s">
        <v>164</v>
      </c>
      <c r="B110">
        <v>31</v>
      </c>
      <c r="C110" s="10">
        <v>0.31</v>
      </c>
      <c r="D110">
        <f t="shared" si="1"/>
        <v>0.49744186046511629</v>
      </c>
    </row>
    <row r="111" spans="1:4">
      <c r="A111" t="s">
        <v>165</v>
      </c>
      <c r="B111">
        <v>31</v>
      </c>
      <c r="C111" s="10">
        <v>0.31</v>
      </c>
      <c r="D111">
        <f t="shared" si="1"/>
        <v>0.49744186046511629</v>
      </c>
    </row>
    <row r="112" spans="1:4">
      <c r="A112" t="s">
        <v>166</v>
      </c>
      <c r="B112">
        <v>31</v>
      </c>
      <c r="C112" s="10">
        <v>0.31</v>
      </c>
      <c r="D112">
        <f t="shared" si="1"/>
        <v>0.49744186046511629</v>
      </c>
    </row>
    <row r="113" spans="1:4">
      <c r="A113" t="s">
        <v>167</v>
      </c>
      <c r="B113">
        <v>31</v>
      </c>
      <c r="C113" s="10">
        <v>0.31</v>
      </c>
      <c r="D113">
        <f t="shared" si="1"/>
        <v>0.49744186046511629</v>
      </c>
    </row>
    <row r="114" spans="1:4">
      <c r="A114" t="s">
        <v>168</v>
      </c>
      <c r="B114">
        <v>31</v>
      </c>
      <c r="C114" s="10">
        <v>0.31</v>
      </c>
      <c r="D114">
        <f t="shared" si="1"/>
        <v>0.49744186046511629</v>
      </c>
    </row>
    <row r="115" spans="1:4">
      <c r="A115" t="s">
        <v>169</v>
      </c>
      <c r="B115">
        <v>31</v>
      </c>
      <c r="C115" s="10">
        <v>0.52</v>
      </c>
      <c r="D115">
        <f t="shared" si="1"/>
        <v>0.83441860465116291</v>
      </c>
    </row>
    <row r="116" spans="1:4">
      <c r="A116" t="s">
        <v>170</v>
      </c>
      <c r="B116">
        <v>31</v>
      </c>
      <c r="C116" s="10">
        <v>0.52</v>
      </c>
      <c r="D116">
        <f t="shared" si="1"/>
        <v>0.83441860465116291</v>
      </c>
    </row>
    <row r="117" spans="1:4">
      <c r="A117" t="s">
        <v>171</v>
      </c>
      <c r="B117">
        <v>31</v>
      </c>
      <c r="C117" s="10">
        <v>0.52</v>
      </c>
      <c r="D117">
        <f t="shared" si="1"/>
        <v>0.83441860465116291</v>
      </c>
    </row>
    <row r="118" spans="1:4">
      <c r="A118" t="s">
        <v>172</v>
      </c>
      <c r="B118">
        <v>31</v>
      </c>
      <c r="C118" s="10">
        <v>0.52</v>
      </c>
      <c r="D118">
        <f t="shared" si="1"/>
        <v>0.83441860465116291</v>
      </c>
    </row>
    <row r="119" spans="1:4">
      <c r="A119" t="s">
        <v>173</v>
      </c>
      <c r="B119">
        <v>31</v>
      </c>
      <c r="C119" s="10">
        <v>0.31</v>
      </c>
      <c r="D119">
        <f t="shared" si="1"/>
        <v>0.49744186046511629</v>
      </c>
    </row>
    <row r="120" spans="1:4">
      <c r="A120" t="s">
        <v>174</v>
      </c>
      <c r="B120">
        <v>31</v>
      </c>
      <c r="C120" s="10">
        <v>0.31</v>
      </c>
      <c r="D120">
        <f t="shared" si="1"/>
        <v>0.49744186046511629</v>
      </c>
    </row>
    <row r="121" spans="1:4">
      <c r="A121" t="s">
        <v>175</v>
      </c>
      <c r="B121">
        <v>31</v>
      </c>
      <c r="C121" s="10">
        <v>0.23</v>
      </c>
      <c r="D121">
        <f t="shared" si="1"/>
        <v>0.36906976744186054</v>
      </c>
    </row>
    <row r="122" spans="1:4">
      <c r="A122" t="s">
        <v>176</v>
      </c>
      <c r="B122">
        <v>30</v>
      </c>
      <c r="C122" s="10">
        <v>0.23</v>
      </c>
      <c r="D122">
        <f t="shared" si="1"/>
        <v>0.36906976744186054</v>
      </c>
    </row>
    <row r="123" spans="1:4">
      <c r="A123" t="s">
        <v>177</v>
      </c>
      <c r="B123">
        <v>30</v>
      </c>
      <c r="C123" s="10">
        <v>0.24</v>
      </c>
      <c r="D123">
        <f t="shared" si="1"/>
        <v>0.38511627906976742</v>
      </c>
    </row>
    <row r="124" spans="1:4">
      <c r="A124" t="s">
        <v>178</v>
      </c>
      <c r="B124">
        <v>30</v>
      </c>
      <c r="C124" s="10">
        <v>0.24</v>
      </c>
      <c r="D124">
        <f t="shared" si="1"/>
        <v>0.38511627906976742</v>
      </c>
    </row>
    <row r="125" spans="1:4">
      <c r="A125" t="s">
        <v>179</v>
      </c>
      <c r="B125">
        <v>30</v>
      </c>
      <c r="C125" s="10">
        <v>0.24</v>
      </c>
      <c r="D125">
        <f t="shared" si="1"/>
        <v>0.38511627906976742</v>
      </c>
    </row>
    <row r="126" spans="1:4">
      <c r="A126" t="s">
        <v>180</v>
      </c>
      <c r="B126">
        <v>30</v>
      </c>
      <c r="C126" s="10">
        <v>0.31</v>
      </c>
      <c r="D126">
        <f t="shared" si="1"/>
        <v>0.49744186046511629</v>
      </c>
    </row>
    <row r="127" spans="1:4">
      <c r="A127" t="s">
        <v>181</v>
      </c>
      <c r="B127">
        <v>30</v>
      </c>
      <c r="C127" s="10">
        <v>0.51</v>
      </c>
      <c r="D127">
        <f t="shared" si="1"/>
        <v>0.81837209302325586</v>
      </c>
    </row>
    <row r="128" spans="1:4">
      <c r="A128" t="s">
        <v>182</v>
      </c>
      <c r="B128">
        <v>30</v>
      </c>
      <c r="C128" s="10">
        <v>0.52</v>
      </c>
      <c r="D128">
        <f t="shared" si="1"/>
        <v>0.83441860465116291</v>
      </c>
    </row>
    <row r="129" spans="1:4">
      <c r="A129" t="s">
        <v>183</v>
      </c>
      <c r="B129">
        <v>30</v>
      </c>
      <c r="C129" s="10">
        <v>0.51</v>
      </c>
      <c r="D129">
        <f t="shared" si="1"/>
        <v>0.81837209302325586</v>
      </c>
    </row>
    <row r="130" spans="1:4">
      <c r="A130" t="s">
        <v>184</v>
      </c>
      <c r="B130">
        <v>30</v>
      </c>
      <c r="C130" s="10">
        <v>0.31</v>
      </c>
      <c r="D130">
        <f t="shared" ref="D130:D193" si="2">($O$2*C130)/100</f>
        <v>0.49744186046511629</v>
      </c>
    </row>
    <row r="131" spans="1:4">
      <c r="A131" t="s">
        <v>185</v>
      </c>
      <c r="B131">
        <v>30</v>
      </c>
      <c r="C131" s="10">
        <v>0.31</v>
      </c>
      <c r="D131">
        <f t="shared" si="2"/>
        <v>0.49744186046511629</v>
      </c>
    </row>
    <row r="132" spans="1:4">
      <c r="A132" t="s">
        <v>186</v>
      </c>
      <c r="B132">
        <v>30</v>
      </c>
      <c r="C132" s="10">
        <v>0.31</v>
      </c>
      <c r="D132">
        <f t="shared" si="2"/>
        <v>0.49744186046511629</v>
      </c>
    </row>
    <row r="133" spans="1:4">
      <c r="A133" t="s">
        <v>187</v>
      </c>
      <c r="B133">
        <v>30</v>
      </c>
      <c r="C133" s="10">
        <v>0.31</v>
      </c>
      <c r="D133">
        <f t="shared" si="2"/>
        <v>0.49744186046511629</v>
      </c>
    </row>
    <row r="134" spans="1:4">
      <c r="A134" t="s">
        <v>188</v>
      </c>
      <c r="B134">
        <v>30</v>
      </c>
      <c r="C134" s="10">
        <v>0.3</v>
      </c>
      <c r="D134">
        <f t="shared" si="2"/>
        <v>0.48139534883720936</v>
      </c>
    </row>
    <row r="135" spans="1:4">
      <c r="A135" t="s">
        <v>189</v>
      </c>
      <c r="B135">
        <v>30</v>
      </c>
      <c r="C135" s="10">
        <v>0.31</v>
      </c>
      <c r="D135">
        <f t="shared" si="2"/>
        <v>0.49744186046511629</v>
      </c>
    </row>
    <row r="136" spans="1:4">
      <c r="A136" t="s">
        <v>190</v>
      </c>
      <c r="B136">
        <v>30</v>
      </c>
      <c r="C136" s="10">
        <v>0.31</v>
      </c>
      <c r="D136">
        <f t="shared" si="2"/>
        <v>0.49744186046511629</v>
      </c>
    </row>
    <row r="137" spans="1:4">
      <c r="A137" t="s">
        <v>191</v>
      </c>
      <c r="B137">
        <v>30</v>
      </c>
      <c r="C137" s="10">
        <v>0.31</v>
      </c>
      <c r="D137">
        <f t="shared" si="2"/>
        <v>0.49744186046511629</v>
      </c>
    </row>
    <row r="138" spans="1:4">
      <c r="A138" t="s">
        <v>192</v>
      </c>
      <c r="B138">
        <v>30</v>
      </c>
      <c r="C138" s="10">
        <v>0.52</v>
      </c>
      <c r="D138">
        <f t="shared" si="2"/>
        <v>0.83441860465116291</v>
      </c>
    </row>
    <row r="139" spans="1:4">
      <c r="A139" t="s">
        <v>193</v>
      </c>
      <c r="B139">
        <v>30</v>
      </c>
      <c r="C139" s="10">
        <v>0.51</v>
      </c>
      <c r="D139">
        <f t="shared" si="2"/>
        <v>0.81837209302325586</v>
      </c>
    </row>
    <row r="140" spans="1:4">
      <c r="A140" t="s">
        <v>194</v>
      </c>
      <c r="B140">
        <v>30</v>
      </c>
      <c r="C140" s="10">
        <v>0.52</v>
      </c>
      <c r="D140">
        <f t="shared" si="2"/>
        <v>0.83441860465116291</v>
      </c>
    </row>
    <row r="141" spans="1:4">
      <c r="A141" t="s">
        <v>195</v>
      </c>
      <c r="B141">
        <v>30</v>
      </c>
      <c r="C141" s="10">
        <v>0.51</v>
      </c>
      <c r="D141">
        <f t="shared" si="2"/>
        <v>0.81837209302325586</v>
      </c>
    </row>
    <row r="142" spans="1:4">
      <c r="A142" t="s">
        <v>196</v>
      </c>
      <c r="B142">
        <v>30</v>
      </c>
      <c r="C142" s="10">
        <v>0.31</v>
      </c>
      <c r="D142">
        <f t="shared" si="2"/>
        <v>0.49744186046511629</v>
      </c>
    </row>
    <row r="143" spans="1:4">
      <c r="A143" t="s">
        <v>197</v>
      </c>
      <c r="B143">
        <v>30</v>
      </c>
      <c r="C143" s="10">
        <v>0.31</v>
      </c>
      <c r="D143">
        <f t="shared" si="2"/>
        <v>0.49744186046511629</v>
      </c>
    </row>
    <row r="144" spans="1:4">
      <c r="A144" t="s">
        <v>198</v>
      </c>
      <c r="B144">
        <v>30</v>
      </c>
      <c r="C144" s="10">
        <v>0.31</v>
      </c>
      <c r="D144">
        <f t="shared" si="2"/>
        <v>0.49744186046511629</v>
      </c>
    </row>
    <row r="145" spans="1:4">
      <c r="A145" t="s">
        <v>199</v>
      </c>
      <c r="B145">
        <v>30</v>
      </c>
      <c r="C145" s="10">
        <v>0.23</v>
      </c>
      <c r="D145">
        <f t="shared" si="2"/>
        <v>0.36906976744186054</v>
      </c>
    </row>
    <row r="146" spans="1:4">
      <c r="A146" t="s">
        <v>200</v>
      </c>
      <c r="B146">
        <v>31</v>
      </c>
      <c r="C146" s="10">
        <v>0.23</v>
      </c>
      <c r="D146">
        <f t="shared" si="2"/>
        <v>0.36906976744186054</v>
      </c>
    </row>
    <row r="147" spans="1:4">
      <c r="A147" t="s">
        <v>201</v>
      </c>
      <c r="B147">
        <v>31</v>
      </c>
      <c r="C147" s="10">
        <v>0.23</v>
      </c>
      <c r="D147">
        <f t="shared" si="2"/>
        <v>0.36906976744186054</v>
      </c>
    </row>
    <row r="148" spans="1:4">
      <c r="A148" t="s">
        <v>202</v>
      </c>
      <c r="B148">
        <v>31</v>
      </c>
      <c r="C148" s="10">
        <v>0.24</v>
      </c>
      <c r="D148">
        <f t="shared" si="2"/>
        <v>0.38511627906976742</v>
      </c>
    </row>
    <row r="149" spans="1:4">
      <c r="A149" t="s">
        <v>203</v>
      </c>
      <c r="B149">
        <v>31</v>
      </c>
      <c r="C149" s="10">
        <v>0.23</v>
      </c>
      <c r="D149">
        <f t="shared" si="2"/>
        <v>0.36906976744186054</v>
      </c>
    </row>
    <row r="150" spans="1:4">
      <c r="A150" t="s">
        <v>204</v>
      </c>
      <c r="B150">
        <v>31</v>
      </c>
      <c r="C150" s="10">
        <v>0.31</v>
      </c>
      <c r="D150">
        <f t="shared" si="2"/>
        <v>0.49744186046511629</v>
      </c>
    </row>
    <row r="151" spans="1:4">
      <c r="A151" t="s">
        <v>205</v>
      </c>
      <c r="B151">
        <v>31</v>
      </c>
      <c r="C151" s="10">
        <v>0.52</v>
      </c>
      <c r="D151">
        <f t="shared" si="2"/>
        <v>0.83441860465116291</v>
      </c>
    </row>
    <row r="152" spans="1:4">
      <c r="A152" t="s">
        <v>206</v>
      </c>
      <c r="B152">
        <v>31</v>
      </c>
      <c r="C152" s="10">
        <v>0.52</v>
      </c>
      <c r="D152">
        <f t="shared" si="2"/>
        <v>0.83441860465116291</v>
      </c>
    </row>
    <row r="153" spans="1:4">
      <c r="A153" t="s">
        <v>207</v>
      </c>
      <c r="B153">
        <v>31</v>
      </c>
      <c r="C153" s="10">
        <v>0.52</v>
      </c>
      <c r="D153">
        <f t="shared" si="2"/>
        <v>0.83441860465116291</v>
      </c>
    </row>
    <row r="154" spans="1:4">
      <c r="A154" t="s">
        <v>208</v>
      </c>
      <c r="B154">
        <v>31</v>
      </c>
      <c r="C154" s="10">
        <v>0.31</v>
      </c>
      <c r="D154">
        <f t="shared" si="2"/>
        <v>0.49744186046511629</v>
      </c>
    </row>
    <row r="155" spans="1:4">
      <c r="A155" t="s">
        <v>209</v>
      </c>
      <c r="B155">
        <v>31</v>
      </c>
      <c r="C155" s="10">
        <v>0.31</v>
      </c>
      <c r="D155">
        <f t="shared" si="2"/>
        <v>0.49744186046511629</v>
      </c>
    </row>
    <row r="156" spans="1:4">
      <c r="A156" t="s">
        <v>210</v>
      </c>
      <c r="B156">
        <v>31</v>
      </c>
      <c r="C156" s="10">
        <v>0.31</v>
      </c>
      <c r="D156">
        <f t="shared" si="2"/>
        <v>0.49744186046511629</v>
      </c>
    </row>
    <row r="157" spans="1:4">
      <c r="A157" t="s">
        <v>211</v>
      </c>
      <c r="B157">
        <v>31</v>
      </c>
      <c r="C157" s="10">
        <v>0.31</v>
      </c>
      <c r="D157">
        <f t="shared" si="2"/>
        <v>0.49744186046511629</v>
      </c>
    </row>
    <row r="158" spans="1:4">
      <c r="A158" t="s">
        <v>212</v>
      </c>
      <c r="B158">
        <v>31</v>
      </c>
      <c r="C158" s="10">
        <v>0.31</v>
      </c>
      <c r="D158">
        <f t="shared" si="2"/>
        <v>0.49744186046511629</v>
      </c>
    </row>
    <row r="159" spans="1:4">
      <c r="A159" t="s">
        <v>213</v>
      </c>
      <c r="B159">
        <v>31</v>
      </c>
      <c r="C159" s="10">
        <v>0.31</v>
      </c>
      <c r="D159">
        <f t="shared" si="2"/>
        <v>0.49744186046511629</v>
      </c>
    </row>
    <row r="160" spans="1:4">
      <c r="A160" t="s">
        <v>214</v>
      </c>
      <c r="B160">
        <v>31</v>
      </c>
      <c r="C160" s="10">
        <v>0.31</v>
      </c>
      <c r="D160">
        <f t="shared" si="2"/>
        <v>0.49744186046511629</v>
      </c>
    </row>
    <row r="161" spans="1:4">
      <c r="A161" t="s">
        <v>215</v>
      </c>
      <c r="B161">
        <v>31</v>
      </c>
      <c r="C161" s="10">
        <v>0.52</v>
      </c>
      <c r="D161">
        <f t="shared" si="2"/>
        <v>0.83441860465116291</v>
      </c>
    </row>
    <row r="162" spans="1:4">
      <c r="A162" t="s">
        <v>216</v>
      </c>
      <c r="B162">
        <v>31</v>
      </c>
      <c r="C162" s="10">
        <v>0.52</v>
      </c>
      <c r="D162">
        <f t="shared" si="2"/>
        <v>0.83441860465116291</v>
      </c>
    </row>
    <row r="163" spans="1:4">
      <c r="A163" t="s">
        <v>217</v>
      </c>
      <c r="B163">
        <v>31</v>
      </c>
      <c r="C163" s="10">
        <v>0.52</v>
      </c>
      <c r="D163">
        <f t="shared" si="2"/>
        <v>0.83441860465116291</v>
      </c>
    </row>
    <row r="164" spans="1:4">
      <c r="A164" t="s">
        <v>218</v>
      </c>
      <c r="B164">
        <v>31</v>
      </c>
      <c r="C164" s="10">
        <v>0.51</v>
      </c>
      <c r="D164">
        <f t="shared" si="2"/>
        <v>0.81837209302325586</v>
      </c>
    </row>
    <row r="165" spans="1:4">
      <c r="A165" t="s">
        <v>219</v>
      </c>
      <c r="B165">
        <v>31</v>
      </c>
      <c r="C165" s="10">
        <v>0.31</v>
      </c>
      <c r="D165">
        <f t="shared" si="2"/>
        <v>0.49744186046511629</v>
      </c>
    </row>
    <row r="166" spans="1:4">
      <c r="A166" t="s">
        <v>220</v>
      </c>
      <c r="B166">
        <v>31</v>
      </c>
      <c r="C166" s="10">
        <v>0.31</v>
      </c>
      <c r="D166">
        <f t="shared" si="2"/>
        <v>0.49744186046511629</v>
      </c>
    </row>
    <row r="167" spans="1:4">
      <c r="A167" t="s">
        <v>221</v>
      </c>
      <c r="B167">
        <v>31</v>
      </c>
      <c r="C167" s="10">
        <v>0.31</v>
      </c>
      <c r="D167">
        <f t="shared" si="2"/>
        <v>0.49744186046511629</v>
      </c>
    </row>
    <row r="168" spans="1:4">
      <c r="A168" t="s">
        <v>222</v>
      </c>
      <c r="B168">
        <v>31</v>
      </c>
      <c r="C168" s="10">
        <v>0.23</v>
      </c>
      <c r="D168">
        <f t="shared" si="2"/>
        <v>0.36906976744186054</v>
      </c>
    </row>
    <row r="169" spans="1:4">
      <c r="A169" t="s">
        <v>223</v>
      </c>
      <c r="B169">
        <v>31</v>
      </c>
      <c r="C169" s="10">
        <v>0.23</v>
      </c>
      <c r="D169">
        <f t="shared" si="2"/>
        <v>0.36906976744186054</v>
      </c>
    </row>
    <row r="170" spans="1:4">
      <c r="A170" t="s">
        <v>224</v>
      </c>
      <c r="B170">
        <v>31</v>
      </c>
      <c r="C170" s="10">
        <v>0.23</v>
      </c>
      <c r="D170">
        <f t="shared" si="2"/>
        <v>0.36906976744186054</v>
      </c>
    </row>
    <row r="171" spans="1:4">
      <c r="A171" t="s">
        <v>225</v>
      </c>
      <c r="B171">
        <v>31</v>
      </c>
      <c r="C171" s="10">
        <v>0.23</v>
      </c>
      <c r="D171">
        <f t="shared" si="2"/>
        <v>0.36906976744186054</v>
      </c>
    </row>
    <row r="172" spans="1:4">
      <c r="A172" t="s">
        <v>226</v>
      </c>
      <c r="B172">
        <v>31</v>
      </c>
      <c r="C172" s="10">
        <v>0.31</v>
      </c>
      <c r="D172">
        <f t="shared" si="2"/>
        <v>0.49744186046511629</v>
      </c>
    </row>
    <row r="173" spans="1:4">
      <c r="A173" t="s">
        <v>227</v>
      </c>
      <c r="B173">
        <v>31</v>
      </c>
      <c r="C173" s="10">
        <v>0.52</v>
      </c>
      <c r="D173">
        <f t="shared" si="2"/>
        <v>0.83441860465116291</v>
      </c>
    </row>
    <row r="174" spans="1:4">
      <c r="A174" t="s">
        <v>228</v>
      </c>
      <c r="B174">
        <v>31</v>
      </c>
      <c r="C174" s="10">
        <v>0.52</v>
      </c>
      <c r="D174">
        <f t="shared" si="2"/>
        <v>0.83441860465116291</v>
      </c>
    </row>
    <row r="175" spans="1:4">
      <c r="A175" t="s">
        <v>229</v>
      </c>
      <c r="B175">
        <v>31</v>
      </c>
      <c r="C175" s="10">
        <v>0.51</v>
      </c>
      <c r="D175">
        <f t="shared" si="2"/>
        <v>0.81837209302325586</v>
      </c>
    </row>
    <row r="176" spans="1:4">
      <c r="A176" t="s">
        <v>230</v>
      </c>
      <c r="B176">
        <v>31</v>
      </c>
      <c r="C176" s="10">
        <v>0.31</v>
      </c>
      <c r="D176">
        <f t="shared" si="2"/>
        <v>0.49744186046511629</v>
      </c>
    </row>
    <row r="177" spans="1:4">
      <c r="A177" t="s">
        <v>231</v>
      </c>
      <c r="B177">
        <v>31</v>
      </c>
      <c r="C177" s="10">
        <v>0.31</v>
      </c>
      <c r="D177">
        <f t="shared" si="2"/>
        <v>0.49744186046511629</v>
      </c>
    </row>
    <row r="178" spans="1:4">
      <c r="A178" t="s">
        <v>232</v>
      </c>
      <c r="B178">
        <v>31</v>
      </c>
      <c r="C178" s="10">
        <v>0.31</v>
      </c>
      <c r="D178">
        <f t="shared" si="2"/>
        <v>0.49744186046511629</v>
      </c>
    </row>
    <row r="179" spans="1:4">
      <c r="A179" t="s">
        <v>233</v>
      </c>
      <c r="B179">
        <v>31</v>
      </c>
      <c r="C179" s="10">
        <v>0.31</v>
      </c>
      <c r="D179">
        <f t="shared" si="2"/>
        <v>0.49744186046511629</v>
      </c>
    </row>
    <row r="180" spans="1:4">
      <c r="A180" t="s">
        <v>234</v>
      </c>
      <c r="B180">
        <v>31</v>
      </c>
      <c r="C180" s="10">
        <v>0.31</v>
      </c>
      <c r="D180">
        <f t="shared" si="2"/>
        <v>0.49744186046511629</v>
      </c>
    </row>
    <row r="181" spans="1:4">
      <c r="A181" t="s">
        <v>235</v>
      </c>
      <c r="B181">
        <v>31</v>
      </c>
      <c r="C181" s="10">
        <v>0.31</v>
      </c>
      <c r="D181">
        <f t="shared" si="2"/>
        <v>0.49744186046511629</v>
      </c>
    </row>
    <row r="182" spans="1:4">
      <c r="A182" t="s">
        <v>236</v>
      </c>
      <c r="B182">
        <v>31</v>
      </c>
      <c r="C182" s="10">
        <v>0.31</v>
      </c>
      <c r="D182">
        <f t="shared" si="2"/>
        <v>0.49744186046511629</v>
      </c>
    </row>
    <row r="183" spans="1:4">
      <c r="A183" t="s">
        <v>237</v>
      </c>
      <c r="B183">
        <v>31</v>
      </c>
      <c r="C183" s="10">
        <v>0.31</v>
      </c>
      <c r="D183">
        <f t="shared" si="2"/>
        <v>0.49744186046511629</v>
      </c>
    </row>
    <row r="184" spans="1:4">
      <c r="A184" t="s">
        <v>238</v>
      </c>
      <c r="B184">
        <v>31</v>
      </c>
      <c r="C184" s="10">
        <v>0.31</v>
      </c>
      <c r="D184">
        <f t="shared" si="2"/>
        <v>0.49744186046511629</v>
      </c>
    </row>
    <row r="185" spans="1:4">
      <c r="A185" t="s">
        <v>239</v>
      </c>
      <c r="B185">
        <v>31</v>
      </c>
      <c r="C185" s="10">
        <v>0.51</v>
      </c>
      <c r="D185">
        <f t="shared" si="2"/>
        <v>0.81837209302325586</v>
      </c>
    </row>
    <row r="186" spans="1:4">
      <c r="A186" t="s">
        <v>240</v>
      </c>
      <c r="B186">
        <v>31</v>
      </c>
      <c r="C186" s="10">
        <v>0.52</v>
      </c>
      <c r="D186">
        <f t="shared" si="2"/>
        <v>0.83441860465116291</v>
      </c>
    </row>
    <row r="187" spans="1:4">
      <c r="A187" t="s">
        <v>241</v>
      </c>
      <c r="B187">
        <v>31</v>
      </c>
      <c r="C187" s="10">
        <v>0.51</v>
      </c>
      <c r="D187">
        <f t="shared" si="2"/>
        <v>0.81837209302325586</v>
      </c>
    </row>
    <row r="188" spans="1:4">
      <c r="A188" t="s">
        <v>242</v>
      </c>
      <c r="B188">
        <v>31</v>
      </c>
      <c r="C188" s="10">
        <v>0.52</v>
      </c>
      <c r="D188">
        <f t="shared" si="2"/>
        <v>0.83441860465116291</v>
      </c>
    </row>
    <row r="189" spans="1:4">
      <c r="A189" t="s">
        <v>243</v>
      </c>
      <c r="B189">
        <v>31</v>
      </c>
      <c r="C189" s="10">
        <v>0.31</v>
      </c>
      <c r="D189">
        <f t="shared" si="2"/>
        <v>0.49744186046511629</v>
      </c>
    </row>
    <row r="190" spans="1:4">
      <c r="A190" t="s">
        <v>244</v>
      </c>
      <c r="B190">
        <v>31</v>
      </c>
      <c r="C190" s="10">
        <v>0.31</v>
      </c>
      <c r="D190">
        <f t="shared" si="2"/>
        <v>0.49744186046511629</v>
      </c>
    </row>
    <row r="191" spans="1:4">
      <c r="A191" t="s">
        <v>245</v>
      </c>
      <c r="B191">
        <v>31</v>
      </c>
      <c r="C191" s="10">
        <v>0.31</v>
      </c>
      <c r="D191">
        <f t="shared" si="2"/>
        <v>0.49744186046511629</v>
      </c>
    </row>
    <row r="192" spans="1:4">
      <c r="A192" t="s">
        <v>246</v>
      </c>
      <c r="B192">
        <v>31</v>
      </c>
      <c r="C192" s="10">
        <v>0.23</v>
      </c>
      <c r="D192">
        <f t="shared" si="2"/>
        <v>0.36906976744186054</v>
      </c>
    </row>
    <row r="193" spans="1:4">
      <c r="A193" t="s">
        <v>247</v>
      </c>
      <c r="B193">
        <v>31</v>
      </c>
      <c r="C193" s="10">
        <v>0.24</v>
      </c>
      <c r="D193">
        <f t="shared" si="2"/>
        <v>0.38511627906976742</v>
      </c>
    </row>
    <row r="194" spans="1:4">
      <c r="A194" t="s">
        <v>248</v>
      </c>
      <c r="B194">
        <v>30</v>
      </c>
      <c r="C194" s="10">
        <v>0.23</v>
      </c>
      <c r="D194">
        <f t="shared" ref="D194:D257" si="3">($O$2*C194)/100</f>
        <v>0.36906976744186054</v>
      </c>
    </row>
    <row r="195" spans="1:4">
      <c r="A195" t="s">
        <v>249</v>
      </c>
      <c r="B195">
        <v>30</v>
      </c>
      <c r="C195" s="10">
        <v>0.23</v>
      </c>
      <c r="D195">
        <f t="shared" si="3"/>
        <v>0.36906976744186054</v>
      </c>
    </row>
    <row r="196" spans="1:4">
      <c r="A196" t="s">
        <v>250</v>
      </c>
      <c r="B196">
        <v>30</v>
      </c>
      <c r="C196" s="10">
        <v>0.23</v>
      </c>
      <c r="D196">
        <f t="shared" si="3"/>
        <v>0.36906976744186054</v>
      </c>
    </row>
    <row r="197" spans="1:4">
      <c r="A197" t="s">
        <v>251</v>
      </c>
      <c r="B197">
        <v>30</v>
      </c>
      <c r="C197" s="10">
        <v>0.31</v>
      </c>
      <c r="D197">
        <f t="shared" si="3"/>
        <v>0.49744186046511629</v>
      </c>
    </row>
    <row r="198" spans="1:4">
      <c r="A198" t="s">
        <v>252</v>
      </c>
      <c r="B198">
        <v>30</v>
      </c>
      <c r="C198" s="10">
        <v>0.52</v>
      </c>
      <c r="D198">
        <f t="shared" si="3"/>
        <v>0.83441860465116291</v>
      </c>
    </row>
    <row r="199" spans="1:4">
      <c r="A199" t="s">
        <v>253</v>
      </c>
      <c r="B199">
        <v>30</v>
      </c>
      <c r="C199" s="10">
        <v>0.51</v>
      </c>
      <c r="D199">
        <f t="shared" si="3"/>
        <v>0.81837209302325586</v>
      </c>
    </row>
    <row r="200" spans="1:4">
      <c r="A200" t="s">
        <v>254</v>
      </c>
      <c r="B200">
        <v>30</v>
      </c>
      <c r="C200" s="10">
        <v>0.51</v>
      </c>
      <c r="D200">
        <f t="shared" si="3"/>
        <v>0.81837209302325586</v>
      </c>
    </row>
    <row r="201" spans="1:4">
      <c r="A201" t="s">
        <v>255</v>
      </c>
      <c r="B201">
        <v>30</v>
      </c>
      <c r="C201" s="10">
        <v>0.31</v>
      </c>
      <c r="D201">
        <f t="shared" si="3"/>
        <v>0.49744186046511629</v>
      </c>
    </row>
    <row r="202" spans="1:4">
      <c r="A202" t="s">
        <v>256</v>
      </c>
      <c r="B202">
        <v>30</v>
      </c>
      <c r="C202" s="10">
        <v>0.31</v>
      </c>
      <c r="D202">
        <f t="shared" si="3"/>
        <v>0.49744186046511629</v>
      </c>
    </row>
    <row r="203" spans="1:4">
      <c r="A203" t="s">
        <v>257</v>
      </c>
      <c r="B203">
        <v>30</v>
      </c>
      <c r="C203" s="10">
        <v>0.31</v>
      </c>
      <c r="D203">
        <f t="shared" si="3"/>
        <v>0.49744186046511629</v>
      </c>
    </row>
    <row r="204" spans="1:4">
      <c r="A204" t="s">
        <v>258</v>
      </c>
      <c r="B204">
        <v>30</v>
      </c>
      <c r="C204" s="10">
        <v>0.31</v>
      </c>
      <c r="D204">
        <f t="shared" si="3"/>
        <v>0.49744186046511629</v>
      </c>
    </row>
    <row r="205" spans="1:4">
      <c r="A205" t="s">
        <v>259</v>
      </c>
      <c r="B205">
        <v>30</v>
      </c>
      <c r="C205" s="10">
        <v>0.31</v>
      </c>
      <c r="D205">
        <f t="shared" si="3"/>
        <v>0.49744186046511629</v>
      </c>
    </row>
    <row r="206" spans="1:4">
      <c r="A206" t="s">
        <v>260</v>
      </c>
      <c r="B206">
        <v>30</v>
      </c>
      <c r="C206" s="10">
        <v>0.31</v>
      </c>
      <c r="D206">
        <f t="shared" si="3"/>
        <v>0.49744186046511629</v>
      </c>
    </row>
    <row r="207" spans="1:4">
      <c r="A207" t="s">
        <v>261</v>
      </c>
      <c r="B207">
        <v>30</v>
      </c>
      <c r="C207" s="10">
        <v>0.31</v>
      </c>
      <c r="D207">
        <f t="shared" si="3"/>
        <v>0.49744186046511629</v>
      </c>
    </row>
    <row r="208" spans="1:4">
      <c r="A208" t="s">
        <v>262</v>
      </c>
      <c r="B208">
        <v>30</v>
      </c>
      <c r="C208" s="10">
        <v>0.31</v>
      </c>
      <c r="D208">
        <f t="shared" si="3"/>
        <v>0.49744186046511629</v>
      </c>
    </row>
    <row r="209" spans="1:4">
      <c r="A209" t="s">
        <v>263</v>
      </c>
      <c r="B209">
        <v>30</v>
      </c>
      <c r="C209" s="10">
        <v>0.51</v>
      </c>
      <c r="D209">
        <f t="shared" si="3"/>
        <v>0.81837209302325586</v>
      </c>
    </row>
    <row r="210" spans="1:4">
      <c r="A210" t="s">
        <v>264</v>
      </c>
      <c r="B210">
        <v>30</v>
      </c>
      <c r="C210" s="10">
        <v>0.52</v>
      </c>
      <c r="D210">
        <f t="shared" si="3"/>
        <v>0.83441860465116291</v>
      </c>
    </row>
    <row r="211" spans="1:4">
      <c r="A211" t="s">
        <v>265</v>
      </c>
      <c r="B211">
        <v>30</v>
      </c>
      <c r="C211" s="10">
        <v>0.51</v>
      </c>
      <c r="D211">
        <f t="shared" si="3"/>
        <v>0.81837209302325586</v>
      </c>
    </row>
    <row r="212" spans="1:4">
      <c r="A212" t="s">
        <v>266</v>
      </c>
      <c r="B212">
        <v>30</v>
      </c>
      <c r="C212" s="10">
        <v>0.52</v>
      </c>
      <c r="D212">
        <f t="shared" si="3"/>
        <v>0.83441860465116291</v>
      </c>
    </row>
    <row r="213" spans="1:4">
      <c r="A213" t="s">
        <v>267</v>
      </c>
      <c r="B213">
        <v>30</v>
      </c>
      <c r="C213" s="10">
        <v>0.31</v>
      </c>
      <c r="D213">
        <f t="shared" si="3"/>
        <v>0.49744186046511629</v>
      </c>
    </row>
    <row r="214" spans="1:4">
      <c r="A214" t="s">
        <v>268</v>
      </c>
      <c r="B214">
        <v>30</v>
      </c>
      <c r="C214" s="10">
        <v>0.31</v>
      </c>
      <c r="D214">
        <f t="shared" si="3"/>
        <v>0.49744186046511629</v>
      </c>
    </row>
    <row r="215" spans="1:4">
      <c r="A215" t="s">
        <v>269</v>
      </c>
      <c r="B215">
        <v>30</v>
      </c>
      <c r="C215" s="10">
        <v>0.31</v>
      </c>
      <c r="D215">
        <f t="shared" si="3"/>
        <v>0.49744186046511629</v>
      </c>
    </row>
    <row r="216" spans="1:4">
      <c r="A216" t="s">
        <v>270</v>
      </c>
      <c r="B216">
        <v>30</v>
      </c>
      <c r="C216" s="10">
        <v>0.23</v>
      </c>
      <c r="D216">
        <f t="shared" si="3"/>
        <v>0.36906976744186054</v>
      </c>
    </row>
    <row r="217" spans="1:4">
      <c r="A217" t="s">
        <v>271</v>
      </c>
      <c r="B217">
        <v>30</v>
      </c>
      <c r="C217" s="10">
        <v>0.23</v>
      </c>
      <c r="D217">
        <f t="shared" si="3"/>
        <v>0.36906976744186054</v>
      </c>
    </row>
    <row r="218" spans="1:4">
      <c r="A218" t="s">
        <v>272</v>
      </c>
      <c r="B218">
        <v>31</v>
      </c>
      <c r="C218" s="10">
        <v>0.23</v>
      </c>
      <c r="D218">
        <f t="shared" si="3"/>
        <v>0.36906976744186054</v>
      </c>
    </row>
    <row r="219" spans="1:4">
      <c r="A219" t="s">
        <v>273</v>
      </c>
      <c r="B219">
        <v>31</v>
      </c>
      <c r="C219" s="10">
        <v>0.23</v>
      </c>
      <c r="D219">
        <f t="shared" si="3"/>
        <v>0.36906976744186054</v>
      </c>
    </row>
    <row r="220" spans="1:4">
      <c r="A220" t="s">
        <v>274</v>
      </c>
      <c r="B220">
        <v>31</v>
      </c>
      <c r="C220" s="10">
        <v>0.23</v>
      </c>
      <c r="D220">
        <f t="shared" si="3"/>
        <v>0.36906976744186054</v>
      </c>
    </row>
    <row r="221" spans="1:4">
      <c r="A221" t="s">
        <v>275</v>
      </c>
      <c r="B221">
        <v>31</v>
      </c>
      <c r="C221" s="10">
        <v>0.31</v>
      </c>
      <c r="D221">
        <f t="shared" si="3"/>
        <v>0.49744186046511629</v>
      </c>
    </row>
    <row r="222" spans="1:4">
      <c r="A222" t="s">
        <v>276</v>
      </c>
      <c r="B222">
        <v>31</v>
      </c>
      <c r="C222" s="10">
        <v>0.4</v>
      </c>
      <c r="D222">
        <f t="shared" si="3"/>
        <v>0.64186046511627903</v>
      </c>
    </row>
    <row r="223" spans="1:4">
      <c r="A223" t="s">
        <v>277</v>
      </c>
      <c r="B223">
        <v>31</v>
      </c>
      <c r="C223" s="10">
        <v>0.51</v>
      </c>
      <c r="D223">
        <f t="shared" si="3"/>
        <v>0.81837209302325586</v>
      </c>
    </row>
    <row r="224" spans="1:4">
      <c r="A224" t="s">
        <v>278</v>
      </c>
      <c r="B224">
        <v>31</v>
      </c>
      <c r="C224" s="10">
        <v>0.51</v>
      </c>
      <c r="D224">
        <f t="shared" si="3"/>
        <v>0.81837209302325586</v>
      </c>
    </row>
    <row r="225" spans="1:4">
      <c r="A225" t="s">
        <v>279</v>
      </c>
      <c r="B225">
        <v>31</v>
      </c>
      <c r="C225" s="10">
        <v>0.31</v>
      </c>
      <c r="D225">
        <f t="shared" si="3"/>
        <v>0.49744186046511629</v>
      </c>
    </row>
    <row r="226" spans="1:4">
      <c r="A226" t="s">
        <v>280</v>
      </c>
      <c r="B226">
        <v>31</v>
      </c>
      <c r="C226" s="10">
        <v>0.31</v>
      </c>
      <c r="D226">
        <f t="shared" si="3"/>
        <v>0.49744186046511629</v>
      </c>
    </row>
    <row r="227" spans="1:4">
      <c r="A227" t="s">
        <v>281</v>
      </c>
      <c r="B227">
        <v>31</v>
      </c>
      <c r="C227" s="10">
        <v>0.31</v>
      </c>
      <c r="D227">
        <f t="shared" si="3"/>
        <v>0.49744186046511629</v>
      </c>
    </row>
    <row r="228" spans="1:4">
      <c r="A228" t="s">
        <v>282</v>
      </c>
      <c r="B228">
        <v>31</v>
      </c>
      <c r="C228" s="10">
        <v>0.31</v>
      </c>
      <c r="D228">
        <f t="shared" si="3"/>
        <v>0.49744186046511629</v>
      </c>
    </row>
    <row r="229" spans="1:4">
      <c r="A229" t="s">
        <v>283</v>
      </c>
      <c r="B229">
        <v>31</v>
      </c>
      <c r="C229" s="10">
        <v>0.31</v>
      </c>
      <c r="D229">
        <f t="shared" si="3"/>
        <v>0.49744186046511629</v>
      </c>
    </row>
    <row r="230" spans="1:4">
      <c r="A230" t="s">
        <v>284</v>
      </c>
      <c r="B230">
        <v>31</v>
      </c>
      <c r="C230" s="10">
        <v>0.31</v>
      </c>
      <c r="D230">
        <f t="shared" si="3"/>
        <v>0.49744186046511629</v>
      </c>
    </row>
    <row r="231" spans="1:4">
      <c r="A231" t="s">
        <v>285</v>
      </c>
      <c r="B231">
        <v>31</v>
      </c>
      <c r="C231" s="10">
        <v>0.31</v>
      </c>
      <c r="D231">
        <f t="shared" si="3"/>
        <v>0.49744186046511629</v>
      </c>
    </row>
    <row r="232" spans="1:4">
      <c r="A232" t="s">
        <v>286</v>
      </c>
      <c r="B232">
        <v>31</v>
      </c>
      <c r="C232" s="10">
        <v>0.32</v>
      </c>
      <c r="D232">
        <f t="shared" si="3"/>
        <v>0.51348837209302334</v>
      </c>
    </row>
    <row r="233" spans="1:4">
      <c r="A233" t="s">
        <v>287</v>
      </c>
      <c r="B233">
        <v>31</v>
      </c>
      <c r="C233" s="10">
        <v>0.52</v>
      </c>
      <c r="D233">
        <f t="shared" si="3"/>
        <v>0.83441860465116291</v>
      </c>
    </row>
    <row r="234" spans="1:4">
      <c r="A234" t="s">
        <v>288</v>
      </c>
      <c r="B234">
        <v>31</v>
      </c>
      <c r="C234" s="10">
        <v>0.51</v>
      </c>
      <c r="D234">
        <f t="shared" si="3"/>
        <v>0.81837209302325586</v>
      </c>
    </row>
    <row r="235" spans="1:4">
      <c r="A235" t="s">
        <v>289</v>
      </c>
      <c r="B235">
        <v>31</v>
      </c>
      <c r="C235" s="10">
        <v>0.52</v>
      </c>
      <c r="D235">
        <f t="shared" si="3"/>
        <v>0.83441860465116291</v>
      </c>
    </row>
    <row r="236" spans="1:4">
      <c r="A236" t="s">
        <v>290</v>
      </c>
      <c r="B236">
        <v>31</v>
      </c>
      <c r="C236" s="10">
        <v>0.52</v>
      </c>
      <c r="D236">
        <f t="shared" si="3"/>
        <v>0.83441860465116291</v>
      </c>
    </row>
    <row r="237" spans="1:4">
      <c r="A237" t="s">
        <v>291</v>
      </c>
      <c r="B237">
        <v>31</v>
      </c>
      <c r="C237" s="10">
        <v>0.31</v>
      </c>
      <c r="D237">
        <f t="shared" si="3"/>
        <v>0.49744186046511629</v>
      </c>
    </row>
    <row r="238" spans="1:4">
      <c r="A238" t="s">
        <v>292</v>
      </c>
      <c r="B238">
        <v>31</v>
      </c>
      <c r="C238" s="10">
        <v>0.31</v>
      </c>
      <c r="D238">
        <f t="shared" si="3"/>
        <v>0.49744186046511629</v>
      </c>
    </row>
    <row r="239" spans="1:4">
      <c r="A239" t="s">
        <v>293</v>
      </c>
      <c r="B239">
        <v>31</v>
      </c>
      <c r="C239" s="10">
        <v>0.2</v>
      </c>
      <c r="D239">
        <f t="shared" si="3"/>
        <v>0.32093023255813952</v>
      </c>
    </row>
    <row r="240" spans="1:4">
      <c r="A240" t="s">
        <v>294</v>
      </c>
      <c r="B240">
        <v>31</v>
      </c>
      <c r="C240" s="10">
        <v>0.2</v>
      </c>
      <c r="D240">
        <f t="shared" si="3"/>
        <v>0.32093023255813952</v>
      </c>
    </row>
    <row r="241" spans="1:4">
      <c r="A241" t="s">
        <v>295</v>
      </c>
      <c r="B241">
        <v>31</v>
      </c>
      <c r="C241" s="10">
        <v>0.15</v>
      </c>
      <c r="D241">
        <f t="shared" si="3"/>
        <v>0.24069767441860468</v>
      </c>
    </row>
    <row r="242" spans="1:4">
      <c r="A242" t="s">
        <v>296</v>
      </c>
      <c r="B242">
        <v>30</v>
      </c>
      <c r="C242" s="10">
        <v>0.15</v>
      </c>
      <c r="D242">
        <f t="shared" si="3"/>
        <v>0.24069767441860468</v>
      </c>
    </row>
    <row r="243" spans="1:4">
      <c r="A243" t="s">
        <v>297</v>
      </c>
      <c r="B243">
        <v>30</v>
      </c>
      <c r="C243" s="10">
        <v>0.15</v>
      </c>
      <c r="D243">
        <f t="shared" si="3"/>
        <v>0.24069767441860468</v>
      </c>
    </row>
    <row r="244" spans="1:4">
      <c r="A244" t="s">
        <v>298</v>
      </c>
      <c r="B244">
        <v>30</v>
      </c>
      <c r="C244" s="10">
        <v>0.15</v>
      </c>
      <c r="D244">
        <f t="shared" si="3"/>
        <v>0.24069767441860468</v>
      </c>
    </row>
    <row r="245" spans="1:4">
      <c r="A245" t="s">
        <v>299</v>
      </c>
      <c r="B245">
        <v>30</v>
      </c>
      <c r="C245" s="10">
        <v>0.15</v>
      </c>
      <c r="D245">
        <f t="shared" si="3"/>
        <v>0.24069767441860468</v>
      </c>
    </row>
    <row r="246" spans="1:4">
      <c r="A246" t="s">
        <v>300</v>
      </c>
      <c r="B246">
        <v>30</v>
      </c>
      <c r="C246" s="10">
        <v>0.15</v>
      </c>
      <c r="D246">
        <f t="shared" si="3"/>
        <v>0.24069767441860468</v>
      </c>
    </row>
    <row r="247" spans="1:4">
      <c r="A247" t="s">
        <v>301</v>
      </c>
      <c r="B247">
        <v>30</v>
      </c>
      <c r="C247" s="10">
        <v>0.2</v>
      </c>
      <c r="D247">
        <f t="shared" si="3"/>
        <v>0.32093023255813952</v>
      </c>
    </row>
    <row r="248" spans="1:4">
      <c r="A248" t="s">
        <v>302</v>
      </c>
      <c r="B248">
        <v>30</v>
      </c>
      <c r="C248" s="10">
        <v>0.52</v>
      </c>
      <c r="D248">
        <f t="shared" si="3"/>
        <v>0.83441860465116291</v>
      </c>
    </row>
    <row r="249" spans="1:4">
      <c r="A249" t="s">
        <v>303</v>
      </c>
      <c r="B249">
        <v>30</v>
      </c>
      <c r="C249" s="10">
        <v>0.31</v>
      </c>
      <c r="D249">
        <f t="shared" si="3"/>
        <v>0.49744186046511629</v>
      </c>
    </row>
    <row r="250" spans="1:4">
      <c r="A250" t="s">
        <v>304</v>
      </c>
      <c r="B250">
        <v>30</v>
      </c>
      <c r="C250" s="10">
        <v>0.31</v>
      </c>
      <c r="D250">
        <f t="shared" si="3"/>
        <v>0.49744186046511629</v>
      </c>
    </row>
    <row r="251" spans="1:4">
      <c r="A251" t="s">
        <v>305</v>
      </c>
      <c r="B251">
        <v>30</v>
      </c>
      <c r="C251" s="10">
        <v>0.31</v>
      </c>
      <c r="D251">
        <f t="shared" si="3"/>
        <v>0.49744186046511629</v>
      </c>
    </row>
    <row r="252" spans="1:4">
      <c r="A252" t="s">
        <v>306</v>
      </c>
      <c r="B252">
        <v>30</v>
      </c>
      <c r="C252" s="10">
        <v>0.31</v>
      </c>
      <c r="D252">
        <f t="shared" si="3"/>
        <v>0.49744186046511629</v>
      </c>
    </row>
    <row r="253" spans="1:4">
      <c r="A253" t="s">
        <v>307</v>
      </c>
      <c r="B253">
        <v>30</v>
      </c>
      <c r="C253" s="10">
        <v>0.31</v>
      </c>
      <c r="D253">
        <f t="shared" si="3"/>
        <v>0.49744186046511629</v>
      </c>
    </row>
    <row r="254" spans="1:4">
      <c r="A254" t="s">
        <v>308</v>
      </c>
      <c r="B254">
        <v>30</v>
      </c>
      <c r="C254" s="10">
        <v>0.31</v>
      </c>
      <c r="D254">
        <f t="shared" si="3"/>
        <v>0.49744186046511629</v>
      </c>
    </row>
    <row r="255" spans="1:4">
      <c r="A255" t="s">
        <v>309</v>
      </c>
      <c r="B255">
        <v>30</v>
      </c>
      <c r="C255" s="10">
        <v>0.31</v>
      </c>
      <c r="D255">
        <f t="shared" si="3"/>
        <v>0.49744186046511629</v>
      </c>
    </row>
    <row r="256" spans="1:4">
      <c r="A256" t="s">
        <v>310</v>
      </c>
      <c r="B256">
        <v>30</v>
      </c>
      <c r="C256" s="10">
        <v>0.31</v>
      </c>
      <c r="D256">
        <f t="shared" si="3"/>
        <v>0.49744186046511629</v>
      </c>
    </row>
    <row r="257" spans="1:4">
      <c r="A257" t="s">
        <v>311</v>
      </c>
      <c r="B257">
        <v>30</v>
      </c>
      <c r="C257" s="10">
        <v>0.52</v>
      </c>
      <c r="D257">
        <f t="shared" si="3"/>
        <v>0.83441860465116291</v>
      </c>
    </row>
    <row r="258" spans="1:4">
      <c r="A258" t="s">
        <v>312</v>
      </c>
      <c r="B258">
        <v>30</v>
      </c>
      <c r="C258" s="10">
        <v>0.52</v>
      </c>
      <c r="D258">
        <f t="shared" ref="D258:D289" si="4">($O$2*C258)/100</f>
        <v>0.83441860465116291</v>
      </c>
    </row>
    <row r="259" spans="1:4">
      <c r="A259" t="s">
        <v>313</v>
      </c>
      <c r="B259">
        <v>30</v>
      </c>
      <c r="C259" s="10">
        <v>0.52</v>
      </c>
      <c r="D259">
        <f t="shared" si="4"/>
        <v>0.83441860465116291</v>
      </c>
    </row>
    <row r="260" spans="1:4">
      <c r="A260" t="s">
        <v>314</v>
      </c>
      <c r="B260">
        <v>30</v>
      </c>
      <c r="C260" s="10">
        <v>0.52</v>
      </c>
      <c r="D260">
        <f t="shared" si="4"/>
        <v>0.83441860465116291</v>
      </c>
    </row>
    <row r="261" spans="1:4">
      <c r="A261" t="s">
        <v>315</v>
      </c>
      <c r="B261">
        <v>30</v>
      </c>
      <c r="C261" s="10">
        <v>0.31</v>
      </c>
      <c r="D261">
        <f t="shared" si="4"/>
        <v>0.49744186046511629</v>
      </c>
    </row>
    <row r="262" spans="1:4">
      <c r="A262" t="s">
        <v>316</v>
      </c>
      <c r="B262">
        <v>30</v>
      </c>
      <c r="C262" s="10">
        <v>0.31</v>
      </c>
      <c r="D262">
        <f t="shared" si="4"/>
        <v>0.49744186046511629</v>
      </c>
    </row>
    <row r="263" spans="1:4">
      <c r="A263" t="s">
        <v>317</v>
      </c>
      <c r="B263">
        <v>30</v>
      </c>
      <c r="C263" s="10">
        <v>0.31</v>
      </c>
      <c r="D263">
        <f t="shared" si="4"/>
        <v>0.49744186046511629</v>
      </c>
    </row>
    <row r="264" spans="1:4">
      <c r="A264" t="s">
        <v>318</v>
      </c>
      <c r="B264">
        <v>30</v>
      </c>
      <c r="C264" s="10">
        <v>0.22</v>
      </c>
      <c r="D264">
        <f t="shared" si="4"/>
        <v>0.3530232558139535</v>
      </c>
    </row>
    <row r="265" spans="1:4">
      <c r="A265" t="s">
        <v>319</v>
      </c>
      <c r="B265">
        <v>30</v>
      </c>
      <c r="C265" s="10">
        <v>0.23</v>
      </c>
      <c r="D265">
        <f t="shared" si="4"/>
        <v>0.36906976744186054</v>
      </c>
    </row>
    <row r="266" spans="1:4">
      <c r="A266" t="s">
        <v>320</v>
      </c>
      <c r="B266">
        <v>31</v>
      </c>
      <c r="C266" s="10">
        <v>0.22</v>
      </c>
      <c r="D266">
        <f t="shared" si="4"/>
        <v>0.3530232558139535</v>
      </c>
    </row>
    <row r="267" spans="1:4">
      <c r="A267" t="s">
        <v>321</v>
      </c>
      <c r="B267">
        <v>31</v>
      </c>
      <c r="C267" s="10">
        <v>0.15</v>
      </c>
      <c r="D267">
        <f t="shared" si="4"/>
        <v>0.24069767441860468</v>
      </c>
    </row>
    <row r="268" spans="1:4">
      <c r="A268" t="s">
        <v>322</v>
      </c>
      <c r="B268">
        <v>31</v>
      </c>
      <c r="C268" s="10">
        <v>0.15</v>
      </c>
      <c r="D268">
        <f t="shared" si="4"/>
        <v>0.24069767441860468</v>
      </c>
    </row>
    <row r="269" spans="1:4">
      <c r="A269" t="s">
        <v>323</v>
      </c>
      <c r="B269">
        <v>31</v>
      </c>
      <c r="C269" s="10">
        <v>0.15</v>
      </c>
      <c r="D269">
        <f t="shared" si="4"/>
        <v>0.24069767441860468</v>
      </c>
    </row>
    <row r="270" spans="1:4">
      <c r="A270" t="s">
        <v>324</v>
      </c>
      <c r="B270">
        <v>31</v>
      </c>
      <c r="C270" s="10">
        <v>0.15</v>
      </c>
      <c r="D270">
        <f t="shared" si="4"/>
        <v>0.24069767441860468</v>
      </c>
    </row>
    <row r="271" spans="1:4">
      <c r="A271" t="s">
        <v>325</v>
      </c>
      <c r="B271">
        <v>31</v>
      </c>
      <c r="C271" s="10">
        <v>0.5</v>
      </c>
      <c r="D271">
        <f t="shared" si="4"/>
        <v>0.80232558139534893</v>
      </c>
    </row>
    <row r="272" spans="1:4">
      <c r="A272" t="s">
        <v>326</v>
      </c>
      <c r="B272">
        <v>31</v>
      </c>
      <c r="C272" s="10">
        <v>0.5</v>
      </c>
      <c r="D272">
        <f t="shared" si="4"/>
        <v>0.80232558139534893</v>
      </c>
    </row>
    <row r="273" spans="1:4">
      <c r="A273" t="s">
        <v>327</v>
      </c>
      <c r="B273">
        <v>31</v>
      </c>
      <c r="C273" s="10">
        <v>0.3</v>
      </c>
      <c r="D273">
        <f t="shared" si="4"/>
        <v>0.48139534883720936</v>
      </c>
    </row>
    <row r="274" spans="1:4">
      <c r="A274" t="s">
        <v>328</v>
      </c>
      <c r="B274">
        <v>31</v>
      </c>
      <c r="C274" s="10">
        <v>0.3</v>
      </c>
      <c r="D274">
        <f t="shared" si="4"/>
        <v>0.48139534883720936</v>
      </c>
    </row>
    <row r="275" spans="1:4">
      <c r="A275" t="s">
        <v>329</v>
      </c>
      <c r="B275">
        <v>31</v>
      </c>
      <c r="C275" s="10">
        <v>0.3</v>
      </c>
      <c r="D275">
        <f t="shared" si="4"/>
        <v>0.48139534883720936</v>
      </c>
    </row>
    <row r="276" spans="1:4">
      <c r="A276" t="s">
        <v>330</v>
      </c>
      <c r="B276">
        <v>31</v>
      </c>
      <c r="C276" s="10">
        <v>0.3</v>
      </c>
      <c r="D276">
        <f t="shared" si="4"/>
        <v>0.48139534883720936</v>
      </c>
    </row>
    <row r="277" spans="1:4">
      <c r="A277" t="s">
        <v>331</v>
      </c>
      <c r="B277">
        <v>31</v>
      </c>
      <c r="C277" s="10">
        <v>0.3</v>
      </c>
      <c r="D277">
        <f t="shared" si="4"/>
        <v>0.48139534883720936</v>
      </c>
    </row>
    <row r="278" spans="1:4">
      <c r="A278" t="s">
        <v>332</v>
      </c>
      <c r="B278">
        <v>31</v>
      </c>
      <c r="C278" s="10">
        <v>0.3</v>
      </c>
      <c r="D278">
        <f t="shared" si="4"/>
        <v>0.48139534883720936</v>
      </c>
    </row>
    <row r="279" spans="1:4">
      <c r="A279" t="s">
        <v>333</v>
      </c>
      <c r="B279">
        <v>31</v>
      </c>
      <c r="C279" s="10">
        <v>0.3</v>
      </c>
      <c r="D279">
        <f t="shared" si="4"/>
        <v>0.48139534883720936</v>
      </c>
    </row>
    <row r="280" spans="1:4">
      <c r="A280" t="s">
        <v>334</v>
      </c>
      <c r="B280">
        <v>31</v>
      </c>
      <c r="C280" s="10">
        <v>0.3</v>
      </c>
      <c r="D280">
        <f t="shared" si="4"/>
        <v>0.48139534883720936</v>
      </c>
    </row>
    <row r="281" spans="1:4">
      <c r="A281" t="s">
        <v>335</v>
      </c>
      <c r="B281">
        <v>31</v>
      </c>
      <c r="C281" s="10">
        <v>0.5</v>
      </c>
      <c r="D281">
        <f t="shared" si="4"/>
        <v>0.80232558139534893</v>
      </c>
    </row>
    <row r="282" spans="1:4">
      <c r="A282" t="s">
        <v>336</v>
      </c>
      <c r="B282">
        <v>31</v>
      </c>
      <c r="C282" s="10">
        <v>0.5</v>
      </c>
      <c r="D282">
        <f t="shared" si="4"/>
        <v>0.80232558139534893</v>
      </c>
    </row>
    <row r="283" spans="1:4">
      <c r="A283" t="s">
        <v>337</v>
      </c>
      <c r="B283">
        <v>31</v>
      </c>
      <c r="C283" s="10">
        <v>0.5</v>
      </c>
      <c r="D283">
        <f t="shared" si="4"/>
        <v>0.80232558139534893</v>
      </c>
    </row>
    <row r="284" spans="1:4">
      <c r="A284" t="s">
        <v>338</v>
      </c>
      <c r="B284">
        <v>31</v>
      </c>
      <c r="C284" s="10">
        <v>0.5</v>
      </c>
      <c r="D284">
        <f t="shared" si="4"/>
        <v>0.80232558139534893</v>
      </c>
    </row>
    <row r="285" spans="1:4">
      <c r="A285" t="s">
        <v>339</v>
      </c>
      <c r="B285">
        <v>31</v>
      </c>
      <c r="C285" s="10">
        <v>0.5</v>
      </c>
      <c r="D285">
        <f t="shared" si="4"/>
        <v>0.80232558139534893</v>
      </c>
    </row>
    <row r="286" spans="1:4">
      <c r="A286" t="s">
        <v>340</v>
      </c>
      <c r="B286">
        <v>31</v>
      </c>
      <c r="C286" s="10">
        <v>0.5</v>
      </c>
      <c r="D286">
        <f t="shared" si="4"/>
        <v>0.80232558139534893</v>
      </c>
    </row>
    <row r="287" spans="1:4">
      <c r="A287" t="s">
        <v>341</v>
      </c>
      <c r="B287">
        <v>31</v>
      </c>
      <c r="C287" s="10">
        <v>0.5</v>
      </c>
      <c r="D287">
        <f t="shared" si="4"/>
        <v>0.80232558139534893</v>
      </c>
    </row>
    <row r="288" spans="1:4">
      <c r="A288" t="s">
        <v>342</v>
      </c>
      <c r="B288">
        <v>31</v>
      </c>
      <c r="C288" s="10">
        <v>0.2</v>
      </c>
      <c r="D288">
        <f t="shared" si="4"/>
        <v>0.32093023255813952</v>
      </c>
    </row>
    <row r="289" spans="1:4">
      <c r="A289" t="s">
        <v>343</v>
      </c>
      <c r="B289">
        <v>31</v>
      </c>
      <c r="C289" s="10">
        <v>0.2</v>
      </c>
      <c r="D289">
        <f t="shared" si="4"/>
        <v>0.32093023255813952</v>
      </c>
    </row>
    <row r="290" spans="1:4">
      <c r="D290">
        <f>SUM(D2:D289)</f>
        <v>160.46667279069774</v>
      </c>
    </row>
    <row r="291" spans="1:4">
      <c r="D291">
        <f>D290*30</f>
        <v>4814.000183720932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820E-40E6-49AC-8FF5-E40C9CA07058}">
  <dimension ref="A1:AF301"/>
  <sheetViews>
    <sheetView topLeftCell="R280" workbookViewId="0">
      <selection activeCell="AB291" sqref="AB291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33203125" style="1" bestFit="1" customWidth="1"/>
    <col min="5" max="5" width="40.6640625" style="1" bestFit="1" customWidth="1"/>
    <col min="6" max="6" width="32.83203125" style="1" customWidth="1"/>
    <col min="7" max="7" width="8.6640625" style="1"/>
    <col min="8" max="8" width="13.6640625" style="1" bestFit="1" customWidth="1"/>
    <col min="9" max="12" width="13.6640625" style="1" customWidth="1"/>
    <col min="13" max="17" width="8.6640625" style="1"/>
    <col min="18" max="18" width="18.83203125" style="1" bestFit="1" customWidth="1"/>
    <col min="19" max="19" width="23.33203125" style="1" customWidth="1"/>
    <col min="20" max="20" width="20.1640625" style="1" bestFit="1" customWidth="1"/>
    <col min="21" max="21" width="20.1640625" style="1" customWidth="1"/>
    <col min="22" max="22" width="22.1640625" style="1" bestFit="1" customWidth="1"/>
    <col min="23" max="23" width="34.6640625" style="1" bestFit="1" customWidth="1"/>
    <col min="24" max="24" width="11.6640625" style="1" bestFit="1" customWidth="1"/>
    <col min="25" max="25" width="13.5" style="1" customWidth="1"/>
    <col min="26" max="26" width="13" style="1" customWidth="1"/>
    <col min="27" max="27" width="21.1640625" style="1" customWidth="1"/>
    <col min="28" max="28" width="11.33203125" style="1" bestFit="1" customWidth="1"/>
    <col min="29" max="29" width="13.83203125" style="1" bestFit="1" customWidth="1"/>
    <col min="30" max="30" width="13.6640625" style="1" customWidth="1"/>
    <col min="31" max="31" width="8.6640625" style="1"/>
    <col min="32" max="32" width="15.83203125" style="1" customWidth="1"/>
    <col min="33" max="16384" width="8.6640625" style="1"/>
  </cols>
  <sheetData>
    <row r="1" spans="1:32" ht="32">
      <c r="A1" s="6" t="s">
        <v>30</v>
      </c>
      <c r="B1" s="6" t="s">
        <v>31</v>
      </c>
      <c r="C1" s="6" t="s">
        <v>32</v>
      </c>
      <c r="D1" s="6" t="s">
        <v>33</v>
      </c>
      <c r="E1" s="7" t="s">
        <v>46</v>
      </c>
      <c r="F1" s="7" t="s">
        <v>47</v>
      </c>
      <c r="G1" s="7" t="s">
        <v>43</v>
      </c>
      <c r="H1" s="7">
        <f>MAX(G2:G289)</f>
        <v>369.17</v>
      </c>
      <c r="I1" s="8">
        <f>MIN(G2:G289)</f>
        <v>59.27</v>
      </c>
      <c r="J1" s="8"/>
      <c r="K1" s="8"/>
      <c r="L1" s="8"/>
      <c r="M1" s="8" t="s">
        <v>44</v>
      </c>
      <c r="N1" s="8" t="s">
        <v>45</v>
      </c>
      <c r="R1" s="6" t="s">
        <v>31</v>
      </c>
      <c r="S1" s="2" t="s">
        <v>40</v>
      </c>
      <c r="T1" s="1" t="s">
        <v>41</v>
      </c>
      <c r="U1" s="1" t="s">
        <v>344</v>
      </c>
      <c r="V1" s="1" t="s">
        <v>42</v>
      </c>
      <c r="W1" s="1" t="s">
        <v>345</v>
      </c>
      <c r="X1" s="1" t="s">
        <v>346</v>
      </c>
      <c r="Z1" s="1" t="s">
        <v>347</v>
      </c>
      <c r="AA1" s="1" t="s">
        <v>348</v>
      </c>
      <c r="AB1" s="1" t="s">
        <v>349</v>
      </c>
      <c r="AC1" s="1" t="s">
        <v>350</v>
      </c>
      <c r="AD1" s="1" t="s">
        <v>353</v>
      </c>
      <c r="AF1" s="1" t="s">
        <v>365</v>
      </c>
    </row>
    <row r="2" spans="1:32" ht="15">
      <c r="A2" s="1">
        <v>1</v>
      </c>
      <c r="B2" s="1">
        <f>D2</f>
        <v>1.2000000000000002</v>
      </c>
      <c r="C2" s="1">
        <v>0</v>
      </c>
      <c r="D2" s="1">
        <f>M5*0.1</f>
        <v>1.2000000000000002</v>
      </c>
      <c r="E2" s="1">
        <f>1*(1/(G2+0.01))^1.1</f>
        <v>2.5131186007800706E-3</v>
      </c>
      <c r="G2">
        <v>230.9</v>
      </c>
      <c r="H2" s="1">
        <f>G2/($H$1-$I$1)</f>
        <v>0.74507905776056782</v>
      </c>
      <c r="M2" s="9">
        <v>0.1</v>
      </c>
      <c r="N2" s="9">
        <v>0.9</v>
      </c>
      <c r="R2" s="1" t="e">
        <f>S2-T2-V2</f>
        <v>#VALUE!</v>
      </c>
      <c r="S2" s="1">
        <f>'Solar Availability and Gener GR'!F2</f>
        <v>0</v>
      </c>
      <c r="T2" s="1">
        <v>0.29721720930232565</v>
      </c>
      <c r="U2" s="1">
        <f>S2-T2</f>
        <v>-0.29721720930232565</v>
      </c>
      <c r="V2" s="1" t="str">
        <f>IF(U2&lt;0,"Buy from Grid","sell the surplus or charge")</f>
        <v>Buy from Grid</v>
      </c>
      <c r="W2" s="1">
        <f>(1*(1/(G2+0.01))^1.1)*(LN(T2+1))</f>
        <v>6.539671448154374E-4</v>
      </c>
      <c r="AA2" s="1" t="str">
        <f>IF(D2+AF2&gt;0,"discharge","buy from the Grid")</f>
        <v>discharge</v>
      </c>
      <c r="AD2" s="1">
        <f>(T2*G2)/1000</f>
        <v>6.8627453627906981E-2</v>
      </c>
      <c r="AF2" s="1">
        <f>U2</f>
        <v>-0.29721720930232565</v>
      </c>
    </row>
    <row r="3" spans="1:32" ht="15">
      <c r="A3" s="1">
        <v>2</v>
      </c>
      <c r="C3" s="1">
        <f>-U3</f>
        <v>0.29596899224806206</v>
      </c>
      <c r="D3" s="1">
        <f>(D2)+(B3*0.8)-(C3/0.8)</f>
        <v>0.83003875968992258</v>
      </c>
      <c r="E3" s="1">
        <f t="shared" ref="E3:E66" si="0">1*(1/(G3+0.01))^1.1</f>
        <v>2.1315491397979822E-3</v>
      </c>
      <c r="G3">
        <v>268.19</v>
      </c>
      <c r="H3" s="1">
        <f t="shared" ref="H3:H66" si="1">G3/($H$1-$I$1)</f>
        <v>0.86540819619232001</v>
      </c>
      <c r="R3" s="1" t="e">
        <f t="shared" ref="R3:R66" si="2">S3-T3-V3</f>
        <v>#VALUE!</v>
      </c>
      <c r="S3" s="1">
        <f>'Solar Availability and Gener GR'!F3</f>
        <v>0</v>
      </c>
      <c r="T3" s="1">
        <v>0.29596899224806206</v>
      </c>
      <c r="U3" s="1">
        <f t="shared" ref="U3:U66" si="3">S3-T3</f>
        <v>-0.29596899224806206</v>
      </c>
      <c r="V3" s="1" t="str">
        <f t="shared" ref="V3:V66" si="4">IF(U3&lt;0,"Buy from Grid","sell the surplus or charge")</f>
        <v>Buy from Grid</v>
      </c>
      <c r="W3" s="1">
        <f t="shared" ref="W3:W66" si="5">(1*(1/(G3+0.01))^1.1)*(LN(T3+1))</f>
        <v>5.5262259909351677E-4</v>
      </c>
      <c r="AA3" s="1" t="str">
        <f t="shared" ref="AA3:AA11" si="6">IF(D3+AF3&gt;0,"discharge","buy from the Grid")</f>
        <v>discharge</v>
      </c>
      <c r="AD3" s="1">
        <f t="shared" ref="AD3:AD66" si="7">(T3*G3)/1000</f>
        <v>7.9375924031007752E-2</v>
      </c>
      <c r="AF3" s="1">
        <f>U3+AF2</f>
        <v>-0.5931862015503877</v>
      </c>
    </row>
    <row r="4" spans="1:32" ht="15">
      <c r="A4" s="1">
        <v>3</v>
      </c>
      <c r="C4" s="1">
        <v>0</v>
      </c>
      <c r="D4" s="1">
        <f t="shared" ref="D4:D67" si="8">(D3)+(B4*0.8)-(C4/0.8)</f>
        <v>0.83003875968992258</v>
      </c>
      <c r="E4" s="1">
        <f t="shared" si="0"/>
        <v>2.5290169212298531E-3</v>
      </c>
      <c r="G4">
        <v>229.58</v>
      </c>
      <c r="H4" s="1">
        <f t="shared" si="1"/>
        <v>0.74081961923201034</v>
      </c>
      <c r="M4" s="1" t="s">
        <v>34</v>
      </c>
      <c r="N4" s="1" t="s">
        <v>35</v>
      </c>
      <c r="O4" s="1" t="s">
        <v>22</v>
      </c>
      <c r="P4" s="1" t="s">
        <v>38</v>
      </c>
      <c r="R4" s="1" t="e">
        <f t="shared" si="2"/>
        <v>#VALUE!</v>
      </c>
      <c r="S4" s="1">
        <f>'Solar Availability and Gener GR'!F4</f>
        <v>0</v>
      </c>
      <c r="T4" s="1">
        <v>0.29596899224806206</v>
      </c>
      <c r="U4" s="1">
        <f t="shared" si="3"/>
        <v>-0.29596899224806206</v>
      </c>
      <c r="V4" s="1" t="str">
        <f t="shared" si="4"/>
        <v>Buy from Grid</v>
      </c>
      <c r="W4" s="1">
        <f t="shared" si="5"/>
        <v>6.5566956823429469E-4</v>
      </c>
      <c r="AA4" s="1" t="str">
        <f t="shared" si="6"/>
        <v>buy from the Grid</v>
      </c>
      <c r="AC4" s="1">
        <f>(U4*G4)/1000</f>
        <v>-6.7948561240310082E-2</v>
      </c>
      <c r="AD4" s="1">
        <f t="shared" si="7"/>
        <v>6.7948561240310082E-2</v>
      </c>
      <c r="AF4" s="1">
        <f t="shared" ref="AF4:AF67" si="9">U4+AF3</f>
        <v>-0.88915519379844976</v>
      </c>
    </row>
    <row r="5" spans="1:32" ht="15">
      <c r="A5" s="1">
        <v>4</v>
      </c>
      <c r="C5" s="1">
        <v>0</v>
      </c>
      <c r="D5" s="1">
        <f t="shared" si="8"/>
        <v>0.83003875968992258</v>
      </c>
      <c r="E5" s="1">
        <f t="shared" si="0"/>
        <v>2.4536750096444569E-3</v>
      </c>
      <c r="G5">
        <v>235.98</v>
      </c>
      <c r="H5" s="1">
        <f t="shared" si="1"/>
        <v>0.76147144240077436</v>
      </c>
      <c r="M5" s="1">
        <v>12</v>
      </c>
      <c r="R5" s="1" t="e">
        <f t="shared" si="2"/>
        <v>#VALUE!</v>
      </c>
      <c r="S5" s="1">
        <f>'Solar Availability and Gener GR'!F5</f>
        <v>0</v>
      </c>
      <c r="T5" s="1">
        <v>0.29596899224806206</v>
      </c>
      <c r="U5" s="1">
        <f t="shared" si="3"/>
        <v>-0.29596899224806206</v>
      </c>
      <c r="V5" s="1" t="str">
        <f t="shared" si="4"/>
        <v>Buy from Grid</v>
      </c>
      <c r="W5" s="1">
        <f t="shared" si="5"/>
        <v>6.3613652429755408E-4</v>
      </c>
      <c r="AA5" s="1" t="str">
        <f t="shared" si="6"/>
        <v>buy from the Grid</v>
      </c>
      <c r="AC5" s="1">
        <f t="shared" ref="AC5:AC11" si="10">(U5*G5)/1000</f>
        <v>-6.9842762790697677E-2</v>
      </c>
      <c r="AD5" s="1">
        <f t="shared" si="7"/>
        <v>6.9842762790697677E-2</v>
      </c>
      <c r="AF5" s="1">
        <f t="shared" si="9"/>
        <v>-1.1851241860465118</v>
      </c>
    </row>
    <row r="6" spans="1:32" ht="15">
      <c r="A6" s="1">
        <v>5</v>
      </c>
      <c r="C6" s="1">
        <v>0</v>
      </c>
      <c r="D6" s="1">
        <f t="shared" si="8"/>
        <v>0.83003875968992258</v>
      </c>
      <c r="E6" s="1">
        <f t="shared" si="0"/>
        <v>2.4732662568605671E-3</v>
      </c>
      <c r="G6">
        <v>234.28</v>
      </c>
      <c r="H6" s="1">
        <f t="shared" si="1"/>
        <v>0.75598580187157138</v>
      </c>
      <c r="O6" s="1" t="s">
        <v>36</v>
      </c>
      <c r="P6" s="1" t="s">
        <v>37</v>
      </c>
      <c r="R6" s="1" t="e">
        <f t="shared" si="2"/>
        <v>#VALUE!</v>
      </c>
      <c r="S6" s="1">
        <f>'Solar Availability and Gener GR'!F6</f>
        <v>0</v>
      </c>
      <c r="T6" s="1">
        <v>0.29596899224806206</v>
      </c>
      <c r="U6" s="1">
        <f t="shared" si="3"/>
        <v>-0.29596899224806206</v>
      </c>
      <c r="V6" s="1" t="str">
        <f t="shared" si="4"/>
        <v>Buy from Grid</v>
      </c>
      <c r="W6" s="1">
        <f t="shared" si="5"/>
        <v>6.4121572503185041E-4</v>
      </c>
      <c r="AA6" s="1" t="str">
        <f t="shared" si="6"/>
        <v>buy from the Grid</v>
      </c>
      <c r="AC6" s="1">
        <f t="shared" si="10"/>
        <v>-6.9339615503875976E-2</v>
      </c>
      <c r="AD6" s="1">
        <f t="shared" si="7"/>
        <v>6.9339615503875976E-2</v>
      </c>
      <c r="AF6" s="1">
        <f t="shared" si="9"/>
        <v>-1.4810931782945738</v>
      </c>
    </row>
    <row r="7" spans="1:32" ht="15">
      <c r="A7" s="1">
        <v>6</v>
      </c>
      <c r="C7" s="1">
        <v>0</v>
      </c>
      <c r="D7" s="1">
        <f t="shared" si="8"/>
        <v>0.83003875968992258</v>
      </c>
      <c r="E7" s="1">
        <f t="shared" si="0"/>
        <v>2.434941333305231E-3</v>
      </c>
      <c r="G7">
        <v>237.63</v>
      </c>
      <c r="H7" s="1">
        <f t="shared" si="1"/>
        <v>0.76679574056147137</v>
      </c>
      <c r="R7" s="1" t="e">
        <f t="shared" si="2"/>
        <v>#VALUE!</v>
      </c>
      <c r="S7" s="1">
        <f>'Solar Availability and Gener GR'!F7</f>
        <v>0</v>
      </c>
      <c r="T7" s="1">
        <v>0.39891472868217059</v>
      </c>
      <c r="U7" s="1">
        <f t="shared" si="3"/>
        <v>-0.39891472868217059</v>
      </c>
      <c r="V7" s="1" t="str">
        <f t="shared" si="4"/>
        <v>Buy from Grid</v>
      </c>
      <c r="W7" s="1">
        <f t="shared" si="5"/>
        <v>8.1740187305009212E-4</v>
      </c>
      <c r="AA7" s="1" t="str">
        <f t="shared" si="6"/>
        <v>buy from the Grid</v>
      </c>
      <c r="AC7" s="1">
        <f t="shared" si="10"/>
        <v>-9.4794106976744202E-2</v>
      </c>
      <c r="AD7" s="1">
        <f t="shared" si="7"/>
        <v>9.4794106976744202E-2</v>
      </c>
      <c r="AF7" s="1">
        <f t="shared" si="9"/>
        <v>-1.8800079069767444</v>
      </c>
    </row>
    <row r="8" spans="1:32" ht="15">
      <c r="A8" s="1">
        <v>7</v>
      </c>
      <c r="C8" s="1">
        <v>0</v>
      </c>
      <c r="D8" s="1">
        <f t="shared" si="8"/>
        <v>0.83003875968992258</v>
      </c>
      <c r="E8" s="1">
        <f t="shared" si="0"/>
        <v>2.4122646717966247E-3</v>
      </c>
      <c r="G8">
        <v>239.66</v>
      </c>
      <c r="H8" s="1">
        <f t="shared" si="1"/>
        <v>0.77334624072281366</v>
      </c>
      <c r="R8" s="1" t="e">
        <f t="shared" si="2"/>
        <v>#VALUE!</v>
      </c>
      <c r="S8" s="1">
        <f>'Solar Availability and Gener GR'!F8</f>
        <v>3.5999999999999997E-2</v>
      </c>
      <c r="T8" s="1">
        <v>0.66914728682170543</v>
      </c>
      <c r="U8" s="1">
        <f t="shared" si="3"/>
        <v>-0.6331472868217054</v>
      </c>
      <c r="V8" s="1" t="str">
        <f t="shared" si="4"/>
        <v>Buy from Grid</v>
      </c>
      <c r="W8" s="1">
        <f t="shared" si="5"/>
        <v>1.2358342838394288E-3</v>
      </c>
      <c r="AA8" s="1" t="str">
        <f t="shared" si="6"/>
        <v>buy from the Grid</v>
      </c>
      <c r="AC8" s="1">
        <f t="shared" si="10"/>
        <v>-0.15174007875968989</v>
      </c>
      <c r="AD8" s="1">
        <f t="shared" si="7"/>
        <v>0.16036783875968993</v>
      </c>
      <c r="AF8" s="1">
        <f t="shared" si="9"/>
        <v>-2.5131551937984495</v>
      </c>
    </row>
    <row r="9" spans="1:32" ht="15">
      <c r="A9" s="1">
        <v>8</v>
      </c>
      <c r="C9" s="1">
        <v>0</v>
      </c>
      <c r="D9" s="1">
        <f t="shared" si="8"/>
        <v>0.83003875968992258</v>
      </c>
      <c r="E9" s="1">
        <f t="shared" si="0"/>
        <v>2.5014381977289625E-3</v>
      </c>
      <c r="G9">
        <v>231.88</v>
      </c>
      <c r="H9" s="1">
        <f t="shared" si="1"/>
        <v>0.74824136818328479</v>
      </c>
      <c r="R9" s="1" t="e">
        <f t="shared" si="2"/>
        <v>#VALUE!</v>
      </c>
      <c r="S9" s="1">
        <f>'Solar Availability and Gener GR'!F9</f>
        <v>7.1999999999999995E-2</v>
      </c>
      <c r="T9" s="1">
        <v>0.66914728682170543</v>
      </c>
      <c r="U9" s="1">
        <f t="shared" si="3"/>
        <v>-0.59714728682170548</v>
      </c>
      <c r="V9" s="1" t="str">
        <f t="shared" si="4"/>
        <v>Buy from Grid</v>
      </c>
      <c r="W9" s="1">
        <f t="shared" si="5"/>
        <v>1.2815190305616652E-3</v>
      </c>
      <c r="AA9" s="1" t="str">
        <f t="shared" si="6"/>
        <v>buy from the Grid</v>
      </c>
      <c r="AC9" s="1">
        <f t="shared" si="10"/>
        <v>-0.13846651286821704</v>
      </c>
      <c r="AD9" s="1">
        <f t="shared" si="7"/>
        <v>0.15516187286821703</v>
      </c>
      <c r="AF9" s="1">
        <f t="shared" si="9"/>
        <v>-3.1103024806201551</v>
      </c>
    </row>
    <row r="10" spans="1:32" ht="15">
      <c r="A10" s="1">
        <v>9</v>
      </c>
      <c r="C10" s="1">
        <v>0</v>
      </c>
      <c r="D10" s="1">
        <f t="shared" si="8"/>
        <v>0.83003875968992258</v>
      </c>
      <c r="E10" s="1">
        <f t="shared" si="0"/>
        <v>3.179102374518749E-3</v>
      </c>
      <c r="G10">
        <v>186.47</v>
      </c>
      <c r="H10" s="1">
        <f t="shared" si="1"/>
        <v>0.60171022910616323</v>
      </c>
      <c r="R10" s="1" t="e">
        <f t="shared" si="2"/>
        <v>#VALUE!</v>
      </c>
      <c r="S10" s="1">
        <f>'Solar Availability and Gener GR'!F10</f>
        <v>0.108</v>
      </c>
      <c r="T10" s="1">
        <v>0.65627906976744199</v>
      </c>
      <c r="U10" s="1">
        <f t="shared" si="3"/>
        <v>-0.54827906976744201</v>
      </c>
      <c r="V10" s="1" t="str">
        <f t="shared" si="4"/>
        <v>Buy from Grid</v>
      </c>
      <c r="W10" s="1">
        <f t="shared" si="5"/>
        <v>1.6040910095697438E-3</v>
      </c>
      <c r="AA10" s="1" t="str">
        <f t="shared" si="6"/>
        <v>buy from the Grid</v>
      </c>
      <c r="AC10" s="1">
        <f t="shared" si="10"/>
        <v>-0.10223759813953491</v>
      </c>
      <c r="AD10" s="1">
        <f t="shared" si="7"/>
        <v>0.1223763581395349</v>
      </c>
      <c r="AF10" s="1">
        <f t="shared" si="9"/>
        <v>-3.6585815503875971</v>
      </c>
    </row>
    <row r="11" spans="1:32" ht="15">
      <c r="A11" s="1">
        <v>10</v>
      </c>
      <c r="C11" s="1">
        <v>0</v>
      </c>
      <c r="D11" s="1">
        <f t="shared" si="8"/>
        <v>0.83003875968992258</v>
      </c>
      <c r="E11" s="1">
        <f t="shared" si="0"/>
        <v>3.179102374518749E-3</v>
      </c>
      <c r="G11">
        <v>186.47</v>
      </c>
      <c r="H11" s="1">
        <f t="shared" si="1"/>
        <v>0.60171022910616323</v>
      </c>
      <c r="R11" s="1" t="e">
        <f t="shared" si="2"/>
        <v>#VALUE!</v>
      </c>
      <c r="S11" s="1">
        <f>'Solar Availability and Gener GR'!F11</f>
        <v>0.17817591026439972</v>
      </c>
      <c r="T11" s="1">
        <v>0.39891472868217059</v>
      </c>
      <c r="U11" s="1">
        <f t="shared" si="3"/>
        <v>-0.22073881841777088</v>
      </c>
      <c r="V11" s="1" t="str">
        <f t="shared" si="4"/>
        <v>Buy from Grid</v>
      </c>
      <c r="W11" s="1">
        <f t="shared" si="5"/>
        <v>1.0672143102611147E-3</v>
      </c>
      <c r="AA11" s="1" t="str">
        <f t="shared" si="6"/>
        <v>buy from the Grid</v>
      </c>
      <c r="AC11" s="1">
        <f t="shared" si="10"/>
        <v>-4.1161167470361734E-2</v>
      </c>
      <c r="AD11" s="1">
        <f t="shared" si="7"/>
        <v>7.438562945736435E-2</v>
      </c>
      <c r="AF11" s="1">
        <f t="shared" si="9"/>
        <v>-3.8793203688053679</v>
      </c>
    </row>
    <row r="12" spans="1:32" ht="15">
      <c r="A12" s="1">
        <v>11</v>
      </c>
      <c r="B12" s="1">
        <f>U12</f>
        <v>0.20969828654083023</v>
      </c>
      <c r="D12" s="1">
        <f t="shared" si="8"/>
        <v>0.99779738892258674</v>
      </c>
      <c r="E12" s="1">
        <f t="shared" si="0"/>
        <v>3.3614618021946701E-3</v>
      </c>
      <c r="G12">
        <v>177.25</v>
      </c>
      <c r="H12" s="1">
        <f t="shared" si="1"/>
        <v>0.57195869635366237</v>
      </c>
      <c r="R12" s="1" t="e">
        <f t="shared" si="2"/>
        <v>#VALUE!</v>
      </c>
      <c r="S12" s="1">
        <f>'Solar Availability and Gener GR'!F12</f>
        <v>0.60861301522300082</v>
      </c>
      <c r="T12" s="1">
        <v>0.39891472868217059</v>
      </c>
      <c r="U12" s="1">
        <f t="shared" si="3"/>
        <v>0.20969828654083023</v>
      </c>
      <c r="V12" s="1" t="str">
        <f t="shared" si="4"/>
        <v>sell the surplus or charge</v>
      </c>
      <c r="W12" s="1">
        <f t="shared" si="5"/>
        <v>1.1284317760422318E-3</v>
      </c>
      <c r="X12" s="1">
        <f>(1*(1/(G12+0.01))^1.1)*(LN(S12+1))</f>
        <v>1.5979459172836561E-3</v>
      </c>
      <c r="Y12" s="1">
        <f>X12/W12</f>
        <v>1.4160766749126468</v>
      </c>
      <c r="Z12" s="1" t="str">
        <f>IF(Y12&gt;=2,"sell to the Grid","charge")</f>
        <v>charge</v>
      </c>
      <c r="AD12" s="1">
        <f t="shared" si="7"/>
        <v>7.0707635658914733E-2</v>
      </c>
      <c r="AF12" s="1">
        <f t="shared" si="9"/>
        <v>-3.6696220822645378</v>
      </c>
    </row>
    <row r="13" spans="1:32" ht="15">
      <c r="A13" s="1">
        <v>12</v>
      </c>
      <c r="D13" s="1">
        <f t="shared" si="8"/>
        <v>0.99779738892258674</v>
      </c>
      <c r="E13" s="1">
        <f t="shared" si="0"/>
        <v>3.5539536011126773E-3</v>
      </c>
      <c r="G13">
        <v>168.5</v>
      </c>
      <c r="H13" s="1">
        <f t="shared" si="1"/>
        <v>0.54372378186511772</v>
      </c>
      <c r="R13" s="1" t="e">
        <f t="shared" si="2"/>
        <v>#VALUE!</v>
      </c>
      <c r="S13" s="1">
        <f>'Solar Availability and Gener GR'!F13</f>
        <v>1.0763999999999998</v>
      </c>
      <c r="T13" s="1">
        <v>0.39891472868217059</v>
      </c>
      <c r="U13" s="1">
        <f t="shared" si="3"/>
        <v>0.67748527131782921</v>
      </c>
      <c r="V13" s="1" t="str">
        <f t="shared" si="4"/>
        <v>sell the surplus or charge</v>
      </c>
      <c r="W13" s="1">
        <f t="shared" si="5"/>
        <v>1.1930506458401257E-3</v>
      </c>
      <c r="X13" s="1">
        <f t="shared" ref="X13:X18" si="11">(1*(1/(G13+0.01))^1.1)*(LN(S13+1))</f>
        <v>2.5966451104666721E-3</v>
      </c>
      <c r="Y13" s="1">
        <f t="shared" ref="Y13:Y18" si="12">X13/W13</f>
        <v>2.176475172718388</v>
      </c>
      <c r="Z13" s="1" t="str">
        <f t="shared" ref="Z13:Z18" si="13">IF(Y13&gt;=2,"sell to the Grid","charge")</f>
        <v>sell to the Grid</v>
      </c>
      <c r="AB13" s="1">
        <f>(U13*G13)/1000</f>
        <v>0.11415626821705421</v>
      </c>
      <c r="AD13" s="1">
        <f t="shared" si="7"/>
        <v>6.7217131782945735E-2</v>
      </c>
      <c r="AF13" s="1">
        <f t="shared" si="9"/>
        <v>-2.9921368109467084</v>
      </c>
    </row>
    <row r="14" spans="1:32" ht="15">
      <c r="A14" s="1">
        <v>13</v>
      </c>
      <c r="D14" s="1">
        <f t="shared" si="8"/>
        <v>0.99779738892258674</v>
      </c>
      <c r="E14" s="1">
        <f t="shared" si="0"/>
        <v>7.5534485439815715E-3</v>
      </c>
      <c r="G14">
        <v>84.9</v>
      </c>
      <c r="H14" s="1">
        <f t="shared" si="1"/>
        <v>0.27395934172313646</v>
      </c>
      <c r="R14" s="1" t="e">
        <f t="shared" si="2"/>
        <v>#VALUE!</v>
      </c>
      <c r="S14" s="1">
        <f>'Solar Availability and Gener GR'!F14</f>
        <v>1.3715999999999999</v>
      </c>
      <c r="T14" s="1">
        <v>0.39891472868217059</v>
      </c>
      <c r="U14" s="1">
        <f t="shared" si="3"/>
        <v>0.97268527131782934</v>
      </c>
      <c r="V14" s="1" t="str">
        <f t="shared" si="4"/>
        <v>sell the surplus or charge</v>
      </c>
      <c r="W14" s="1">
        <f t="shared" si="5"/>
        <v>2.5356680686253164E-3</v>
      </c>
      <c r="X14" s="1">
        <f t="shared" si="11"/>
        <v>6.522892529332646E-3</v>
      </c>
      <c r="Y14" s="1">
        <f t="shared" si="12"/>
        <v>2.5724552081727943</v>
      </c>
      <c r="Z14" s="1" t="str">
        <f t="shared" si="13"/>
        <v>sell to the Grid</v>
      </c>
      <c r="AB14" s="1">
        <f t="shared" ref="AB14:AB17" si="14">(U14*G14)/1000</f>
        <v>8.2580979534883706E-2</v>
      </c>
      <c r="AD14" s="1">
        <f t="shared" si="7"/>
        <v>3.3867860465116285E-2</v>
      </c>
      <c r="AF14" s="1">
        <f t="shared" si="9"/>
        <v>-2.019451539628879</v>
      </c>
    </row>
    <row r="15" spans="1:32" ht="15">
      <c r="A15" s="1">
        <v>14</v>
      </c>
      <c r="D15" s="1">
        <f t="shared" si="8"/>
        <v>0.99779738892258674</v>
      </c>
      <c r="E15" s="1">
        <f t="shared" si="0"/>
        <v>7.8530408269235647E-3</v>
      </c>
      <c r="G15">
        <v>81.95</v>
      </c>
      <c r="H15" s="1">
        <f t="shared" si="1"/>
        <v>0.26444014198128424</v>
      </c>
      <c r="R15" s="1" t="e">
        <f t="shared" si="2"/>
        <v>#VALUE!</v>
      </c>
      <c r="S15" s="1">
        <f>'Solar Availability and Gener GR'!F15</f>
        <v>1.4292</v>
      </c>
      <c r="T15" s="1">
        <v>0.39891472868217059</v>
      </c>
      <c r="U15" s="1">
        <f t="shared" si="3"/>
        <v>1.0302852713178294</v>
      </c>
      <c r="V15" s="1" t="str">
        <f t="shared" si="4"/>
        <v>sell the surplus or charge</v>
      </c>
      <c r="W15" s="1">
        <f t="shared" si="5"/>
        <v>2.6362402219986068E-3</v>
      </c>
      <c r="X15" s="1">
        <f t="shared" si="11"/>
        <v>6.9700605049545184E-3</v>
      </c>
      <c r="Y15" s="1">
        <f t="shared" si="12"/>
        <v>2.6439398226275155</v>
      </c>
      <c r="Z15" s="1" t="str">
        <f t="shared" si="13"/>
        <v>sell to the Grid</v>
      </c>
      <c r="AB15" s="1">
        <f t="shared" si="14"/>
        <v>8.4431877984496126E-2</v>
      </c>
      <c r="AD15" s="1">
        <f t="shared" si="7"/>
        <v>3.2691062015503883E-2</v>
      </c>
      <c r="AF15" s="1">
        <f t="shared" si="9"/>
        <v>-0.98916626831104959</v>
      </c>
    </row>
    <row r="16" spans="1:32" ht="15">
      <c r="A16" s="1">
        <v>15</v>
      </c>
      <c r="D16" s="1">
        <f t="shared" si="8"/>
        <v>0.99779738892258674</v>
      </c>
      <c r="E16" s="1">
        <f t="shared" si="0"/>
        <v>3.3104786312752061E-3</v>
      </c>
      <c r="G16">
        <v>179.73</v>
      </c>
      <c r="H16" s="1">
        <f t="shared" si="1"/>
        <v>0.57996127783155849</v>
      </c>
      <c r="R16" s="1" t="e">
        <f t="shared" si="2"/>
        <v>#VALUE!</v>
      </c>
      <c r="S16" s="1">
        <f>'Solar Availability and Gener GR'!F16</f>
        <v>1.3535999999999999</v>
      </c>
      <c r="T16" s="1">
        <v>0.39891472868217059</v>
      </c>
      <c r="U16" s="1">
        <f t="shared" si="3"/>
        <v>0.95468527131782932</v>
      </c>
      <c r="V16" s="1" t="str">
        <f t="shared" si="4"/>
        <v>sell the surplus or charge</v>
      </c>
      <c r="W16" s="1">
        <f t="shared" si="5"/>
        <v>1.1113168916573031E-3</v>
      </c>
      <c r="X16" s="1">
        <f t="shared" si="11"/>
        <v>2.8335911771226749E-3</v>
      </c>
      <c r="Y16" s="1">
        <f t="shared" si="12"/>
        <v>2.5497598375355834</v>
      </c>
      <c r="Z16" s="1" t="str">
        <f t="shared" si="13"/>
        <v>sell to the Grid</v>
      </c>
      <c r="AB16" s="1">
        <f t="shared" si="14"/>
        <v>0.17158558381395347</v>
      </c>
      <c r="AD16" s="1">
        <f t="shared" si="7"/>
        <v>7.1696944186046524E-2</v>
      </c>
      <c r="AF16" s="1">
        <f t="shared" si="9"/>
        <v>-3.448099699322027E-2</v>
      </c>
    </row>
    <row r="17" spans="1:32" ht="15">
      <c r="A17" s="1">
        <v>16</v>
      </c>
      <c r="D17" s="1">
        <f t="shared" si="8"/>
        <v>0.99779738892258674</v>
      </c>
      <c r="E17" s="1">
        <f t="shared" si="0"/>
        <v>1.9194623091563728E-3</v>
      </c>
      <c r="G17">
        <v>295</v>
      </c>
      <c r="H17" s="1">
        <f t="shared" si="1"/>
        <v>0.9519199741852209</v>
      </c>
      <c r="R17" s="1" t="e">
        <f t="shared" si="2"/>
        <v>#VALUE!</v>
      </c>
      <c r="S17" s="1">
        <f>'Solar Availability and Gener GR'!F17</f>
        <v>1.1052</v>
      </c>
      <c r="T17" s="1">
        <v>0.39891472868217059</v>
      </c>
      <c r="U17" s="1">
        <f t="shared" si="3"/>
        <v>0.70628527131782937</v>
      </c>
      <c r="V17" s="1" t="str">
        <f t="shared" si="4"/>
        <v>sell the surplus or charge</v>
      </c>
      <c r="W17" s="1">
        <f t="shared" si="5"/>
        <v>6.4435724396847153E-4</v>
      </c>
      <c r="X17" s="1">
        <f t="shared" si="11"/>
        <v>1.4288678483391373E-3</v>
      </c>
      <c r="Y17" s="1">
        <f t="shared" si="12"/>
        <v>2.2175087836974048</v>
      </c>
      <c r="Z17" s="1" t="str">
        <f t="shared" si="13"/>
        <v>sell to the Grid</v>
      </c>
      <c r="AB17" s="1">
        <f t="shared" si="14"/>
        <v>0.20835415503875968</v>
      </c>
      <c r="AD17" s="1">
        <f t="shared" si="7"/>
        <v>0.11767984496124032</v>
      </c>
      <c r="AF17" s="1">
        <f t="shared" si="9"/>
        <v>0.6718042743246091</v>
      </c>
    </row>
    <row r="18" spans="1:32" ht="15">
      <c r="A18" s="1">
        <v>17</v>
      </c>
      <c r="B18" s="1">
        <f>U18</f>
        <v>0.36068527131782935</v>
      </c>
      <c r="D18" s="1">
        <f t="shared" si="8"/>
        <v>1.2863456059768503</v>
      </c>
      <c r="E18" s="1">
        <f t="shared" si="0"/>
        <v>1.5997172907171616E-3</v>
      </c>
      <c r="G18">
        <v>348.15</v>
      </c>
      <c r="H18" s="1">
        <f t="shared" si="1"/>
        <v>1.1234269119070666</v>
      </c>
      <c r="R18" s="1" t="e">
        <f t="shared" si="2"/>
        <v>#VALUE!</v>
      </c>
      <c r="S18" s="1">
        <f>'Solar Availability and Gener GR'!F18</f>
        <v>0.75959999999999994</v>
      </c>
      <c r="T18" s="1">
        <v>0.39891472868217059</v>
      </c>
      <c r="U18" s="1">
        <f t="shared" si="3"/>
        <v>0.36068527131782935</v>
      </c>
      <c r="V18" s="1" t="str">
        <f t="shared" si="4"/>
        <v>sell the surplus or charge</v>
      </c>
      <c r="W18" s="1">
        <f t="shared" si="5"/>
        <v>5.3701988294225221E-4</v>
      </c>
      <c r="X18" s="1">
        <f t="shared" si="11"/>
        <v>9.0397866158576105E-4</v>
      </c>
      <c r="Y18" s="1">
        <f t="shared" si="12"/>
        <v>1.6833243801570179</v>
      </c>
      <c r="Z18" s="1" t="str">
        <f t="shared" si="13"/>
        <v>charge</v>
      </c>
      <c r="AD18" s="1">
        <f t="shared" si="7"/>
        <v>0.13888216279069771</v>
      </c>
      <c r="AF18" s="1">
        <f t="shared" si="9"/>
        <v>1.0324895456424383</v>
      </c>
    </row>
    <row r="19" spans="1:32" ht="15">
      <c r="A19" s="1">
        <v>18</v>
      </c>
      <c r="C19" s="1">
        <v>0</v>
      </c>
      <c r="D19" s="1">
        <f t="shared" si="8"/>
        <v>1.2863456059768503</v>
      </c>
      <c r="E19" s="1">
        <f t="shared" si="0"/>
        <v>1.7411635141523804E-3</v>
      </c>
      <c r="G19">
        <v>322.33999999999997</v>
      </c>
      <c r="H19" s="1">
        <f t="shared" si="1"/>
        <v>1.0401419812842851</v>
      </c>
      <c r="R19" s="1" t="e">
        <f t="shared" si="2"/>
        <v>#VALUE!</v>
      </c>
      <c r="S19" s="1">
        <f>'Solar Availability and Gener GR'!F19</f>
        <v>0.30959999999999993</v>
      </c>
      <c r="T19" s="1">
        <v>0.66914728682170543</v>
      </c>
      <c r="U19" s="1">
        <f t="shared" si="3"/>
        <v>-0.3595472868217055</v>
      </c>
      <c r="V19" s="1" t="str">
        <f t="shared" si="4"/>
        <v>Buy from Grid</v>
      </c>
      <c r="W19" s="1">
        <f t="shared" si="5"/>
        <v>8.9202051073327055E-4</v>
      </c>
      <c r="AA19" s="1" t="str">
        <f t="shared" ref="AA19:AA35" si="15">IF(D19+AF19&gt;0,"discharge","buy from the Grid")</f>
        <v>discharge</v>
      </c>
      <c r="AD19" s="1">
        <f t="shared" si="7"/>
        <v>0.2156929364341085</v>
      </c>
      <c r="AF19" s="1">
        <f t="shared" si="9"/>
        <v>0.67294225882073277</v>
      </c>
    </row>
    <row r="20" spans="1:32" ht="15">
      <c r="A20" s="1">
        <v>19</v>
      </c>
      <c r="C20" s="1">
        <v>0</v>
      </c>
      <c r="D20" s="1">
        <f t="shared" si="8"/>
        <v>1.2863456059768503</v>
      </c>
      <c r="E20" s="1">
        <f t="shared" si="0"/>
        <v>1.8729686174849998E-3</v>
      </c>
      <c r="G20">
        <v>301.64999999999998</v>
      </c>
      <c r="H20" s="1">
        <f t="shared" si="1"/>
        <v>0.97337850919651481</v>
      </c>
      <c r="R20" s="1" t="e">
        <f t="shared" si="2"/>
        <v>#VALUE!</v>
      </c>
      <c r="S20" s="1">
        <f>'Solar Availability and Gener GR'!F20</f>
        <v>2.8799999999999999E-2</v>
      </c>
      <c r="T20" s="1">
        <v>0.65627906976744199</v>
      </c>
      <c r="U20" s="1">
        <f t="shared" si="3"/>
        <v>-0.62747906976744194</v>
      </c>
      <c r="V20" s="1" t="str">
        <f t="shared" si="4"/>
        <v>Buy from Grid</v>
      </c>
      <c r="W20" s="1">
        <f t="shared" si="5"/>
        <v>9.4505044713093494E-4</v>
      </c>
      <c r="AA20" s="1" t="str">
        <f t="shared" si="15"/>
        <v>discharge</v>
      </c>
      <c r="AD20" s="1">
        <f t="shared" si="7"/>
        <v>0.19796658139534887</v>
      </c>
      <c r="AF20" s="1">
        <f t="shared" si="9"/>
        <v>4.5463189053290831E-2</v>
      </c>
    </row>
    <row r="21" spans="1:32" ht="15">
      <c r="A21" s="1">
        <v>20</v>
      </c>
      <c r="C21" s="1">
        <v>0</v>
      </c>
      <c r="D21" s="1">
        <f t="shared" si="8"/>
        <v>1.2863456059768503</v>
      </c>
      <c r="E21" s="1">
        <f t="shared" si="0"/>
        <v>1.5748215208252218E-3</v>
      </c>
      <c r="G21">
        <v>353.15</v>
      </c>
      <c r="H21" s="1">
        <f t="shared" si="1"/>
        <v>1.1395611487576636</v>
      </c>
      <c r="R21" s="1" t="e">
        <f t="shared" si="2"/>
        <v>#VALUE!</v>
      </c>
      <c r="S21" s="1">
        <f>'Solar Availability and Gener GR'!F21</f>
        <v>0</v>
      </c>
      <c r="T21" s="1">
        <v>0.66914728682170543</v>
      </c>
      <c r="U21" s="1">
        <f t="shared" si="3"/>
        <v>-0.66914728682170543</v>
      </c>
      <c r="V21" s="1" t="str">
        <f t="shared" si="4"/>
        <v>Buy from Grid</v>
      </c>
      <c r="W21" s="1">
        <f t="shared" si="5"/>
        <v>8.0680136351474196E-4</v>
      </c>
      <c r="AA21" s="1" t="str">
        <f t="shared" si="15"/>
        <v>discharge</v>
      </c>
      <c r="AD21" s="1">
        <f t="shared" si="7"/>
        <v>0.23630936434108527</v>
      </c>
      <c r="AF21" s="1">
        <f t="shared" si="9"/>
        <v>-0.6236840977684146</v>
      </c>
    </row>
    <row r="22" spans="1:32" ht="15">
      <c r="A22" s="1">
        <v>21</v>
      </c>
      <c r="C22" s="1">
        <v>0</v>
      </c>
      <c r="D22" s="1">
        <f t="shared" si="8"/>
        <v>1.2863456059768503</v>
      </c>
      <c r="E22" s="1">
        <f t="shared" si="0"/>
        <v>1.5271869061469752E-3</v>
      </c>
      <c r="G22">
        <v>363.15</v>
      </c>
      <c r="H22" s="1">
        <f t="shared" si="1"/>
        <v>1.1718296224588576</v>
      </c>
      <c r="R22" s="1" t="e">
        <f t="shared" si="2"/>
        <v>#VALUE!</v>
      </c>
      <c r="S22" s="1">
        <f>'Solar Availability and Gener GR'!F22</f>
        <v>0</v>
      </c>
      <c r="T22" s="1">
        <v>0.66914728682170543</v>
      </c>
      <c r="U22" s="1">
        <f t="shared" si="3"/>
        <v>-0.66914728682170543</v>
      </c>
      <c r="V22" s="1" t="str">
        <f t="shared" si="4"/>
        <v>Buy from Grid</v>
      </c>
      <c r="W22" s="1">
        <f t="shared" si="5"/>
        <v>7.8239753643675656E-4</v>
      </c>
      <c r="AA22" s="1" t="str">
        <f t="shared" si="15"/>
        <v>buy from the Grid</v>
      </c>
      <c r="AC22" s="1">
        <f t="shared" ref="AC22:AC35" si="16">(U22*G22)/1000</f>
        <v>-0.24300083720930232</v>
      </c>
      <c r="AD22" s="1">
        <f t="shared" si="7"/>
        <v>0.24300083720930232</v>
      </c>
      <c r="AF22" s="1">
        <f t="shared" si="9"/>
        <v>-1.29283138459012</v>
      </c>
    </row>
    <row r="23" spans="1:32" ht="15">
      <c r="A23" s="1">
        <v>22</v>
      </c>
      <c r="C23" s="1">
        <v>0</v>
      </c>
      <c r="D23" s="1">
        <f t="shared" si="8"/>
        <v>1.2863456059768503</v>
      </c>
      <c r="E23" s="1">
        <f t="shared" si="0"/>
        <v>2.0048121630092709E-3</v>
      </c>
      <c r="G23">
        <v>283.56</v>
      </c>
      <c r="H23" s="1">
        <f t="shared" si="1"/>
        <v>0.91500484027105511</v>
      </c>
      <c r="R23" s="1" t="e">
        <f t="shared" si="2"/>
        <v>#VALUE!</v>
      </c>
      <c r="S23" s="1">
        <f>'Solar Availability and Gener GR'!F23</f>
        <v>0</v>
      </c>
      <c r="T23" s="1">
        <v>0.39891472868217059</v>
      </c>
      <c r="U23" s="1">
        <f t="shared" si="3"/>
        <v>-0.39891472868217059</v>
      </c>
      <c r="V23" s="1" t="str">
        <f t="shared" si="4"/>
        <v>Buy from Grid</v>
      </c>
      <c r="W23" s="1">
        <f t="shared" si="5"/>
        <v>6.7300891185453524E-4</v>
      </c>
      <c r="AA23" s="1" t="str">
        <f t="shared" si="15"/>
        <v>buy from the Grid</v>
      </c>
      <c r="AC23" s="1">
        <f t="shared" si="16"/>
        <v>-0.1131162604651163</v>
      </c>
      <c r="AD23" s="1">
        <f t="shared" si="7"/>
        <v>0.1131162604651163</v>
      </c>
      <c r="AF23" s="1">
        <f t="shared" si="9"/>
        <v>-1.6917461132722906</v>
      </c>
    </row>
    <row r="24" spans="1:32" ht="15">
      <c r="A24" s="1">
        <v>23</v>
      </c>
      <c r="C24" s="1">
        <v>0</v>
      </c>
      <c r="D24" s="1">
        <f t="shared" si="8"/>
        <v>1.2863456059768503</v>
      </c>
      <c r="E24" s="1">
        <f t="shared" si="0"/>
        <v>2.4311149488293491E-3</v>
      </c>
      <c r="G24">
        <v>237.97</v>
      </c>
      <c r="H24" s="1">
        <f t="shared" si="1"/>
        <v>0.76789286866731199</v>
      </c>
      <c r="R24" s="1" t="e">
        <f t="shared" si="2"/>
        <v>#VALUE!</v>
      </c>
      <c r="S24" s="1">
        <f>'Solar Availability and Gener GR'!F24</f>
        <v>0</v>
      </c>
      <c r="T24" s="1">
        <v>0.39891472868217059</v>
      </c>
      <c r="U24" s="1">
        <f t="shared" si="3"/>
        <v>-0.39891472868217059</v>
      </c>
      <c r="V24" s="1" t="str">
        <f t="shared" si="4"/>
        <v>Buy from Grid</v>
      </c>
      <c r="W24" s="1">
        <f t="shared" si="5"/>
        <v>8.1611736824711595E-4</v>
      </c>
      <c r="AA24" s="1" t="str">
        <f t="shared" si="15"/>
        <v>buy from the Grid</v>
      </c>
      <c r="AC24" s="1">
        <f t="shared" si="16"/>
        <v>-9.4929737984496138E-2</v>
      </c>
      <c r="AD24" s="1">
        <f t="shared" si="7"/>
        <v>9.4929737984496138E-2</v>
      </c>
      <c r="AF24" s="1">
        <f t="shared" si="9"/>
        <v>-2.0906608419544614</v>
      </c>
    </row>
    <row r="25" spans="1:32" ht="15">
      <c r="A25" s="1">
        <v>24</v>
      </c>
      <c r="C25" s="1">
        <v>0</v>
      </c>
      <c r="D25" s="1">
        <f t="shared" si="8"/>
        <v>1.2863456059768503</v>
      </c>
      <c r="E25" s="1">
        <f t="shared" si="0"/>
        <v>2.5168351273279544E-3</v>
      </c>
      <c r="G25">
        <v>230.59</v>
      </c>
      <c r="H25" s="1">
        <f t="shared" si="1"/>
        <v>0.74407873507583089</v>
      </c>
      <c r="R25" s="1" t="e">
        <f t="shared" si="2"/>
        <v>#VALUE!</v>
      </c>
      <c r="S25" s="1">
        <f>'Solar Availability and Gener GR'!F25</f>
        <v>0</v>
      </c>
      <c r="T25" s="1">
        <v>0.39891472868217059</v>
      </c>
      <c r="U25" s="1">
        <f t="shared" si="3"/>
        <v>-0.39891472868217059</v>
      </c>
      <c r="V25" s="1" t="str">
        <f t="shared" si="4"/>
        <v>Buy from Grid</v>
      </c>
      <c r="W25" s="1">
        <f t="shared" si="5"/>
        <v>8.4489335291030167E-4</v>
      </c>
      <c r="AA25" s="1" t="str">
        <f t="shared" si="15"/>
        <v>buy from the Grid</v>
      </c>
      <c r="AC25" s="1">
        <f t="shared" si="16"/>
        <v>-9.1985747286821726E-2</v>
      </c>
      <c r="AD25" s="1">
        <f t="shared" si="7"/>
        <v>9.1985747286821726E-2</v>
      </c>
      <c r="AF25" s="1">
        <f t="shared" si="9"/>
        <v>-2.489575570636632</v>
      </c>
    </row>
    <row r="26" spans="1:32" ht="15">
      <c r="A26" s="1">
        <v>25</v>
      </c>
      <c r="C26" s="1">
        <v>0</v>
      </c>
      <c r="D26" s="1">
        <f t="shared" si="8"/>
        <v>1.2863456059768503</v>
      </c>
      <c r="E26" s="1">
        <f t="shared" si="0"/>
        <v>3.1641674546249669E-3</v>
      </c>
      <c r="G26">
        <v>187.27</v>
      </c>
      <c r="H26" s="1">
        <f t="shared" si="1"/>
        <v>0.60429170700225876</v>
      </c>
      <c r="R26" s="1" t="e">
        <f t="shared" si="2"/>
        <v>#VALUE!</v>
      </c>
      <c r="S26" s="1">
        <f>'Solar Availability and Gener GR'!F26</f>
        <v>0</v>
      </c>
      <c r="T26" s="1">
        <v>0.29596899224806206</v>
      </c>
      <c r="U26" s="1">
        <f t="shared" si="3"/>
        <v>-0.29596899224806206</v>
      </c>
      <c r="V26" s="1" t="str">
        <f t="shared" si="4"/>
        <v>Buy from Grid</v>
      </c>
      <c r="W26" s="1">
        <f t="shared" si="5"/>
        <v>8.2033785198481958E-4</v>
      </c>
      <c r="AA26" s="1" t="str">
        <f t="shared" si="15"/>
        <v>buy from the Grid</v>
      </c>
      <c r="AC26" s="1">
        <f t="shared" si="16"/>
        <v>-5.5426113178294587E-2</v>
      </c>
      <c r="AD26" s="1">
        <f t="shared" si="7"/>
        <v>5.5426113178294587E-2</v>
      </c>
      <c r="AF26" s="1">
        <f t="shared" si="9"/>
        <v>-2.7855445628846942</v>
      </c>
    </row>
    <row r="27" spans="1:32" ht="15">
      <c r="A27" s="1">
        <v>26</v>
      </c>
      <c r="C27" s="1">
        <v>0</v>
      </c>
      <c r="D27" s="1">
        <f t="shared" si="8"/>
        <v>1.2863456059768503</v>
      </c>
      <c r="E27" s="1">
        <f t="shared" si="0"/>
        <v>3.1654689099345347E-3</v>
      </c>
      <c r="G27">
        <v>187.2</v>
      </c>
      <c r="H27" s="1">
        <f t="shared" si="1"/>
        <v>0.60406582768635031</v>
      </c>
      <c r="R27" s="1" t="e">
        <f t="shared" si="2"/>
        <v>#VALUE!</v>
      </c>
      <c r="S27" s="1">
        <f>'Solar Availability and Gener GR'!F27</f>
        <v>0</v>
      </c>
      <c r="T27" s="1">
        <v>0.29596899224806206</v>
      </c>
      <c r="U27" s="1">
        <f t="shared" si="3"/>
        <v>-0.29596899224806206</v>
      </c>
      <c r="V27" s="1" t="str">
        <f t="shared" si="4"/>
        <v>Buy from Grid</v>
      </c>
      <c r="W27" s="1">
        <f t="shared" si="5"/>
        <v>8.2067526555992744E-4</v>
      </c>
      <c r="AA27" s="1" t="str">
        <f t="shared" si="15"/>
        <v>buy from the Grid</v>
      </c>
      <c r="AC27" s="1">
        <f t="shared" si="16"/>
        <v>-5.5405395348837219E-2</v>
      </c>
      <c r="AD27" s="1">
        <f t="shared" si="7"/>
        <v>5.5405395348837219E-2</v>
      </c>
      <c r="AF27" s="1">
        <f t="shared" si="9"/>
        <v>-3.0815135551327564</v>
      </c>
    </row>
    <row r="28" spans="1:32" ht="15">
      <c r="A28" s="1">
        <v>27</v>
      </c>
      <c r="C28" s="1">
        <v>0</v>
      </c>
      <c r="D28" s="1">
        <f t="shared" si="8"/>
        <v>1.2863456059768503</v>
      </c>
      <c r="E28" s="1">
        <f t="shared" si="0"/>
        <v>3.3050170547879523E-3</v>
      </c>
      <c r="G28">
        <v>180</v>
      </c>
      <c r="H28" s="1">
        <f t="shared" si="1"/>
        <v>0.58083252662149076</v>
      </c>
      <c r="R28" s="1" t="e">
        <f t="shared" si="2"/>
        <v>#VALUE!</v>
      </c>
      <c r="S28" s="1">
        <f>'Solar Availability and Gener GR'!F28</f>
        <v>0</v>
      </c>
      <c r="T28" s="1">
        <v>0.29596899224806206</v>
      </c>
      <c r="U28" s="1">
        <f t="shared" si="3"/>
        <v>-0.29596899224806206</v>
      </c>
      <c r="V28" s="1" t="str">
        <f t="shared" si="4"/>
        <v>Buy from Grid</v>
      </c>
      <c r="W28" s="1">
        <f t="shared" si="5"/>
        <v>8.5685433226203645E-4</v>
      </c>
      <c r="AA28" s="1" t="str">
        <f t="shared" si="15"/>
        <v>buy from the Grid</v>
      </c>
      <c r="AC28" s="1">
        <f t="shared" si="16"/>
        <v>-5.3274418604651166E-2</v>
      </c>
      <c r="AD28" s="1">
        <f t="shared" si="7"/>
        <v>5.3274418604651166E-2</v>
      </c>
      <c r="AF28" s="1">
        <f t="shared" si="9"/>
        <v>-3.3774825473808185</v>
      </c>
    </row>
    <row r="29" spans="1:32" ht="15">
      <c r="A29" s="1">
        <v>28</v>
      </c>
      <c r="C29" s="1">
        <v>0</v>
      </c>
      <c r="D29" s="1">
        <f t="shared" si="8"/>
        <v>1.2863456059768503</v>
      </c>
      <c r="E29" s="1">
        <f t="shared" si="0"/>
        <v>3.3050170547879523E-3</v>
      </c>
      <c r="G29">
        <v>180</v>
      </c>
      <c r="H29" s="1">
        <f t="shared" si="1"/>
        <v>0.58083252662149076</v>
      </c>
      <c r="R29" s="1" t="e">
        <f t="shared" si="2"/>
        <v>#VALUE!</v>
      </c>
      <c r="S29" s="1">
        <f>'Solar Availability and Gener GR'!F29</f>
        <v>0</v>
      </c>
      <c r="T29" s="1">
        <v>0.29596899224806206</v>
      </c>
      <c r="U29" s="1">
        <f t="shared" si="3"/>
        <v>-0.29596899224806206</v>
      </c>
      <c r="V29" s="1" t="str">
        <f t="shared" si="4"/>
        <v>Buy from Grid</v>
      </c>
      <c r="W29" s="1">
        <f t="shared" si="5"/>
        <v>8.5685433226203645E-4</v>
      </c>
      <c r="AA29" s="1" t="str">
        <f t="shared" si="15"/>
        <v>buy from the Grid</v>
      </c>
      <c r="AC29" s="1">
        <f t="shared" si="16"/>
        <v>-5.3274418604651166E-2</v>
      </c>
      <c r="AD29" s="1">
        <f t="shared" si="7"/>
        <v>5.3274418604651166E-2</v>
      </c>
      <c r="AF29" s="1">
        <f t="shared" si="9"/>
        <v>-3.6734515396288807</v>
      </c>
    </row>
    <row r="30" spans="1:32" ht="15">
      <c r="A30" s="1">
        <v>29</v>
      </c>
      <c r="C30" s="1">
        <v>0</v>
      </c>
      <c r="D30" s="1">
        <f t="shared" si="8"/>
        <v>1.2863456059768503</v>
      </c>
      <c r="E30" s="1">
        <f t="shared" si="0"/>
        <v>3.1900146038063614E-3</v>
      </c>
      <c r="G30">
        <v>185.89</v>
      </c>
      <c r="H30" s="1">
        <f t="shared" si="1"/>
        <v>0.59983865763149391</v>
      </c>
      <c r="R30" s="1" t="e">
        <f t="shared" si="2"/>
        <v>#VALUE!</v>
      </c>
      <c r="S30" s="1">
        <f>'Solar Availability and Gener GR'!F30</f>
        <v>0</v>
      </c>
      <c r="T30" s="1">
        <v>0.29596899224806206</v>
      </c>
      <c r="U30" s="1">
        <f t="shared" si="3"/>
        <v>-0.29596899224806206</v>
      </c>
      <c r="V30" s="1" t="str">
        <f t="shared" si="4"/>
        <v>Buy from Grid</v>
      </c>
      <c r="W30" s="1">
        <f t="shared" si="5"/>
        <v>8.2703894955423048E-4</v>
      </c>
      <c r="AA30" s="1" t="str">
        <f t="shared" si="15"/>
        <v>buy from the Grid</v>
      </c>
      <c r="AC30" s="1">
        <f t="shared" si="16"/>
        <v>-5.501767596899225E-2</v>
      </c>
      <c r="AD30" s="1">
        <f t="shared" si="7"/>
        <v>5.501767596899225E-2</v>
      </c>
      <c r="AF30" s="1">
        <f t="shared" si="9"/>
        <v>-3.9694205318769429</v>
      </c>
    </row>
    <row r="31" spans="1:32" ht="15">
      <c r="A31" s="1">
        <v>30</v>
      </c>
      <c r="C31" s="1">
        <v>0</v>
      </c>
      <c r="D31" s="1">
        <f t="shared" si="8"/>
        <v>1.2863456059768503</v>
      </c>
      <c r="E31" s="1">
        <f t="shared" si="0"/>
        <v>2.0998342378481115E-3</v>
      </c>
      <c r="G31">
        <v>271.87</v>
      </c>
      <c r="H31" s="1">
        <f t="shared" si="1"/>
        <v>0.87728299451435943</v>
      </c>
      <c r="R31" s="1" t="e">
        <f t="shared" si="2"/>
        <v>#VALUE!</v>
      </c>
      <c r="S31" s="1">
        <f>'Solar Availability and Gener GR'!F31</f>
        <v>0</v>
      </c>
      <c r="T31" s="1">
        <v>0.39891472868217059</v>
      </c>
      <c r="U31" s="1">
        <f t="shared" si="3"/>
        <v>-0.39891472868217059</v>
      </c>
      <c r="V31" s="1" t="str">
        <f t="shared" si="4"/>
        <v>Buy from Grid</v>
      </c>
      <c r="W31" s="1">
        <f t="shared" si="5"/>
        <v>7.0490751281546355E-4</v>
      </c>
      <c r="AA31" s="1" t="str">
        <f t="shared" si="15"/>
        <v>buy from the Grid</v>
      </c>
      <c r="AC31" s="1">
        <f t="shared" si="16"/>
        <v>-0.10845294728682173</v>
      </c>
      <c r="AD31" s="1">
        <f t="shared" si="7"/>
        <v>0.10845294728682173</v>
      </c>
      <c r="AF31" s="1">
        <f t="shared" si="9"/>
        <v>-4.3683352605591139</v>
      </c>
    </row>
    <row r="32" spans="1:32" ht="15">
      <c r="A32" s="1">
        <v>31</v>
      </c>
      <c r="C32" s="1">
        <v>0</v>
      </c>
      <c r="D32" s="1">
        <f t="shared" si="8"/>
        <v>1.2863456059768503</v>
      </c>
      <c r="E32" s="1">
        <f t="shared" si="0"/>
        <v>1.596589501937883E-3</v>
      </c>
      <c r="G32">
        <v>348.77</v>
      </c>
      <c r="H32" s="1">
        <f t="shared" si="1"/>
        <v>1.1254275572765406</v>
      </c>
      <c r="R32" s="1" t="e">
        <f t="shared" si="2"/>
        <v>#VALUE!</v>
      </c>
      <c r="S32" s="1">
        <f>'Solar Availability and Gener GR'!F32</f>
        <v>3.5999999999999997E-2</v>
      </c>
      <c r="T32" s="1">
        <v>0.66914728682170543</v>
      </c>
      <c r="U32" s="1">
        <f t="shared" si="3"/>
        <v>-0.6331472868217054</v>
      </c>
      <c r="V32" s="1" t="str">
        <f t="shared" si="4"/>
        <v>Buy from Grid</v>
      </c>
      <c r="W32" s="1">
        <f t="shared" si="5"/>
        <v>8.1795338081347391E-4</v>
      </c>
      <c r="AA32" s="1" t="str">
        <f t="shared" si="15"/>
        <v>buy from the Grid</v>
      </c>
      <c r="AC32" s="1">
        <f t="shared" si="16"/>
        <v>-0.22082277922480617</v>
      </c>
      <c r="AD32" s="1">
        <f t="shared" si="7"/>
        <v>0.23337849922480622</v>
      </c>
      <c r="AF32" s="1">
        <f t="shared" si="9"/>
        <v>-5.0014825473808191</v>
      </c>
    </row>
    <row r="33" spans="1:32" ht="15">
      <c r="A33" s="1">
        <v>32</v>
      </c>
      <c r="C33" s="1">
        <v>0</v>
      </c>
      <c r="D33" s="1">
        <f t="shared" si="8"/>
        <v>1.2863456059768503</v>
      </c>
      <c r="E33" s="1">
        <f t="shared" si="0"/>
        <v>1.5717859221032172E-3</v>
      </c>
      <c r="G33">
        <v>353.77</v>
      </c>
      <c r="H33" s="1">
        <f t="shared" si="1"/>
        <v>1.1415617941271377</v>
      </c>
      <c r="R33" s="1" t="e">
        <f t="shared" si="2"/>
        <v>#VALUE!</v>
      </c>
      <c r="S33" s="1">
        <f>'Solar Availability and Gener GR'!F33</f>
        <v>7.1999999999999995E-2</v>
      </c>
      <c r="T33" s="1">
        <v>0.65627906976744199</v>
      </c>
      <c r="U33" s="1">
        <f t="shared" si="3"/>
        <v>-0.58427906976744204</v>
      </c>
      <c r="V33" s="1" t="str">
        <f t="shared" si="4"/>
        <v>Buy from Grid</v>
      </c>
      <c r="W33" s="1">
        <f t="shared" si="5"/>
        <v>7.9308162166238255E-4</v>
      </c>
      <c r="AA33" s="1" t="str">
        <f t="shared" si="15"/>
        <v>buy from the Grid</v>
      </c>
      <c r="AC33" s="1">
        <f t="shared" si="16"/>
        <v>-0.20670040651162797</v>
      </c>
      <c r="AD33" s="1">
        <f t="shared" si="7"/>
        <v>0.23217184651162792</v>
      </c>
      <c r="AF33" s="1">
        <f t="shared" si="9"/>
        <v>-5.5857616171482611</v>
      </c>
    </row>
    <row r="34" spans="1:32" ht="15">
      <c r="A34" s="1">
        <v>33</v>
      </c>
      <c r="C34" s="1">
        <v>0</v>
      </c>
      <c r="D34" s="1">
        <f t="shared" si="8"/>
        <v>1.2863456059768503</v>
      </c>
      <c r="E34" s="1">
        <f t="shared" si="0"/>
        <v>2.5119219553450191E-3</v>
      </c>
      <c r="G34">
        <v>231</v>
      </c>
      <c r="H34" s="1">
        <f t="shared" si="1"/>
        <v>0.74540174249757973</v>
      </c>
      <c r="R34" s="1" t="e">
        <f t="shared" si="2"/>
        <v>#VALUE!</v>
      </c>
      <c r="S34" s="1">
        <f>'Solar Availability and Gener GR'!F34</f>
        <v>0.108</v>
      </c>
      <c r="T34" s="1">
        <v>0.65627906976744199</v>
      </c>
      <c r="U34" s="1">
        <f t="shared" si="3"/>
        <v>-0.54827906976744201</v>
      </c>
      <c r="V34" s="1" t="str">
        <f t="shared" si="4"/>
        <v>Buy from Grid</v>
      </c>
      <c r="W34" s="1">
        <f t="shared" si="5"/>
        <v>1.2674494088664753E-3</v>
      </c>
      <c r="AA34" s="1" t="str">
        <f t="shared" si="15"/>
        <v>buy from the Grid</v>
      </c>
      <c r="AC34" s="1">
        <f t="shared" si="16"/>
        <v>-0.12665246511627909</v>
      </c>
      <c r="AD34" s="1">
        <f t="shared" si="7"/>
        <v>0.15160046511627912</v>
      </c>
      <c r="AF34" s="1">
        <f t="shared" si="9"/>
        <v>-6.1340406869157036</v>
      </c>
    </row>
    <row r="35" spans="1:32" ht="15">
      <c r="A35" s="1">
        <v>34</v>
      </c>
      <c r="C35" s="1">
        <v>0</v>
      </c>
      <c r="D35" s="1">
        <f t="shared" si="8"/>
        <v>1.2863456059768503</v>
      </c>
      <c r="E35" s="1">
        <f t="shared" si="0"/>
        <v>2.8800950173916364E-3</v>
      </c>
      <c r="G35">
        <v>203.99</v>
      </c>
      <c r="H35" s="1">
        <f t="shared" si="1"/>
        <v>0.65824459503065502</v>
      </c>
      <c r="R35" s="1" t="e">
        <f t="shared" si="2"/>
        <v>#VALUE!</v>
      </c>
      <c r="S35" s="1">
        <f>'Solar Availability and Gener GR'!F35</f>
        <v>0.17817591026439972</v>
      </c>
      <c r="T35" s="1">
        <v>0.39891472868217059</v>
      </c>
      <c r="U35" s="1">
        <f t="shared" si="3"/>
        <v>-0.22073881841777088</v>
      </c>
      <c r="V35" s="1" t="str">
        <f t="shared" si="4"/>
        <v>Buy from Grid</v>
      </c>
      <c r="W35" s="1">
        <f t="shared" si="5"/>
        <v>9.6683851457831087E-4</v>
      </c>
      <c r="AA35" s="1" t="str">
        <f t="shared" si="15"/>
        <v>buy from the Grid</v>
      </c>
      <c r="AC35" s="1">
        <f t="shared" si="16"/>
        <v>-4.5028511569041085E-2</v>
      </c>
      <c r="AD35" s="1">
        <f t="shared" si="7"/>
        <v>8.137461550387598E-2</v>
      </c>
      <c r="AF35" s="1">
        <f t="shared" si="9"/>
        <v>-6.3547795053334744</v>
      </c>
    </row>
    <row r="36" spans="1:32" ht="15">
      <c r="A36" s="1">
        <v>35</v>
      </c>
      <c r="B36" s="1">
        <f>U36</f>
        <v>0.20969828654083023</v>
      </c>
      <c r="D36" s="1">
        <f t="shared" si="8"/>
        <v>1.4541042352095146</v>
      </c>
      <c r="E36" s="1">
        <f t="shared" si="0"/>
        <v>3.0056175039417932E-3</v>
      </c>
      <c r="G36">
        <v>196.23</v>
      </c>
      <c r="H36" s="1">
        <f t="shared" si="1"/>
        <v>0.63320425943852843</v>
      </c>
      <c r="R36" s="1" t="e">
        <f t="shared" si="2"/>
        <v>#VALUE!</v>
      </c>
      <c r="S36" s="1">
        <f>'Solar Availability and Gener GR'!F36</f>
        <v>0.60861301522300082</v>
      </c>
      <c r="T36" s="1">
        <v>0.39891472868217059</v>
      </c>
      <c r="U36" s="1">
        <f t="shared" si="3"/>
        <v>0.20969828654083023</v>
      </c>
      <c r="V36" s="1" t="str">
        <f t="shared" si="4"/>
        <v>sell the surplus or charge</v>
      </c>
      <c r="W36" s="1">
        <f t="shared" si="5"/>
        <v>1.0089760043866295E-3</v>
      </c>
      <c r="X36" s="1">
        <f t="shared" ref="X36:X42" si="17">(1*(1/(G36+0.01))^1.1)*(LN(S36+1))</f>
        <v>1.4287873853584664E-3</v>
      </c>
      <c r="Y36" s="1">
        <f t="shared" ref="Y36:Y42" si="18">X36/W36</f>
        <v>1.4160766749126468</v>
      </c>
      <c r="Z36" s="1" t="str">
        <f t="shared" ref="Z36:Z42" si="19">IF(Y36&gt;=2,"sell to the Grid","charge")</f>
        <v>charge</v>
      </c>
      <c r="AD36" s="1">
        <f t="shared" si="7"/>
        <v>7.8279037209302335E-2</v>
      </c>
      <c r="AF36" s="1">
        <f t="shared" si="9"/>
        <v>-6.1450812187926438</v>
      </c>
    </row>
    <row r="37" spans="1:32" ht="15">
      <c r="A37" s="1">
        <v>36</v>
      </c>
      <c r="D37" s="1">
        <f t="shared" si="8"/>
        <v>1.4541042352095146</v>
      </c>
      <c r="E37" s="1">
        <f t="shared" si="0"/>
        <v>3.1343309148735678E-3</v>
      </c>
      <c r="G37">
        <v>188.89</v>
      </c>
      <c r="H37" s="1">
        <f t="shared" si="1"/>
        <v>0.60951919974185209</v>
      </c>
      <c r="R37" s="1" t="e">
        <f t="shared" si="2"/>
        <v>#VALUE!</v>
      </c>
      <c r="S37" s="1">
        <f>'Solar Availability and Gener GR'!F37</f>
        <v>1.0763999999999998</v>
      </c>
      <c r="T37" s="1">
        <v>0.39891472868217059</v>
      </c>
      <c r="U37" s="1">
        <f t="shared" si="3"/>
        <v>0.67748527131782921</v>
      </c>
      <c r="V37" s="1" t="str">
        <f t="shared" si="4"/>
        <v>sell the surplus or charge</v>
      </c>
      <c r="W37" s="1">
        <f t="shared" si="5"/>
        <v>1.0521846771144789E-3</v>
      </c>
      <c r="X37" s="1">
        <f t="shared" si="17"/>
        <v>2.2900538268543769E-3</v>
      </c>
      <c r="Y37" s="1">
        <f t="shared" si="18"/>
        <v>2.176475172718388</v>
      </c>
      <c r="Z37" s="1" t="str">
        <f t="shared" si="19"/>
        <v>sell to the Grid</v>
      </c>
      <c r="AB37" s="1">
        <f t="shared" ref="AB37:AB42" si="20">(U37*G37)/1000</f>
        <v>0.12797019289922476</v>
      </c>
      <c r="AD37" s="1">
        <f t="shared" si="7"/>
        <v>7.5351003100775207E-2</v>
      </c>
      <c r="AF37" s="1">
        <f t="shared" si="9"/>
        <v>-5.4675959474748144</v>
      </c>
    </row>
    <row r="38" spans="1:32" ht="15">
      <c r="A38" s="1">
        <v>37</v>
      </c>
      <c r="D38" s="1">
        <f t="shared" si="8"/>
        <v>1.4541042352095146</v>
      </c>
      <c r="E38" s="1">
        <f t="shared" si="0"/>
        <v>3.1523156337600116E-3</v>
      </c>
      <c r="G38">
        <v>187.91</v>
      </c>
      <c r="H38" s="1">
        <f t="shared" si="1"/>
        <v>0.60635688931913512</v>
      </c>
      <c r="R38" s="1" t="e">
        <f t="shared" si="2"/>
        <v>#VALUE!</v>
      </c>
      <c r="S38" s="1">
        <f>'Solar Availability and Gener GR'!F38</f>
        <v>1.6416000000000002</v>
      </c>
      <c r="T38" s="1">
        <v>0.39891472868217059</v>
      </c>
      <c r="U38" s="1">
        <f t="shared" si="3"/>
        <v>1.2426852713178296</v>
      </c>
      <c r="V38" s="1" t="str">
        <f t="shared" si="4"/>
        <v>sell the surplus or charge</v>
      </c>
      <c r="W38" s="1">
        <f t="shared" si="5"/>
        <v>1.058222088654125E-3</v>
      </c>
      <c r="X38" s="1">
        <f t="shared" si="17"/>
        <v>3.0621114731021128E-3</v>
      </c>
      <c r="Y38" s="1">
        <f t="shared" si="18"/>
        <v>2.8936378345651312</v>
      </c>
      <c r="Z38" s="1" t="str">
        <f t="shared" si="19"/>
        <v>sell to the Grid</v>
      </c>
      <c r="AB38" s="1">
        <f t="shared" si="20"/>
        <v>0.23351298933333337</v>
      </c>
      <c r="AD38" s="1">
        <f t="shared" si="7"/>
        <v>7.4960066666666672E-2</v>
      </c>
      <c r="AF38" s="1">
        <f t="shared" si="9"/>
        <v>-4.224910676156985</v>
      </c>
    </row>
    <row r="39" spans="1:32" ht="15">
      <c r="A39" s="1">
        <v>38</v>
      </c>
      <c r="D39" s="1">
        <f t="shared" si="8"/>
        <v>1.4541042352095146</v>
      </c>
      <c r="E39" s="1">
        <f t="shared" si="0"/>
        <v>3.1343309148735678E-3</v>
      </c>
      <c r="G39">
        <v>188.89</v>
      </c>
      <c r="H39" s="1">
        <f t="shared" si="1"/>
        <v>0.60951919974185209</v>
      </c>
      <c r="R39" s="1" t="e">
        <f t="shared" si="2"/>
        <v>#VALUE!</v>
      </c>
      <c r="S39" s="1">
        <f>'Solar Availability and Gener GR'!F39</f>
        <v>1.7747999999999999</v>
      </c>
      <c r="T39" s="1">
        <v>0.39891472868217059</v>
      </c>
      <c r="U39" s="1">
        <f t="shared" si="3"/>
        <v>1.3758852713178293</v>
      </c>
      <c r="V39" s="1" t="str">
        <f t="shared" si="4"/>
        <v>sell the surplus or charge</v>
      </c>
      <c r="W39" s="1">
        <f t="shared" si="5"/>
        <v>1.0521846771144789E-3</v>
      </c>
      <c r="X39" s="1">
        <f t="shared" si="17"/>
        <v>3.1988312843683007E-3</v>
      </c>
      <c r="Y39" s="1">
        <f t="shared" si="18"/>
        <v>3.0401804492542177</v>
      </c>
      <c r="Z39" s="1" t="str">
        <f t="shared" si="19"/>
        <v>sell to the Grid</v>
      </c>
      <c r="AB39" s="1">
        <f t="shared" si="20"/>
        <v>0.25989096889922481</v>
      </c>
      <c r="AD39" s="1">
        <f t="shared" si="7"/>
        <v>7.5351003100775207E-2</v>
      </c>
      <c r="AF39" s="1">
        <f t="shared" si="9"/>
        <v>-2.8490254048391557</v>
      </c>
    </row>
    <row r="40" spans="1:32" ht="15">
      <c r="A40" s="1">
        <v>39</v>
      </c>
      <c r="D40" s="1">
        <f t="shared" si="8"/>
        <v>1.4541042352095146</v>
      </c>
      <c r="E40" s="1">
        <f t="shared" si="0"/>
        <v>2.8846054276755366E-3</v>
      </c>
      <c r="G40">
        <v>203.7</v>
      </c>
      <c r="H40" s="1">
        <f t="shared" si="1"/>
        <v>0.65730880929332036</v>
      </c>
      <c r="R40" s="1" t="e">
        <f t="shared" si="2"/>
        <v>#VALUE!</v>
      </c>
      <c r="S40" s="1">
        <f>'Solar Availability and Gener GR'!F40</f>
        <v>1.6596</v>
      </c>
      <c r="T40" s="1">
        <v>0.39891472868217059</v>
      </c>
      <c r="U40" s="1">
        <f t="shared" si="3"/>
        <v>1.2606852713178294</v>
      </c>
      <c r="V40" s="1" t="str">
        <f t="shared" si="4"/>
        <v>sell the surplus or charge</v>
      </c>
      <c r="W40" s="1">
        <f t="shared" si="5"/>
        <v>9.6835264461662268E-4</v>
      </c>
      <c r="X40" s="1">
        <f t="shared" si="17"/>
        <v>2.8216510359769719E-3</v>
      </c>
      <c r="Y40" s="1">
        <f t="shared" si="18"/>
        <v>2.9138672276710542</v>
      </c>
      <c r="Z40" s="1" t="str">
        <f t="shared" si="19"/>
        <v>sell to the Grid</v>
      </c>
      <c r="AB40" s="1">
        <f t="shared" si="20"/>
        <v>0.25680158976744183</v>
      </c>
      <c r="AD40" s="1">
        <f t="shared" si="7"/>
        <v>8.1258930232558146E-2</v>
      </c>
      <c r="AF40" s="1">
        <f t="shared" si="9"/>
        <v>-1.5883401335213263</v>
      </c>
    </row>
    <row r="41" spans="1:32" ht="15">
      <c r="A41" s="1">
        <v>40</v>
      </c>
      <c r="D41" s="1">
        <f t="shared" si="8"/>
        <v>1.4541042352095146</v>
      </c>
      <c r="E41" s="1">
        <f t="shared" si="0"/>
        <v>1.5243240421406459E-3</v>
      </c>
      <c r="G41">
        <v>363.77</v>
      </c>
      <c r="H41" s="1">
        <f t="shared" si="1"/>
        <v>1.1738302678283314</v>
      </c>
      <c r="R41" s="1" t="e">
        <f t="shared" si="2"/>
        <v>#VALUE!</v>
      </c>
      <c r="S41" s="1">
        <f>'Solar Availability and Gener GR'!F41</f>
        <v>1.4112</v>
      </c>
      <c r="T41" s="1">
        <v>0.39891472868217059</v>
      </c>
      <c r="U41" s="1">
        <f t="shared" si="3"/>
        <v>1.0122852713178294</v>
      </c>
      <c r="V41" s="1" t="str">
        <f t="shared" si="4"/>
        <v>sell the surplus or charge</v>
      </c>
      <c r="W41" s="1">
        <f t="shared" si="5"/>
        <v>5.1171061501088799E-4</v>
      </c>
      <c r="X41" s="1">
        <f t="shared" si="17"/>
        <v>1.3415950099513606E-3</v>
      </c>
      <c r="Y41" s="1">
        <f t="shared" si="18"/>
        <v>2.6217845997250118</v>
      </c>
      <c r="Z41" s="1" t="str">
        <f t="shared" si="19"/>
        <v>sell to the Grid</v>
      </c>
      <c r="AB41" s="1">
        <f t="shared" si="20"/>
        <v>0.3682390131472868</v>
      </c>
      <c r="AD41" s="1">
        <f t="shared" si="7"/>
        <v>0.1451132108527132</v>
      </c>
      <c r="AF41" s="1">
        <f t="shared" si="9"/>
        <v>-0.57605486220349689</v>
      </c>
    </row>
    <row r="42" spans="1:32" ht="15">
      <c r="A42" s="1">
        <v>41</v>
      </c>
      <c r="D42" s="1">
        <f t="shared" si="8"/>
        <v>1.4541042352095146</v>
      </c>
      <c r="E42" s="1">
        <f t="shared" si="0"/>
        <v>1.596589501937883E-3</v>
      </c>
      <c r="G42">
        <v>348.77</v>
      </c>
      <c r="H42" s="1">
        <f t="shared" si="1"/>
        <v>1.1254275572765406</v>
      </c>
      <c r="R42" s="1" t="e">
        <f t="shared" si="2"/>
        <v>#VALUE!</v>
      </c>
      <c r="S42" s="1">
        <f>'Solar Availability and Gener GR'!F42</f>
        <v>1.0835999999999999</v>
      </c>
      <c r="T42" s="1">
        <v>0.39891472868217059</v>
      </c>
      <c r="U42" s="1">
        <f t="shared" si="3"/>
        <v>0.6846852713178293</v>
      </c>
      <c r="V42" s="1" t="str">
        <f t="shared" si="4"/>
        <v>sell the surplus or charge</v>
      </c>
      <c r="W42" s="1">
        <f t="shared" si="5"/>
        <v>5.3596989443874395E-4</v>
      </c>
      <c r="X42" s="1">
        <f t="shared" si="17"/>
        <v>1.1720518300571585E-3</v>
      </c>
      <c r="Y42" s="1">
        <f t="shared" si="18"/>
        <v>2.1867866874957702</v>
      </c>
      <c r="Z42" s="1" t="str">
        <f t="shared" si="19"/>
        <v>sell to the Grid</v>
      </c>
      <c r="AB42" s="1">
        <f t="shared" si="20"/>
        <v>0.23879768207751931</v>
      </c>
      <c r="AD42" s="1">
        <f t="shared" si="7"/>
        <v>0.13912948992248064</v>
      </c>
      <c r="AF42" s="1">
        <f t="shared" si="9"/>
        <v>0.10863040911433242</v>
      </c>
    </row>
    <row r="43" spans="1:32" ht="15">
      <c r="A43" s="1">
        <v>42</v>
      </c>
      <c r="C43" s="1">
        <v>0</v>
      </c>
      <c r="D43" s="1">
        <f t="shared" si="8"/>
        <v>1.4541042352095146</v>
      </c>
      <c r="E43" s="1">
        <f t="shared" si="0"/>
        <v>1.5243240421406459E-3</v>
      </c>
      <c r="G43">
        <v>363.77</v>
      </c>
      <c r="H43" s="1">
        <f t="shared" si="1"/>
        <v>1.1738302678283314</v>
      </c>
      <c r="R43" s="1" t="e">
        <f t="shared" si="2"/>
        <v>#VALUE!</v>
      </c>
      <c r="S43" s="1">
        <f>'Solar Availability and Gener GR'!F43</f>
        <v>0.54</v>
      </c>
      <c r="T43" s="1">
        <v>0.66914728682170543</v>
      </c>
      <c r="U43" s="1">
        <f t="shared" si="3"/>
        <v>-0.1291472868217054</v>
      </c>
      <c r="V43" s="1" t="str">
        <f t="shared" si="4"/>
        <v>Buy from Grid</v>
      </c>
      <c r="W43" s="1">
        <f t="shared" si="5"/>
        <v>7.8093085430591203E-4</v>
      </c>
      <c r="AA43" s="1" t="str">
        <f t="shared" ref="AA43:AA58" si="21">IF(D43+AF43&gt;0,"discharge","buy from the Grid")</f>
        <v>discharge</v>
      </c>
      <c r="AD43" s="1">
        <f t="shared" si="7"/>
        <v>0.24341570852713179</v>
      </c>
      <c r="AF43" s="1">
        <f t="shared" si="9"/>
        <v>-2.0516877707372982E-2</v>
      </c>
    </row>
    <row r="44" spans="1:32" ht="15">
      <c r="A44" s="1">
        <v>43</v>
      </c>
      <c r="C44" s="1">
        <v>0</v>
      </c>
      <c r="D44" s="1">
        <f t="shared" si="8"/>
        <v>1.4541042352095146</v>
      </c>
      <c r="E44" s="1">
        <f t="shared" si="0"/>
        <v>1.8757728209880468E-3</v>
      </c>
      <c r="G44">
        <v>301.24</v>
      </c>
      <c r="H44" s="1">
        <f t="shared" si="1"/>
        <v>0.97205550177476596</v>
      </c>
      <c r="R44" s="1" t="e">
        <f t="shared" si="2"/>
        <v>#VALUE!</v>
      </c>
      <c r="S44" s="1">
        <f>'Solar Availability and Gener GR'!F44</f>
        <v>0.1368</v>
      </c>
      <c r="T44" s="1">
        <v>0.66914728682170543</v>
      </c>
      <c r="U44" s="1">
        <f t="shared" si="3"/>
        <v>-0.5323472868217054</v>
      </c>
      <c r="V44" s="1" t="str">
        <f t="shared" si="4"/>
        <v>Buy from Grid</v>
      </c>
      <c r="W44" s="1">
        <f t="shared" si="5"/>
        <v>9.6098259364910522E-4</v>
      </c>
      <c r="AA44" s="1" t="str">
        <f t="shared" si="21"/>
        <v>discharge</v>
      </c>
      <c r="AD44" s="1">
        <f t="shared" si="7"/>
        <v>0.20157392868217056</v>
      </c>
      <c r="AF44" s="1">
        <f t="shared" si="9"/>
        <v>-0.55286416452907838</v>
      </c>
    </row>
    <row r="45" spans="1:32" ht="15">
      <c r="A45" s="1">
        <v>44</v>
      </c>
      <c r="C45" s="1">
        <v>0</v>
      </c>
      <c r="D45" s="1">
        <f t="shared" si="8"/>
        <v>1.4541042352095146</v>
      </c>
      <c r="E45" s="1">
        <f t="shared" si="0"/>
        <v>1.5717859221032172E-3</v>
      </c>
      <c r="G45">
        <v>353.77</v>
      </c>
      <c r="H45" s="1">
        <f t="shared" si="1"/>
        <v>1.1415617941271377</v>
      </c>
      <c r="R45" s="1" t="e">
        <f t="shared" si="2"/>
        <v>#VALUE!</v>
      </c>
      <c r="S45" s="1">
        <f>'Solar Availability and Gener GR'!F45</f>
        <v>0</v>
      </c>
      <c r="T45" s="1">
        <v>0.65627906976744199</v>
      </c>
      <c r="U45" s="1">
        <f t="shared" si="3"/>
        <v>-0.65627906976744199</v>
      </c>
      <c r="V45" s="1" t="str">
        <f t="shared" si="4"/>
        <v>Buy from Grid</v>
      </c>
      <c r="W45" s="1">
        <f t="shared" si="5"/>
        <v>7.9308162166238255E-4</v>
      </c>
      <c r="AA45" s="1" t="str">
        <f t="shared" si="21"/>
        <v>discharge</v>
      </c>
      <c r="AD45" s="1">
        <f t="shared" si="7"/>
        <v>0.23217184651162792</v>
      </c>
      <c r="AF45" s="1">
        <f t="shared" si="9"/>
        <v>-1.2091432342965205</v>
      </c>
    </row>
    <row r="46" spans="1:32" ht="15">
      <c r="A46" s="1">
        <v>45</v>
      </c>
      <c r="C46" s="1">
        <v>0</v>
      </c>
      <c r="D46" s="1">
        <f t="shared" si="8"/>
        <v>1.4541042352095146</v>
      </c>
      <c r="E46" s="1">
        <f t="shared" si="0"/>
        <v>1.5477077308543561E-3</v>
      </c>
      <c r="G46">
        <v>358.77</v>
      </c>
      <c r="H46" s="1">
        <f t="shared" si="1"/>
        <v>1.1576960309777347</v>
      </c>
      <c r="R46" s="1" t="e">
        <f t="shared" si="2"/>
        <v>#VALUE!</v>
      </c>
      <c r="S46" s="1">
        <f>'Solar Availability and Gener GR'!F46</f>
        <v>0</v>
      </c>
      <c r="T46" s="1">
        <v>0.66914728682170543</v>
      </c>
      <c r="U46" s="1">
        <f t="shared" si="3"/>
        <v>-0.66914728682170543</v>
      </c>
      <c r="V46" s="1" t="str">
        <f t="shared" si="4"/>
        <v>Buy from Grid</v>
      </c>
      <c r="W46" s="1">
        <f t="shared" si="5"/>
        <v>7.9291061943405155E-4</v>
      </c>
      <c r="AA46" s="1" t="str">
        <f t="shared" si="21"/>
        <v>buy from the Grid</v>
      </c>
      <c r="AC46" s="1">
        <f t="shared" ref="AC46:AC58" si="22">(U46*G46)/1000</f>
        <v>-0.24006997209302325</v>
      </c>
      <c r="AD46" s="1">
        <f t="shared" si="7"/>
        <v>0.24006997209302325</v>
      </c>
      <c r="AF46" s="1">
        <f t="shared" si="9"/>
        <v>-1.8782905211182259</v>
      </c>
    </row>
    <row r="47" spans="1:32" ht="15">
      <c r="A47" s="1">
        <v>46</v>
      </c>
      <c r="C47" s="1">
        <v>0</v>
      </c>
      <c r="D47" s="1">
        <f t="shared" si="8"/>
        <v>1.4541042352095146</v>
      </c>
      <c r="E47" s="1">
        <f t="shared" si="0"/>
        <v>1.9972955762806483E-3</v>
      </c>
      <c r="G47">
        <v>284.52999999999997</v>
      </c>
      <c r="H47" s="1">
        <f t="shared" si="1"/>
        <v>0.91813488222007078</v>
      </c>
      <c r="R47" s="1" t="e">
        <f t="shared" si="2"/>
        <v>#VALUE!</v>
      </c>
      <c r="S47" s="1">
        <f>'Solar Availability and Gener GR'!F47</f>
        <v>0</v>
      </c>
      <c r="T47" s="1">
        <v>0.39891472868217059</v>
      </c>
      <c r="U47" s="1">
        <f t="shared" si="3"/>
        <v>-0.39891472868217059</v>
      </c>
      <c r="V47" s="1" t="str">
        <f t="shared" si="4"/>
        <v>Buy from Grid</v>
      </c>
      <c r="W47" s="1">
        <f t="shared" si="5"/>
        <v>6.7048561817723766E-4</v>
      </c>
      <c r="AA47" s="1" t="str">
        <f t="shared" si="21"/>
        <v>buy from the Grid</v>
      </c>
      <c r="AC47" s="1">
        <f t="shared" si="22"/>
        <v>-0.11350320775193799</v>
      </c>
      <c r="AD47" s="1">
        <f t="shared" si="7"/>
        <v>0.11350320775193799</v>
      </c>
      <c r="AF47" s="1">
        <f t="shared" si="9"/>
        <v>-2.2772052498003967</v>
      </c>
    </row>
    <row r="48" spans="1:32" ht="15">
      <c r="A48" s="1">
        <v>47</v>
      </c>
      <c r="C48" s="1">
        <v>0</v>
      </c>
      <c r="D48" s="1">
        <f t="shared" si="8"/>
        <v>1.4541042352095146</v>
      </c>
      <c r="E48" s="1">
        <f t="shared" si="0"/>
        <v>2.1274477720826779E-3</v>
      </c>
      <c r="G48">
        <v>268.66000000000003</v>
      </c>
      <c r="H48" s="1">
        <f t="shared" si="1"/>
        <v>0.86692481445627623</v>
      </c>
      <c r="R48" s="1" t="e">
        <f t="shared" si="2"/>
        <v>#VALUE!</v>
      </c>
      <c r="S48" s="1">
        <f>'Solar Availability and Gener GR'!F48</f>
        <v>0</v>
      </c>
      <c r="T48" s="1">
        <v>0.39891472868217059</v>
      </c>
      <c r="U48" s="1">
        <f t="shared" si="3"/>
        <v>-0.39891472868217059</v>
      </c>
      <c r="V48" s="1" t="str">
        <f t="shared" si="4"/>
        <v>Buy from Grid</v>
      </c>
      <c r="W48" s="1">
        <f t="shared" si="5"/>
        <v>7.1417728629876494E-4</v>
      </c>
      <c r="AA48" s="1" t="str">
        <f t="shared" si="21"/>
        <v>buy from the Grid</v>
      </c>
      <c r="AC48" s="1">
        <f t="shared" si="22"/>
        <v>-0.10717243100775196</v>
      </c>
      <c r="AD48" s="1">
        <f t="shared" si="7"/>
        <v>0.10717243100775196</v>
      </c>
      <c r="AF48" s="1">
        <f t="shared" si="9"/>
        <v>-2.6761199784825673</v>
      </c>
    </row>
    <row r="49" spans="1:32" ht="15">
      <c r="A49" s="1">
        <v>48</v>
      </c>
      <c r="C49" s="1">
        <v>0</v>
      </c>
      <c r="D49" s="1">
        <f t="shared" si="8"/>
        <v>1.4541042352095146</v>
      </c>
      <c r="E49" s="1">
        <f t="shared" si="0"/>
        <v>2.1779538684357073E-3</v>
      </c>
      <c r="G49">
        <v>262.99</v>
      </c>
      <c r="H49" s="1">
        <f t="shared" si="1"/>
        <v>0.84862858986769918</v>
      </c>
      <c r="R49" s="1" t="e">
        <f t="shared" si="2"/>
        <v>#VALUE!</v>
      </c>
      <c r="S49" s="1">
        <f>'Solar Availability and Gener GR'!F49</f>
        <v>0</v>
      </c>
      <c r="T49" s="1">
        <v>0.39891472868217059</v>
      </c>
      <c r="U49" s="1">
        <f t="shared" si="3"/>
        <v>-0.39891472868217059</v>
      </c>
      <c r="V49" s="1" t="str">
        <f t="shared" si="4"/>
        <v>Buy from Grid</v>
      </c>
      <c r="W49" s="1">
        <f t="shared" si="5"/>
        <v>7.3113201830595268E-4</v>
      </c>
      <c r="AA49" s="1" t="str">
        <f t="shared" si="21"/>
        <v>buy from the Grid</v>
      </c>
      <c r="AC49" s="1">
        <f t="shared" si="22"/>
        <v>-0.10491058449612405</v>
      </c>
      <c r="AD49" s="1">
        <f t="shared" si="7"/>
        <v>0.10491058449612405</v>
      </c>
      <c r="AF49" s="1">
        <f t="shared" si="9"/>
        <v>-3.0750347071647379</v>
      </c>
    </row>
    <row r="50" spans="1:32" ht="15">
      <c r="A50" s="1">
        <v>49</v>
      </c>
      <c r="C50" s="1">
        <v>0</v>
      </c>
      <c r="D50" s="1">
        <f t="shared" si="8"/>
        <v>1.4541042352095146</v>
      </c>
      <c r="E50" s="1">
        <f t="shared" si="0"/>
        <v>1.5945777626345846E-3</v>
      </c>
      <c r="G50">
        <v>349.17</v>
      </c>
      <c r="H50" s="1">
        <f t="shared" si="1"/>
        <v>1.1267182962245885</v>
      </c>
      <c r="R50" s="1" t="e">
        <f t="shared" si="2"/>
        <v>#VALUE!</v>
      </c>
      <c r="S50" s="1">
        <f>'Solar Availability and Gener GR'!F50</f>
        <v>0</v>
      </c>
      <c r="T50" s="1">
        <v>0.29596899224806206</v>
      </c>
      <c r="U50" s="1">
        <f t="shared" si="3"/>
        <v>-0.29596899224806206</v>
      </c>
      <c r="V50" s="1" t="str">
        <f t="shared" si="4"/>
        <v>Buy from Grid</v>
      </c>
      <c r="W50" s="1">
        <f t="shared" si="5"/>
        <v>4.1340811299680607E-4</v>
      </c>
      <c r="AA50" s="1" t="str">
        <f t="shared" si="21"/>
        <v>buy from the Grid</v>
      </c>
      <c r="AC50" s="1">
        <f t="shared" si="22"/>
        <v>-0.10334349302325584</v>
      </c>
      <c r="AD50" s="1">
        <f t="shared" si="7"/>
        <v>0.10334349302325584</v>
      </c>
      <c r="AF50" s="1">
        <f t="shared" si="9"/>
        <v>-3.3710036994128001</v>
      </c>
    </row>
    <row r="51" spans="1:32" ht="15">
      <c r="A51" s="1">
        <v>50</v>
      </c>
      <c r="C51" s="1">
        <v>0</v>
      </c>
      <c r="D51" s="1">
        <f t="shared" si="8"/>
        <v>1.4541042352095146</v>
      </c>
      <c r="E51" s="1">
        <f t="shared" si="0"/>
        <v>2.0810505633458011E-3</v>
      </c>
      <c r="G51">
        <v>274.10000000000002</v>
      </c>
      <c r="H51" s="1">
        <f t="shared" si="1"/>
        <v>0.88447886414972565</v>
      </c>
      <c r="R51" s="1" t="e">
        <f t="shared" si="2"/>
        <v>#VALUE!</v>
      </c>
      <c r="S51" s="1">
        <f>'Solar Availability and Gener GR'!F51</f>
        <v>0</v>
      </c>
      <c r="T51" s="1">
        <v>0.29596899224806206</v>
      </c>
      <c r="U51" s="1">
        <f t="shared" si="3"/>
        <v>-0.29596899224806206</v>
      </c>
      <c r="V51" s="1" t="str">
        <f t="shared" si="4"/>
        <v>Buy from Grid</v>
      </c>
      <c r="W51" s="1">
        <f t="shared" si="5"/>
        <v>5.3953040522921214E-4</v>
      </c>
      <c r="AA51" s="1" t="str">
        <f t="shared" si="21"/>
        <v>buy from the Grid</v>
      </c>
      <c r="AC51" s="1">
        <f t="shared" si="22"/>
        <v>-8.1125100775193817E-2</v>
      </c>
      <c r="AD51" s="1">
        <f t="shared" si="7"/>
        <v>8.1125100775193817E-2</v>
      </c>
      <c r="AF51" s="1">
        <f t="shared" si="9"/>
        <v>-3.6669726916608623</v>
      </c>
    </row>
    <row r="52" spans="1:32" ht="15">
      <c r="A52" s="1">
        <v>51</v>
      </c>
      <c r="C52" s="1">
        <v>0</v>
      </c>
      <c r="D52" s="1">
        <f t="shared" si="8"/>
        <v>1.4541042352095146</v>
      </c>
      <c r="E52" s="1">
        <f t="shared" si="0"/>
        <v>2.1051142293660673E-3</v>
      </c>
      <c r="G52">
        <v>271.25</v>
      </c>
      <c r="H52" s="1">
        <f t="shared" si="1"/>
        <v>0.87528234914488534</v>
      </c>
      <c r="R52" s="1" t="e">
        <f t="shared" si="2"/>
        <v>#VALUE!</v>
      </c>
      <c r="S52" s="1">
        <f>'Solar Availability and Gener GR'!F52</f>
        <v>0</v>
      </c>
      <c r="T52" s="1">
        <v>0.29596899224806206</v>
      </c>
      <c r="U52" s="1">
        <f t="shared" si="3"/>
        <v>-0.29596899224806206</v>
      </c>
      <c r="V52" s="1" t="str">
        <f t="shared" si="4"/>
        <v>Buy from Grid</v>
      </c>
      <c r="W52" s="1">
        <f t="shared" si="5"/>
        <v>5.4576911932289628E-4</v>
      </c>
      <c r="AA52" s="1" t="str">
        <f t="shared" si="21"/>
        <v>buy from the Grid</v>
      </c>
      <c r="AC52" s="1">
        <f t="shared" si="22"/>
        <v>-8.0281589147286836E-2</v>
      </c>
      <c r="AD52" s="1">
        <f t="shared" si="7"/>
        <v>8.0281589147286836E-2</v>
      </c>
      <c r="AF52" s="1">
        <f t="shared" si="9"/>
        <v>-3.9629416839089244</v>
      </c>
    </row>
    <row r="53" spans="1:32" ht="15">
      <c r="A53" s="1">
        <v>52</v>
      </c>
      <c r="C53" s="1">
        <v>0</v>
      </c>
      <c r="D53" s="1">
        <f t="shared" si="8"/>
        <v>1.4541042352095146</v>
      </c>
      <c r="E53" s="1">
        <f t="shared" si="0"/>
        <v>3.4572400461143848E-3</v>
      </c>
      <c r="G53">
        <v>172.78</v>
      </c>
      <c r="H53" s="1">
        <f t="shared" si="1"/>
        <v>0.55753468860922872</v>
      </c>
      <c r="R53" s="1" t="e">
        <f t="shared" si="2"/>
        <v>#VALUE!</v>
      </c>
      <c r="S53" s="1">
        <f>'Solar Availability and Gener GR'!F53</f>
        <v>0</v>
      </c>
      <c r="T53" s="1">
        <v>0.29596899224806206</v>
      </c>
      <c r="U53" s="1">
        <f t="shared" si="3"/>
        <v>-0.29596899224806206</v>
      </c>
      <c r="V53" s="1" t="str">
        <f t="shared" si="4"/>
        <v>Buy from Grid</v>
      </c>
      <c r="W53" s="1">
        <f t="shared" si="5"/>
        <v>8.9631946282739405E-4</v>
      </c>
      <c r="AA53" s="1" t="str">
        <f t="shared" si="21"/>
        <v>buy from the Grid</v>
      </c>
      <c r="AC53" s="1">
        <f t="shared" si="22"/>
        <v>-5.1137522480620159E-2</v>
      </c>
      <c r="AD53" s="1">
        <f t="shared" si="7"/>
        <v>5.1137522480620159E-2</v>
      </c>
      <c r="AF53" s="1">
        <f t="shared" si="9"/>
        <v>-4.2589106761569866</v>
      </c>
    </row>
    <row r="54" spans="1:32" ht="15">
      <c r="A54" s="1">
        <v>53</v>
      </c>
      <c r="C54" s="1">
        <v>0</v>
      </c>
      <c r="D54" s="1">
        <f t="shared" si="8"/>
        <v>1.4541042352095146</v>
      </c>
      <c r="E54" s="1">
        <f t="shared" si="0"/>
        <v>2.0915398217732288E-3</v>
      </c>
      <c r="G54">
        <v>272.85000000000002</v>
      </c>
      <c r="H54" s="1">
        <f t="shared" si="1"/>
        <v>0.8804453049370764</v>
      </c>
      <c r="R54" s="1" t="e">
        <f t="shared" si="2"/>
        <v>#VALUE!</v>
      </c>
      <c r="S54" s="1">
        <f>'Solar Availability and Gener GR'!F54</f>
        <v>0</v>
      </c>
      <c r="T54" s="1">
        <v>0.29596899224806206</v>
      </c>
      <c r="U54" s="1">
        <f t="shared" si="3"/>
        <v>-0.29596899224806206</v>
      </c>
      <c r="V54" s="1" t="str">
        <f t="shared" si="4"/>
        <v>Buy from Grid</v>
      </c>
      <c r="W54" s="1">
        <f t="shared" si="5"/>
        <v>5.4224983643842088E-4</v>
      </c>
      <c r="AA54" s="1" t="str">
        <f t="shared" si="21"/>
        <v>buy from the Grid</v>
      </c>
      <c r="AC54" s="1">
        <f t="shared" si="22"/>
        <v>-8.0755139534883738E-2</v>
      </c>
      <c r="AD54" s="1">
        <f t="shared" si="7"/>
        <v>8.0755139534883738E-2</v>
      </c>
      <c r="AF54" s="1">
        <f t="shared" si="9"/>
        <v>-4.5548796684050483</v>
      </c>
    </row>
    <row r="55" spans="1:32" ht="15">
      <c r="A55" s="1">
        <v>54</v>
      </c>
      <c r="C55" s="1">
        <v>0</v>
      </c>
      <c r="D55" s="1">
        <f t="shared" si="8"/>
        <v>1.4541042352095146</v>
      </c>
      <c r="E55" s="1">
        <f t="shared" si="0"/>
        <v>1.5698333930510388E-3</v>
      </c>
      <c r="G55">
        <v>354.17</v>
      </c>
      <c r="H55" s="1">
        <f t="shared" si="1"/>
        <v>1.1428525330751855</v>
      </c>
      <c r="R55" s="1" t="e">
        <f t="shared" si="2"/>
        <v>#VALUE!</v>
      </c>
      <c r="S55" s="1">
        <f>'Solar Availability and Gener GR'!F55</f>
        <v>0</v>
      </c>
      <c r="T55" s="1">
        <v>0.39891472868217059</v>
      </c>
      <c r="U55" s="1">
        <f t="shared" si="3"/>
        <v>-0.39891472868217059</v>
      </c>
      <c r="V55" s="1" t="str">
        <f t="shared" si="4"/>
        <v>Buy from Grid</v>
      </c>
      <c r="W55" s="1">
        <f t="shared" si="5"/>
        <v>5.2698795585135664E-4</v>
      </c>
      <c r="AA55" s="1" t="str">
        <f t="shared" si="21"/>
        <v>buy from the Grid</v>
      </c>
      <c r="AC55" s="1">
        <f t="shared" si="22"/>
        <v>-0.14128362945736436</v>
      </c>
      <c r="AD55" s="1">
        <f t="shared" si="7"/>
        <v>0.14128362945736436</v>
      </c>
      <c r="AF55" s="1">
        <f t="shared" si="9"/>
        <v>-4.9537943970872185</v>
      </c>
    </row>
    <row r="56" spans="1:32" ht="15">
      <c r="A56" s="1">
        <v>55</v>
      </c>
      <c r="C56" s="1">
        <v>0</v>
      </c>
      <c r="D56" s="1">
        <f t="shared" si="8"/>
        <v>1.4541042352095146</v>
      </c>
      <c r="E56" s="1">
        <f t="shared" si="0"/>
        <v>1.5458118751004904E-3</v>
      </c>
      <c r="G56">
        <v>359.17</v>
      </c>
      <c r="H56" s="1">
        <f t="shared" si="1"/>
        <v>1.1589867699257825</v>
      </c>
      <c r="R56" s="1" t="e">
        <f t="shared" si="2"/>
        <v>#VALUE!</v>
      </c>
      <c r="S56" s="1">
        <f>'Solar Availability and Gener GR'!F56</f>
        <v>0</v>
      </c>
      <c r="T56" s="1">
        <v>0.66914728682170543</v>
      </c>
      <c r="U56" s="1">
        <f t="shared" si="3"/>
        <v>-0.66914728682170543</v>
      </c>
      <c r="V56" s="1" t="str">
        <f t="shared" si="4"/>
        <v>Buy from Grid</v>
      </c>
      <c r="W56" s="1">
        <f t="shared" si="5"/>
        <v>7.9193934809503367E-4</v>
      </c>
      <c r="AA56" s="1" t="str">
        <f t="shared" si="21"/>
        <v>buy from the Grid</v>
      </c>
      <c r="AC56" s="1">
        <f t="shared" si="22"/>
        <v>-0.24033763100775196</v>
      </c>
      <c r="AD56" s="1">
        <f t="shared" si="7"/>
        <v>0.24033763100775196</v>
      </c>
      <c r="AF56" s="1">
        <f t="shared" si="9"/>
        <v>-5.6229416839089241</v>
      </c>
    </row>
    <row r="57" spans="1:32" ht="15">
      <c r="A57" s="1">
        <v>56</v>
      </c>
      <c r="C57" s="1">
        <v>0</v>
      </c>
      <c r="D57" s="1">
        <f t="shared" si="8"/>
        <v>1.4541042352095146</v>
      </c>
      <c r="E57" s="1">
        <f t="shared" si="0"/>
        <v>1.5945777626345846E-3</v>
      </c>
      <c r="G57">
        <v>349.17</v>
      </c>
      <c r="H57" s="1">
        <f t="shared" si="1"/>
        <v>1.1267182962245885</v>
      </c>
      <c r="R57" s="1" t="e">
        <f t="shared" si="2"/>
        <v>#VALUE!</v>
      </c>
      <c r="S57" s="1">
        <f>'Solar Availability and Gener GR'!F57</f>
        <v>1.6199999999999999E-2</v>
      </c>
      <c r="T57" s="1">
        <v>0.66914728682170543</v>
      </c>
      <c r="U57" s="1">
        <f t="shared" si="3"/>
        <v>-0.65294728682170544</v>
      </c>
      <c r="V57" s="1" t="str">
        <f t="shared" si="4"/>
        <v>Buy from Grid</v>
      </c>
      <c r="W57" s="1">
        <f t="shared" si="5"/>
        <v>8.1692274083842021E-4</v>
      </c>
      <c r="AA57" s="1" t="str">
        <f t="shared" si="21"/>
        <v>buy from the Grid</v>
      </c>
      <c r="AC57" s="1">
        <f t="shared" si="22"/>
        <v>-0.2279896041395349</v>
      </c>
      <c r="AD57" s="1">
        <f t="shared" si="7"/>
        <v>0.23364615813953488</v>
      </c>
      <c r="AF57" s="1">
        <f t="shared" si="9"/>
        <v>-6.2758889707306293</v>
      </c>
    </row>
    <row r="58" spans="1:32" ht="15">
      <c r="A58" s="1">
        <v>57</v>
      </c>
      <c r="C58" s="1">
        <v>0</v>
      </c>
      <c r="D58" s="1">
        <f t="shared" si="8"/>
        <v>1.4541042352095146</v>
      </c>
      <c r="E58" s="1">
        <f t="shared" si="0"/>
        <v>2.1159230003469482E-3</v>
      </c>
      <c r="G58">
        <v>269.99</v>
      </c>
      <c r="H58" s="1">
        <f t="shared" si="1"/>
        <v>0.8712165214585349</v>
      </c>
      <c r="R58" s="1" t="e">
        <f t="shared" si="2"/>
        <v>#VALUE!</v>
      </c>
      <c r="S58" s="1">
        <f>'Solar Availability and Gener GR'!F58</f>
        <v>0.24480000000000002</v>
      </c>
      <c r="T58" s="1">
        <v>0.66914728682170543</v>
      </c>
      <c r="U58" s="1">
        <f t="shared" si="3"/>
        <v>-0.42434728682170542</v>
      </c>
      <c r="V58" s="1" t="str">
        <f t="shared" si="4"/>
        <v>Buy from Grid</v>
      </c>
      <c r="W58" s="1">
        <f t="shared" si="5"/>
        <v>1.0840146259098421E-3</v>
      </c>
      <c r="AA58" s="1" t="str">
        <f t="shared" si="21"/>
        <v>buy from the Grid</v>
      </c>
      <c r="AC58" s="1">
        <f t="shared" si="22"/>
        <v>-0.11456952396899224</v>
      </c>
      <c r="AD58" s="1">
        <f t="shared" si="7"/>
        <v>0.18066307596899225</v>
      </c>
      <c r="AF58" s="1">
        <f t="shared" si="9"/>
        <v>-6.7002362575523344</v>
      </c>
    </row>
    <row r="59" spans="1:32" ht="15">
      <c r="A59" s="1">
        <v>58</v>
      </c>
      <c r="B59" s="1">
        <f>U59</f>
        <v>0.36068527131782935</v>
      </c>
      <c r="D59" s="1">
        <f t="shared" si="8"/>
        <v>1.7426524522637781</v>
      </c>
      <c r="E59" s="1">
        <f t="shared" si="0"/>
        <v>2.9679968644195699E-3</v>
      </c>
      <c r="G59">
        <v>198.49</v>
      </c>
      <c r="H59" s="1">
        <f t="shared" si="1"/>
        <v>0.64049693449499834</v>
      </c>
      <c r="R59" s="1" t="e">
        <f t="shared" si="2"/>
        <v>#VALUE!</v>
      </c>
      <c r="S59" s="1">
        <f>'Solar Availability and Gener GR'!F59</f>
        <v>0.75959999999999994</v>
      </c>
      <c r="T59" s="1">
        <v>0.39891472868217059</v>
      </c>
      <c r="U59" s="1">
        <f t="shared" si="3"/>
        <v>0.36068527131782935</v>
      </c>
      <c r="V59" s="1" t="str">
        <f t="shared" si="4"/>
        <v>sell the surplus or charge</v>
      </c>
      <c r="W59" s="1">
        <f t="shared" si="5"/>
        <v>9.9634687825936254E-4</v>
      </c>
      <c r="X59" s="1">
        <f t="shared" ref="X59:X67" si="23">(1*(1/(G59+0.01))^1.1)*(LN(S59+1))</f>
        <v>1.6771749912673213E-3</v>
      </c>
      <c r="Y59" s="1">
        <f t="shared" ref="Y59:Y67" si="24">X59/W59</f>
        <v>1.6833243801570179</v>
      </c>
      <c r="Z59" s="1" t="str">
        <f t="shared" ref="Z59:Z67" si="25">IF(Y59&gt;=2,"sell to the Grid","charge")</f>
        <v>charge</v>
      </c>
      <c r="AD59" s="1">
        <f t="shared" si="7"/>
        <v>7.9180584496124043E-2</v>
      </c>
      <c r="AF59" s="1">
        <f t="shared" si="9"/>
        <v>-6.3395509862345047</v>
      </c>
    </row>
    <row r="60" spans="1:32" ht="15">
      <c r="A60" s="1">
        <v>59</v>
      </c>
      <c r="D60" s="1">
        <f t="shared" si="8"/>
        <v>1.7426524522637781</v>
      </c>
      <c r="E60" s="1">
        <f t="shared" si="0"/>
        <v>3.0859570608382969E-3</v>
      </c>
      <c r="G60">
        <v>191.58</v>
      </c>
      <c r="H60" s="1">
        <f t="shared" si="1"/>
        <v>0.61819941916747334</v>
      </c>
      <c r="R60" s="1" t="e">
        <f t="shared" si="2"/>
        <v>#VALUE!</v>
      </c>
      <c r="S60" s="1">
        <f>'Solar Availability and Gener GR'!F60</f>
        <v>1.4328000000000001</v>
      </c>
      <c r="T60" s="1">
        <v>0.39891472868217059</v>
      </c>
      <c r="U60" s="1">
        <f t="shared" si="3"/>
        <v>1.0338852713178295</v>
      </c>
      <c r="V60" s="1" t="str">
        <f t="shared" si="4"/>
        <v>sell the surplus or charge</v>
      </c>
      <c r="W60" s="1">
        <f t="shared" si="5"/>
        <v>1.0359457319069536E-3</v>
      </c>
      <c r="X60" s="1">
        <f t="shared" si="23"/>
        <v>2.7435480831228074E-3</v>
      </c>
      <c r="Y60" s="1">
        <f t="shared" si="24"/>
        <v>2.6483511622491314</v>
      </c>
      <c r="Z60" s="1" t="str">
        <f t="shared" si="25"/>
        <v>sell to the Grid</v>
      </c>
      <c r="AB60" s="1">
        <f t="shared" ref="AB60:AB66" si="26">(U60*G60)/1000</f>
        <v>0.19807174027906979</v>
      </c>
      <c r="AD60" s="1">
        <f t="shared" si="7"/>
        <v>7.6424083720930236E-2</v>
      </c>
      <c r="AF60" s="1">
        <f t="shared" si="9"/>
        <v>-5.3056657149166755</v>
      </c>
    </row>
    <row r="61" spans="1:32" ht="15">
      <c r="A61" s="1">
        <v>60</v>
      </c>
      <c r="D61" s="1">
        <f t="shared" si="8"/>
        <v>1.7426524522637781</v>
      </c>
      <c r="E61" s="1">
        <f t="shared" si="0"/>
        <v>3.3009825206831204E-3</v>
      </c>
      <c r="G61">
        <v>180.2</v>
      </c>
      <c r="H61" s="1">
        <f t="shared" si="1"/>
        <v>0.58147789609551459</v>
      </c>
      <c r="R61" s="1" t="e">
        <f t="shared" si="2"/>
        <v>#VALUE!</v>
      </c>
      <c r="S61" s="1">
        <f>'Solar Availability and Gener GR'!F61</f>
        <v>1.9116000000000002</v>
      </c>
      <c r="T61" s="1">
        <v>0.39891472868217059</v>
      </c>
      <c r="U61" s="1">
        <f t="shared" si="3"/>
        <v>1.5126852713178296</v>
      </c>
      <c r="V61" s="1" t="str">
        <f t="shared" si="4"/>
        <v>sell the surplus or charge</v>
      </c>
      <c r="W61" s="1">
        <f t="shared" si="5"/>
        <v>1.1081290782679247E-3</v>
      </c>
      <c r="X61" s="1">
        <f t="shared" si="23"/>
        <v>3.5277691248285872E-3</v>
      </c>
      <c r="Y61" s="1">
        <f t="shared" si="24"/>
        <v>3.1835362811187227</v>
      </c>
      <c r="Z61" s="1" t="str">
        <f t="shared" si="25"/>
        <v>sell to the Grid</v>
      </c>
      <c r="AB61" s="1">
        <f t="shared" si="26"/>
        <v>0.27258588589147287</v>
      </c>
      <c r="AD61" s="1">
        <f t="shared" si="7"/>
        <v>7.1884434108527129E-2</v>
      </c>
      <c r="AF61" s="1">
        <f t="shared" si="9"/>
        <v>-3.7929804435988457</v>
      </c>
    </row>
    <row r="62" spans="1:32" ht="15">
      <c r="A62" s="1">
        <v>61</v>
      </c>
      <c r="D62" s="1">
        <f t="shared" si="8"/>
        <v>1.7426524522637781</v>
      </c>
      <c r="E62" s="1">
        <f t="shared" si="0"/>
        <v>3.4090302010221438E-3</v>
      </c>
      <c r="G62">
        <v>175</v>
      </c>
      <c r="H62" s="1">
        <f t="shared" si="1"/>
        <v>0.56469828977089376</v>
      </c>
      <c r="R62" s="1" t="e">
        <f t="shared" si="2"/>
        <v>#VALUE!</v>
      </c>
      <c r="S62" s="1">
        <f>'Solar Availability and Gener GR'!F62</f>
        <v>2.1888000000000001</v>
      </c>
      <c r="T62" s="1">
        <v>0.39891472868217059</v>
      </c>
      <c r="U62" s="1">
        <f t="shared" si="3"/>
        <v>1.7898852713178295</v>
      </c>
      <c r="V62" s="1" t="str">
        <f t="shared" si="4"/>
        <v>sell the surplus or charge</v>
      </c>
      <c r="W62" s="1">
        <f t="shared" si="5"/>
        <v>1.1444003325605076E-3</v>
      </c>
      <c r="X62" s="1">
        <f t="shared" si="23"/>
        <v>3.953263704108396E-3</v>
      </c>
      <c r="Y62" s="1">
        <f t="shared" si="24"/>
        <v>3.4544412402111706</v>
      </c>
      <c r="Z62" s="1" t="str">
        <f t="shared" si="25"/>
        <v>sell to the Grid</v>
      </c>
      <c r="AB62" s="1">
        <f t="shared" si="26"/>
        <v>0.31322992248062015</v>
      </c>
      <c r="AD62" s="1">
        <f t="shared" si="7"/>
        <v>6.9810077519379857E-2</v>
      </c>
      <c r="AF62" s="1">
        <f t="shared" si="9"/>
        <v>-2.0030951722810162</v>
      </c>
    </row>
    <row r="63" spans="1:32" ht="15">
      <c r="A63" s="1">
        <v>62</v>
      </c>
      <c r="D63" s="1">
        <f t="shared" si="8"/>
        <v>1.7426524522637781</v>
      </c>
      <c r="E63" s="1">
        <f t="shared" si="0"/>
        <v>3.4141800879708803E-3</v>
      </c>
      <c r="G63">
        <v>174.76</v>
      </c>
      <c r="H63" s="1">
        <f t="shared" si="1"/>
        <v>0.56392384640206505</v>
      </c>
      <c r="R63" s="1" t="e">
        <f t="shared" si="2"/>
        <v>#VALUE!</v>
      </c>
      <c r="S63" s="1">
        <f>'Solar Availability and Gener GR'!F63</f>
        <v>2.3508</v>
      </c>
      <c r="T63" s="1">
        <v>0.39891472868217059</v>
      </c>
      <c r="U63" s="1">
        <f t="shared" si="3"/>
        <v>1.9518852713178294</v>
      </c>
      <c r="V63" s="1" t="str">
        <f t="shared" si="4"/>
        <v>sell the surplus or charge</v>
      </c>
      <c r="W63" s="1">
        <f t="shared" si="5"/>
        <v>1.1461291328319209E-3</v>
      </c>
      <c r="X63" s="1">
        <f t="shared" si="23"/>
        <v>4.1284235691542298E-3</v>
      </c>
      <c r="Y63" s="1">
        <f t="shared" si="24"/>
        <v>3.6020579626603562</v>
      </c>
      <c r="Z63" s="1" t="str">
        <f t="shared" si="25"/>
        <v>sell to the Grid</v>
      </c>
      <c r="AB63" s="1">
        <f t="shared" si="26"/>
        <v>0.34111147001550385</v>
      </c>
      <c r="AD63" s="1">
        <f t="shared" si="7"/>
        <v>6.9714337984496125E-2</v>
      </c>
      <c r="AF63" s="1">
        <f t="shared" si="9"/>
        <v>-5.1209900963186783E-2</v>
      </c>
    </row>
    <row r="64" spans="1:32" ht="15">
      <c r="A64" s="1">
        <v>63</v>
      </c>
      <c r="D64" s="1">
        <f t="shared" si="8"/>
        <v>1.7426524522637781</v>
      </c>
      <c r="E64" s="1">
        <f t="shared" si="0"/>
        <v>3.3009825206831204E-3</v>
      </c>
      <c r="G64">
        <v>180.2</v>
      </c>
      <c r="H64" s="1">
        <f t="shared" si="1"/>
        <v>0.58147789609551459</v>
      </c>
      <c r="R64" s="1" t="e">
        <f t="shared" si="2"/>
        <v>#VALUE!</v>
      </c>
      <c r="S64" s="1">
        <f>'Solar Availability and Gener GR'!F64</f>
        <v>2.2355999999999998</v>
      </c>
      <c r="T64" s="1">
        <v>0.39891472868217059</v>
      </c>
      <c r="U64" s="1">
        <f t="shared" si="3"/>
        <v>1.8366852713178292</v>
      </c>
      <c r="V64" s="1" t="str">
        <f t="shared" si="4"/>
        <v>sell the surplus or charge</v>
      </c>
      <c r="W64" s="1">
        <f t="shared" si="5"/>
        <v>1.1081290782679247E-3</v>
      </c>
      <c r="X64" s="1">
        <f t="shared" si="23"/>
        <v>3.8760611510503707E-3</v>
      </c>
      <c r="Y64" s="1">
        <f t="shared" si="24"/>
        <v>3.4978426494401695</v>
      </c>
      <c r="Z64" s="1" t="str">
        <f t="shared" si="25"/>
        <v>sell to the Grid</v>
      </c>
      <c r="AB64" s="1">
        <f t="shared" si="26"/>
        <v>0.33097068589147277</v>
      </c>
      <c r="AD64" s="1">
        <f t="shared" si="7"/>
        <v>7.1884434108527129E-2</v>
      </c>
      <c r="AF64" s="1">
        <f t="shared" si="9"/>
        <v>1.7854753703546424</v>
      </c>
    </row>
    <row r="65" spans="1:32" ht="15">
      <c r="A65" s="1">
        <v>64</v>
      </c>
      <c r="D65" s="1">
        <f t="shared" si="8"/>
        <v>1.7426524522637781</v>
      </c>
      <c r="E65" s="1">
        <f t="shared" si="0"/>
        <v>2.1160954222982976E-3</v>
      </c>
      <c r="G65">
        <v>269.97000000000003</v>
      </c>
      <c r="H65" s="1">
        <f t="shared" si="1"/>
        <v>0.87115198451113263</v>
      </c>
      <c r="R65" s="1" t="e">
        <f t="shared" si="2"/>
        <v>#VALUE!</v>
      </c>
      <c r="S65" s="1">
        <f>'Solar Availability and Gener GR'!F65</f>
        <v>1.9476</v>
      </c>
      <c r="T65" s="1">
        <v>0.39891472868217059</v>
      </c>
      <c r="U65" s="1">
        <f t="shared" si="3"/>
        <v>1.5486852713178294</v>
      </c>
      <c r="V65" s="1" t="str">
        <f t="shared" si="4"/>
        <v>sell the surplus or charge</v>
      </c>
      <c r="W65" s="1">
        <f t="shared" si="5"/>
        <v>7.1036633945978042E-4</v>
      </c>
      <c r="X65" s="1">
        <f t="shared" si="23"/>
        <v>2.2874806989634251E-3</v>
      </c>
      <c r="Y65" s="1">
        <f t="shared" si="24"/>
        <v>3.2201423010879275</v>
      </c>
      <c r="Z65" s="1" t="str">
        <f t="shared" si="25"/>
        <v>sell to the Grid</v>
      </c>
      <c r="AB65" s="1">
        <f t="shared" si="26"/>
        <v>0.41809856269767443</v>
      </c>
      <c r="AD65" s="1">
        <f t="shared" si="7"/>
        <v>0.1076950093023256</v>
      </c>
      <c r="AF65" s="1">
        <f t="shared" si="9"/>
        <v>3.3341606416724718</v>
      </c>
    </row>
    <row r="66" spans="1:32" ht="15">
      <c r="A66" s="1">
        <v>65</v>
      </c>
      <c r="D66" s="1">
        <f t="shared" si="8"/>
        <v>1.7426524522637781</v>
      </c>
      <c r="E66" s="1">
        <f t="shared" si="0"/>
        <v>1.5698333930510388E-3</v>
      </c>
      <c r="G66">
        <v>354.17</v>
      </c>
      <c r="H66" s="1">
        <f t="shared" si="1"/>
        <v>1.1428525330751855</v>
      </c>
      <c r="R66" s="1" t="e">
        <f t="shared" si="2"/>
        <v>#VALUE!</v>
      </c>
      <c r="S66" s="1">
        <f>'Solar Availability and Gener GR'!F66</f>
        <v>1.5047999999999999</v>
      </c>
      <c r="T66" s="1">
        <v>0.39891472868217059</v>
      </c>
      <c r="U66" s="1">
        <f t="shared" si="3"/>
        <v>1.1058852713178293</v>
      </c>
      <c r="V66" s="1" t="str">
        <f t="shared" si="4"/>
        <v>sell the surplus or charge</v>
      </c>
      <c r="W66" s="1">
        <f t="shared" si="5"/>
        <v>5.2698795585135664E-4</v>
      </c>
      <c r="X66" s="1">
        <f t="shared" si="23"/>
        <v>1.4414349789353489E-3</v>
      </c>
      <c r="Y66" s="1">
        <f t="shared" si="24"/>
        <v>2.7352332495088811</v>
      </c>
      <c r="Z66" s="1" t="str">
        <f t="shared" si="25"/>
        <v>sell to the Grid</v>
      </c>
      <c r="AB66" s="1">
        <f t="shared" si="26"/>
        <v>0.39167138654263561</v>
      </c>
      <c r="AD66" s="1">
        <f t="shared" si="7"/>
        <v>0.14128362945736436</v>
      </c>
      <c r="AF66" s="1">
        <f t="shared" si="9"/>
        <v>4.4400459129903016</v>
      </c>
    </row>
    <row r="67" spans="1:32" ht="15">
      <c r="A67" s="1">
        <v>66</v>
      </c>
      <c r="B67" s="1">
        <f>U67</f>
        <v>0.28332093023255811</v>
      </c>
      <c r="D67" s="1">
        <f t="shared" si="8"/>
        <v>1.9693091964498246</v>
      </c>
      <c r="E67" s="1">
        <f t="shared" ref="E67:E130" si="27">1*(1/(G67+0.01))^1.1</f>
        <v>1.4998161231143672E-3</v>
      </c>
      <c r="G67">
        <v>369.17</v>
      </c>
      <c r="H67" s="1">
        <f t="shared" ref="H67:H130" si="28">G67/($H$1-$I$1)</f>
        <v>1.1912552436269763</v>
      </c>
      <c r="R67" s="1" t="e">
        <f t="shared" ref="R67:R130" si="29">S67-T67-V67</f>
        <v>#VALUE!</v>
      </c>
      <c r="S67" s="1">
        <f>'Solar Availability and Gener GR'!F67</f>
        <v>0.9396000000000001</v>
      </c>
      <c r="T67" s="1">
        <v>0.65627906976744199</v>
      </c>
      <c r="U67" s="1">
        <f t="shared" ref="U67:U130" si="30">S67-T67</f>
        <v>0.28332093023255811</v>
      </c>
      <c r="V67" s="1" t="str">
        <f t="shared" ref="V67:V130" si="31">IF(U67&lt;0,"Buy from Grid","sell the surplus or charge")</f>
        <v>sell the surplus or charge</v>
      </c>
      <c r="W67" s="1">
        <f t="shared" ref="W67:W130" si="32">(1*(1/(G67+0.01))^1.1)*(LN(T67+1))</f>
        <v>7.567675638189222E-4</v>
      </c>
      <c r="X67" s="1">
        <f t="shared" si="23"/>
        <v>9.936008342896238E-4</v>
      </c>
      <c r="Y67" s="1">
        <f t="shared" si="24"/>
        <v>1.3129537810467926</v>
      </c>
      <c r="Z67" s="1" t="str">
        <f t="shared" si="25"/>
        <v>charge</v>
      </c>
      <c r="AD67" s="1">
        <f t="shared" ref="AD67:AD130" si="33">(T67*G67)/1000</f>
        <v>0.24227854418604655</v>
      </c>
      <c r="AF67" s="1">
        <f t="shared" si="9"/>
        <v>4.7233668432228599</v>
      </c>
    </row>
    <row r="68" spans="1:32" ht="15">
      <c r="A68" s="1">
        <v>67</v>
      </c>
      <c r="C68" s="1">
        <v>0</v>
      </c>
      <c r="D68" s="1">
        <f t="shared" ref="D68:D131" si="34">(D67)+(B68*0.8)-(C68/0.8)</f>
        <v>1.9693091964498246</v>
      </c>
      <c r="E68" s="1">
        <f t="shared" si="27"/>
        <v>1.618370614559231E-3</v>
      </c>
      <c r="G68">
        <v>344.5</v>
      </c>
      <c r="H68" s="1">
        <f t="shared" si="28"/>
        <v>1.1116489190061309</v>
      </c>
      <c r="R68" s="1" t="e">
        <f t="shared" si="29"/>
        <v>#VALUE!</v>
      </c>
      <c r="S68" s="1">
        <f>'Solar Availability and Gener GR'!F68</f>
        <v>0.34559999999999996</v>
      </c>
      <c r="T68" s="1">
        <v>0.66914728682170543</v>
      </c>
      <c r="U68" s="1">
        <f t="shared" si="30"/>
        <v>-0.32354728682170547</v>
      </c>
      <c r="V68" s="1" t="str">
        <f t="shared" si="31"/>
        <v>Buy from Grid</v>
      </c>
      <c r="W68" s="1">
        <f t="shared" si="32"/>
        <v>8.2911212555336242E-4</v>
      </c>
      <c r="AA68" s="1" t="str">
        <f t="shared" ref="AA68:AA82" si="35">IF(D68+AF68&gt;0,"discharge","buy from the Grid")</f>
        <v>discharge</v>
      </c>
      <c r="AD68" s="1">
        <f t="shared" si="33"/>
        <v>0.23052124031007754</v>
      </c>
      <c r="AF68" s="1">
        <f t="shared" ref="AF68:AF131" si="36">U68+AF67</f>
        <v>4.3998195564011544</v>
      </c>
    </row>
    <row r="69" spans="1:32" ht="15">
      <c r="A69" s="1">
        <v>68</v>
      </c>
      <c r="C69" s="1">
        <v>0</v>
      </c>
      <c r="D69" s="1">
        <f t="shared" si="34"/>
        <v>1.9693091964498246</v>
      </c>
      <c r="E69" s="1">
        <f t="shared" si="27"/>
        <v>1.5945777626345846E-3</v>
      </c>
      <c r="G69">
        <v>349.17</v>
      </c>
      <c r="H69" s="1">
        <f t="shared" si="28"/>
        <v>1.1267182962245885</v>
      </c>
      <c r="R69" s="1" t="e">
        <f t="shared" si="29"/>
        <v>#VALUE!</v>
      </c>
      <c r="S69" s="1">
        <f>'Solar Availability and Gener GR'!F69</f>
        <v>2.8799999999999999E-2</v>
      </c>
      <c r="T69" s="1">
        <v>0.65627906976744199</v>
      </c>
      <c r="U69" s="1">
        <f t="shared" si="30"/>
        <v>-0.62747906976744194</v>
      </c>
      <c r="V69" s="1" t="str">
        <f t="shared" si="31"/>
        <v>Buy from Grid</v>
      </c>
      <c r="W69" s="1">
        <f t="shared" si="32"/>
        <v>8.0458178182738773E-4</v>
      </c>
      <c r="AA69" s="1" t="str">
        <f t="shared" si="35"/>
        <v>discharge</v>
      </c>
      <c r="AD69" s="1">
        <f t="shared" si="33"/>
        <v>0.22915296279069772</v>
      </c>
      <c r="AF69" s="1">
        <f t="shared" si="36"/>
        <v>3.7723404866337127</v>
      </c>
    </row>
    <row r="70" spans="1:32" ht="15">
      <c r="A70" s="1">
        <v>69</v>
      </c>
      <c r="C70" s="1">
        <v>0</v>
      </c>
      <c r="D70" s="1">
        <f t="shared" si="34"/>
        <v>1.9693091964498246</v>
      </c>
      <c r="E70" s="1">
        <f t="shared" si="27"/>
        <v>1.6261572523247657E-3</v>
      </c>
      <c r="G70">
        <v>343</v>
      </c>
      <c r="H70" s="1">
        <f t="shared" si="28"/>
        <v>1.1068086479509518</v>
      </c>
      <c r="R70" s="1" t="e">
        <f t="shared" si="29"/>
        <v>#VALUE!</v>
      </c>
      <c r="S70" s="1">
        <f>'Solar Availability and Gener GR'!F70</f>
        <v>0</v>
      </c>
      <c r="T70" s="1">
        <v>0.66914728682170543</v>
      </c>
      <c r="U70" s="1">
        <f t="shared" si="30"/>
        <v>-0.66914728682170543</v>
      </c>
      <c r="V70" s="1" t="str">
        <f t="shared" si="31"/>
        <v>Buy from Grid</v>
      </c>
      <c r="W70" s="1">
        <f t="shared" si="32"/>
        <v>8.3310132044519809E-4</v>
      </c>
      <c r="AA70" s="1" t="str">
        <f t="shared" si="35"/>
        <v>discharge</v>
      </c>
      <c r="AD70" s="1">
        <f t="shared" si="33"/>
        <v>0.22951751937984496</v>
      </c>
      <c r="AF70" s="1">
        <f t="shared" si="36"/>
        <v>3.103193199812007</v>
      </c>
    </row>
    <row r="71" spans="1:32" ht="15">
      <c r="A71" s="1">
        <v>70</v>
      </c>
      <c r="C71" s="1">
        <v>0</v>
      </c>
      <c r="D71" s="1">
        <f t="shared" si="34"/>
        <v>1.9693091964498246</v>
      </c>
      <c r="E71" s="1">
        <f t="shared" si="27"/>
        <v>2.109305089434486E-3</v>
      </c>
      <c r="G71">
        <v>270.76</v>
      </c>
      <c r="H71" s="1">
        <f t="shared" si="28"/>
        <v>0.87370119393352685</v>
      </c>
      <c r="R71" s="1" t="e">
        <f t="shared" si="29"/>
        <v>#VALUE!</v>
      </c>
      <c r="S71" s="1">
        <f>'Solar Availability and Gener GR'!F71</f>
        <v>0</v>
      </c>
      <c r="T71" s="1">
        <v>0.39891472868217059</v>
      </c>
      <c r="U71" s="1">
        <f t="shared" si="30"/>
        <v>-0.39891472868217059</v>
      </c>
      <c r="V71" s="1" t="str">
        <f t="shared" si="31"/>
        <v>Buy from Grid</v>
      </c>
      <c r="W71" s="1">
        <f t="shared" si="32"/>
        <v>7.0808684683891347E-4</v>
      </c>
      <c r="AA71" s="1" t="str">
        <f t="shared" si="35"/>
        <v>discharge</v>
      </c>
      <c r="AD71" s="1">
        <f t="shared" si="33"/>
        <v>0.10801015193798451</v>
      </c>
      <c r="AF71" s="1">
        <f t="shared" si="36"/>
        <v>2.7042784711298364</v>
      </c>
    </row>
    <row r="72" spans="1:32" ht="15">
      <c r="A72" s="1">
        <v>71</v>
      </c>
      <c r="C72" s="1">
        <v>0</v>
      </c>
      <c r="D72" s="1">
        <f t="shared" si="34"/>
        <v>1.9693091964498246</v>
      </c>
      <c r="E72" s="1">
        <f t="shared" si="27"/>
        <v>2.367032099520737E-3</v>
      </c>
      <c r="G72">
        <v>243.82</v>
      </c>
      <c r="H72" s="1">
        <f t="shared" si="28"/>
        <v>0.78676992578251037</v>
      </c>
      <c r="R72" s="1" t="e">
        <f t="shared" si="29"/>
        <v>#VALUE!</v>
      </c>
      <c r="S72" s="1">
        <f>'Solar Availability and Gener GR'!F72</f>
        <v>0</v>
      </c>
      <c r="T72" s="1">
        <v>0.39891472868217059</v>
      </c>
      <c r="U72" s="1">
        <f t="shared" si="30"/>
        <v>-0.39891472868217059</v>
      </c>
      <c r="V72" s="1" t="str">
        <f t="shared" si="31"/>
        <v>Buy from Grid</v>
      </c>
      <c r="W72" s="1">
        <f t="shared" si="32"/>
        <v>7.9460496450302126E-4</v>
      </c>
      <c r="AA72" s="1" t="str">
        <f t="shared" si="35"/>
        <v>discharge</v>
      </c>
      <c r="AD72" s="1">
        <f t="shared" si="33"/>
        <v>9.7263389147286827E-2</v>
      </c>
      <c r="AF72" s="1">
        <f t="shared" si="36"/>
        <v>2.3053637424476658</v>
      </c>
    </row>
    <row r="73" spans="1:32" ht="15">
      <c r="A73" s="1">
        <v>72</v>
      </c>
      <c r="C73" s="1">
        <v>0</v>
      </c>
      <c r="D73" s="1">
        <f t="shared" si="34"/>
        <v>1.9693091964498246</v>
      </c>
      <c r="E73" s="1">
        <f t="shared" si="27"/>
        <v>4.0392395961230424E-3</v>
      </c>
      <c r="G73">
        <v>149.99</v>
      </c>
      <c r="H73" s="1">
        <f t="shared" si="28"/>
        <v>0.48399483704420776</v>
      </c>
      <c r="R73" s="1" t="e">
        <f t="shared" si="29"/>
        <v>#VALUE!</v>
      </c>
      <c r="S73" s="1">
        <f>'Solar Availability and Gener GR'!F73</f>
        <v>0</v>
      </c>
      <c r="T73" s="1">
        <v>0.39891472868217059</v>
      </c>
      <c r="U73" s="1">
        <f t="shared" si="30"/>
        <v>-0.39891472868217059</v>
      </c>
      <c r="V73" s="1" t="str">
        <f t="shared" si="31"/>
        <v>Buy from Grid</v>
      </c>
      <c r="W73" s="1">
        <f t="shared" si="32"/>
        <v>1.3559595734026629E-3</v>
      </c>
      <c r="AA73" s="1" t="str">
        <f t="shared" si="35"/>
        <v>discharge</v>
      </c>
      <c r="AD73" s="1">
        <f t="shared" si="33"/>
        <v>5.9833220155038773E-2</v>
      </c>
      <c r="AF73" s="1">
        <f t="shared" si="36"/>
        <v>1.9064490137654952</v>
      </c>
    </row>
    <row r="74" spans="1:32" ht="15">
      <c r="A74" s="1">
        <v>73</v>
      </c>
      <c r="C74" s="1">
        <v>0</v>
      </c>
      <c r="D74" s="1">
        <f t="shared" si="34"/>
        <v>1.9693091964498246</v>
      </c>
      <c r="E74" s="1">
        <f t="shared" si="27"/>
        <v>3.9897653430960404E-3</v>
      </c>
      <c r="G74">
        <v>151.68</v>
      </c>
      <c r="H74" s="1">
        <f t="shared" si="28"/>
        <v>0.48944820909970954</v>
      </c>
      <c r="R74" s="1" t="e">
        <f t="shared" si="29"/>
        <v>#VALUE!</v>
      </c>
      <c r="S74" s="1">
        <f>'Solar Availability and Gener GR'!F74</f>
        <v>0</v>
      </c>
      <c r="T74" s="1">
        <v>0.29596899224806206</v>
      </c>
      <c r="U74" s="1">
        <f t="shared" si="30"/>
        <v>-0.29596899224806206</v>
      </c>
      <c r="V74" s="1" t="str">
        <f t="shared" si="31"/>
        <v>Buy from Grid</v>
      </c>
      <c r="W74" s="1">
        <f t="shared" si="32"/>
        <v>1.0343812640809839E-3</v>
      </c>
      <c r="AA74" s="1" t="str">
        <f t="shared" si="35"/>
        <v>discharge</v>
      </c>
      <c r="AD74" s="1">
        <f t="shared" si="33"/>
        <v>4.489257674418605E-2</v>
      </c>
      <c r="AF74" s="1">
        <f t="shared" si="36"/>
        <v>1.6104800215174331</v>
      </c>
    </row>
    <row r="75" spans="1:32" ht="15">
      <c r="A75" s="1">
        <v>74</v>
      </c>
      <c r="C75" s="1">
        <v>0</v>
      </c>
      <c r="D75" s="1">
        <f t="shared" si="34"/>
        <v>1.9693091964498246</v>
      </c>
      <c r="E75" s="1">
        <f t="shared" si="27"/>
        <v>2.7004604965010894E-3</v>
      </c>
      <c r="G75">
        <v>216.29</v>
      </c>
      <c r="H75" s="1">
        <f t="shared" si="28"/>
        <v>0.69793481768312349</v>
      </c>
      <c r="R75" s="1" t="e">
        <f t="shared" si="29"/>
        <v>#VALUE!</v>
      </c>
      <c r="S75" s="1">
        <f>'Solar Availability and Gener GR'!F75</f>
        <v>0</v>
      </c>
      <c r="T75" s="1">
        <v>0.29596899224806206</v>
      </c>
      <c r="U75" s="1">
        <f t="shared" si="30"/>
        <v>-0.29596899224806206</v>
      </c>
      <c r="V75" s="1" t="str">
        <f t="shared" si="31"/>
        <v>Buy from Grid</v>
      </c>
      <c r="W75" s="1">
        <f t="shared" si="32"/>
        <v>7.0011780186650407E-4</v>
      </c>
      <c r="AA75" s="1" t="str">
        <f t="shared" si="35"/>
        <v>discharge</v>
      </c>
      <c r="AD75" s="1">
        <f t="shared" si="33"/>
        <v>6.4015133333333335E-2</v>
      </c>
      <c r="AF75" s="1">
        <f t="shared" si="36"/>
        <v>1.3145110292693709</v>
      </c>
    </row>
    <row r="76" spans="1:32" ht="15">
      <c r="A76" s="1">
        <v>75</v>
      </c>
      <c r="C76" s="1">
        <v>0</v>
      </c>
      <c r="D76" s="1">
        <f t="shared" si="34"/>
        <v>1.9693091964498246</v>
      </c>
      <c r="E76" s="1">
        <f t="shared" si="27"/>
        <v>3.8908984268790892E-3</v>
      </c>
      <c r="G76">
        <v>155.18</v>
      </c>
      <c r="H76" s="1">
        <f t="shared" si="28"/>
        <v>0.5007421748951274</v>
      </c>
      <c r="R76" s="1" t="e">
        <f t="shared" si="29"/>
        <v>#VALUE!</v>
      </c>
      <c r="S76" s="1">
        <f>'Solar Availability and Gener GR'!F76</f>
        <v>0</v>
      </c>
      <c r="T76" s="1">
        <v>0.29596899224806206</v>
      </c>
      <c r="U76" s="1">
        <f t="shared" si="30"/>
        <v>-0.29596899224806206</v>
      </c>
      <c r="V76" s="1" t="str">
        <f t="shared" si="31"/>
        <v>Buy from Grid</v>
      </c>
      <c r="W76" s="1">
        <f t="shared" si="32"/>
        <v>1.0087491586868054E-3</v>
      </c>
      <c r="AA76" s="1" t="str">
        <f t="shared" si="35"/>
        <v>discharge</v>
      </c>
      <c r="AD76" s="1">
        <f t="shared" si="33"/>
        <v>4.592846821705427E-2</v>
      </c>
      <c r="AF76" s="1">
        <f t="shared" si="36"/>
        <v>1.0185420370213087</v>
      </c>
    </row>
    <row r="77" spans="1:32" ht="15">
      <c r="A77" s="1">
        <v>76</v>
      </c>
      <c r="C77" s="1">
        <v>0</v>
      </c>
      <c r="D77" s="1">
        <f t="shared" si="34"/>
        <v>1.9693091964498246</v>
      </c>
      <c r="E77" s="1">
        <f t="shared" si="27"/>
        <v>4.7274349963772376E-3</v>
      </c>
      <c r="G77">
        <v>130</v>
      </c>
      <c r="H77" s="1">
        <f t="shared" si="28"/>
        <v>0.41949015811552109</v>
      </c>
      <c r="R77" s="1" t="e">
        <f t="shared" si="29"/>
        <v>#VALUE!</v>
      </c>
      <c r="S77" s="1">
        <f>'Solar Availability and Gener GR'!F77</f>
        <v>0</v>
      </c>
      <c r="T77" s="1">
        <v>0.29596899224806206</v>
      </c>
      <c r="U77" s="1">
        <f t="shared" si="30"/>
        <v>-0.29596899224806206</v>
      </c>
      <c r="V77" s="1" t="str">
        <f t="shared" si="31"/>
        <v>Buy from Grid</v>
      </c>
      <c r="W77" s="1">
        <f t="shared" si="32"/>
        <v>1.225628518698489E-3</v>
      </c>
      <c r="AA77" s="1" t="str">
        <f t="shared" si="35"/>
        <v>discharge</v>
      </c>
      <c r="AD77" s="1">
        <f t="shared" si="33"/>
        <v>3.8475968992248068E-2</v>
      </c>
      <c r="AF77" s="1">
        <f t="shared" si="36"/>
        <v>0.72257304477324669</v>
      </c>
    </row>
    <row r="78" spans="1:32" ht="15">
      <c r="A78" s="1">
        <v>77</v>
      </c>
      <c r="C78" s="1">
        <v>0</v>
      </c>
      <c r="D78" s="1">
        <f t="shared" si="34"/>
        <v>1.9693091964498246</v>
      </c>
      <c r="E78" s="1">
        <f t="shared" si="27"/>
        <v>4.0350967035688501E-3</v>
      </c>
      <c r="G78">
        <v>150.13</v>
      </c>
      <c r="H78" s="1">
        <f t="shared" si="28"/>
        <v>0.48444659567602444</v>
      </c>
      <c r="R78" s="1" t="e">
        <f t="shared" si="29"/>
        <v>#VALUE!</v>
      </c>
      <c r="S78" s="1">
        <f>'Solar Availability and Gener GR'!F78</f>
        <v>0</v>
      </c>
      <c r="T78" s="1">
        <v>0.29596899224806206</v>
      </c>
      <c r="U78" s="1">
        <f t="shared" si="30"/>
        <v>-0.29596899224806206</v>
      </c>
      <c r="V78" s="1" t="str">
        <f t="shared" si="31"/>
        <v>Buy from Grid</v>
      </c>
      <c r="W78" s="1">
        <f t="shared" si="32"/>
        <v>1.046133812393008E-3</v>
      </c>
      <c r="AA78" s="1" t="str">
        <f t="shared" si="35"/>
        <v>discharge</v>
      </c>
      <c r="AD78" s="1">
        <f t="shared" si="33"/>
        <v>4.4433824806201554E-2</v>
      </c>
      <c r="AF78" s="1">
        <f t="shared" si="36"/>
        <v>0.42660405252518463</v>
      </c>
    </row>
    <row r="79" spans="1:32" ht="15">
      <c r="A79" s="1">
        <v>78</v>
      </c>
      <c r="C79" s="1">
        <v>0</v>
      </c>
      <c r="D79" s="1">
        <f t="shared" si="34"/>
        <v>1.9693091964498246</v>
      </c>
      <c r="E79" s="1">
        <f t="shared" si="27"/>
        <v>2.2308948606561368E-3</v>
      </c>
      <c r="G79">
        <v>257.31</v>
      </c>
      <c r="H79" s="1">
        <f t="shared" si="28"/>
        <v>0.83030009680542105</v>
      </c>
      <c r="R79" s="1" t="e">
        <f t="shared" si="29"/>
        <v>#VALUE!</v>
      </c>
      <c r="S79" s="1">
        <f>'Solar Availability and Gener GR'!F79</f>
        <v>0</v>
      </c>
      <c r="T79" s="1">
        <v>0.39891472868217059</v>
      </c>
      <c r="U79" s="1">
        <f t="shared" si="30"/>
        <v>-0.39891472868217059</v>
      </c>
      <c r="V79" s="1" t="str">
        <f t="shared" si="31"/>
        <v>Buy from Grid</v>
      </c>
      <c r="W79" s="1">
        <f t="shared" si="32"/>
        <v>7.4890413692343439E-4</v>
      </c>
      <c r="AA79" s="1" t="str">
        <f t="shared" si="35"/>
        <v>discharge</v>
      </c>
      <c r="AD79" s="1">
        <f t="shared" si="33"/>
        <v>0.10264474883720932</v>
      </c>
      <c r="AF79" s="1">
        <f t="shared" si="36"/>
        <v>2.7689323843014035E-2</v>
      </c>
    </row>
    <row r="80" spans="1:32" ht="15">
      <c r="A80" s="1">
        <v>79</v>
      </c>
      <c r="C80" s="1">
        <v>0</v>
      </c>
      <c r="D80" s="1">
        <f t="shared" si="34"/>
        <v>1.9693091964498246</v>
      </c>
      <c r="E80" s="1">
        <f t="shared" si="27"/>
        <v>2.1981719121771564E-3</v>
      </c>
      <c r="G80">
        <v>260.79000000000002</v>
      </c>
      <c r="H80" s="1">
        <f t="shared" si="28"/>
        <v>0.84152952565343653</v>
      </c>
      <c r="R80" s="1" t="e">
        <f t="shared" si="29"/>
        <v>#VALUE!</v>
      </c>
      <c r="S80" s="1">
        <f>'Solar Availability and Gener GR'!F80</f>
        <v>0</v>
      </c>
      <c r="T80" s="1">
        <v>0.65627906976744199</v>
      </c>
      <c r="U80" s="1">
        <f t="shared" si="30"/>
        <v>-0.65627906976744199</v>
      </c>
      <c r="V80" s="1" t="str">
        <f t="shared" si="31"/>
        <v>Buy from Grid</v>
      </c>
      <c r="W80" s="1">
        <f t="shared" si="32"/>
        <v>1.1091394319586465E-3</v>
      </c>
      <c r="AA80" s="1" t="str">
        <f t="shared" si="35"/>
        <v>discharge</v>
      </c>
      <c r="AD80" s="1">
        <f t="shared" si="33"/>
        <v>0.17115101860465121</v>
      </c>
      <c r="AF80" s="1">
        <f t="shared" si="36"/>
        <v>-0.62858974592442796</v>
      </c>
    </row>
    <row r="81" spans="1:32" ht="15">
      <c r="A81" s="1">
        <v>80</v>
      </c>
      <c r="C81" s="1">
        <v>0</v>
      </c>
      <c r="D81" s="1">
        <f t="shared" si="34"/>
        <v>1.9693091964498246</v>
      </c>
      <c r="E81" s="1">
        <f t="shared" si="27"/>
        <v>2.1945617229860858E-3</v>
      </c>
      <c r="G81">
        <v>261.18</v>
      </c>
      <c r="H81" s="1">
        <f t="shared" si="28"/>
        <v>0.8427879961277831</v>
      </c>
      <c r="R81" s="1" t="e">
        <f t="shared" si="29"/>
        <v>#VALUE!</v>
      </c>
      <c r="S81" s="1">
        <f>'Solar Availability and Gener GR'!F81</f>
        <v>0.12959999999999999</v>
      </c>
      <c r="T81" s="1">
        <v>0.65627906976744199</v>
      </c>
      <c r="U81" s="1">
        <f t="shared" si="30"/>
        <v>-0.52667906976744194</v>
      </c>
      <c r="V81" s="1" t="str">
        <f t="shared" si="31"/>
        <v>Buy from Grid</v>
      </c>
      <c r="W81" s="1">
        <f t="shared" si="32"/>
        <v>1.1073178259384505E-3</v>
      </c>
      <c r="AA81" s="1" t="str">
        <f t="shared" si="35"/>
        <v>discharge</v>
      </c>
      <c r="AD81" s="1">
        <f t="shared" si="33"/>
        <v>0.17140696744186051</v>
      </c>
      <c r="AF81" s="1">
        <f t="shared" si="36"/>
        <v>-1.15526881569187</v>
      </c>
    </row>
    <row r="82" spans="1:32" ht="15">
      <c r="A82" s="1">
        <v>81</v>
      </c>
      <c r="C82" s="1">
        <v>0</v>
      </c>
      <c r="D82" s="1">
        <f t="shared" si="34"/>
        <v>1.9693091964498246</v>
      </c>
      <c r="E82" s="1">
        <f t="shared" si="27"/>
        <v>2.6809573197786236E-3</v>
      </c>
      <c r="G82">
        <v>217.72</v>
      </c>
      <c r="H82" s="1">
        <f t="shared" si="28"/>
        <v>0.70254920942239429</v>
      </c>
      <c r="R82" s="1" t="e">
        <f t="shared" si="29"/>
        <v>#VALUE!</v>
      </c>
      <c r="S82" s="1">
        <f>'Solar Availability and Gener GR'!F82</f>
        <v>0.55079999999999996</v>
      </c>
      <c r="T82" s="1">
        <v>0.65627906976744199</v>
      </c>
      <c r="U82" s="1">
        <f t="shared" si="30"/>
        <v>-0.10547906976744204</v>
      </c>
      <c r="V82" s="1" t="str">
        <f t="shared" si="31"/>
        <v>Buy from Grid</v>
      </c>
      <c r="W82" s="1">
        <f t="shared" si="32"/>
        <v>1.3527401848290885E-3</v>
      </c>
      <c r="AA82" s="1" t="str">
        <f t="shared" si="35"/>
        <v>discharge</v>
      </c>
      <c r="AD82" s="1">
        <f t="shared" si="33"/>
        <v>0.14288507906976747</v>
      </c>
      <c r="AF82" s="1">
        <f t="shared" si="36"/>
        <v>-1.2607478854593119</v>
      </c>
    </row>
    <row r="83" spans="1:32" ht="15">
      <c r="A83" s="1">
        <v>82</v>
      </c>
      <c r="D83" s="1">
        <f t="shared" si="34"/>
        <v>1.9693091964498246</v>
      </c>
      <c r="E83" s="1">
        <f t="shared" si="27"/>
        <v>3.0923480766760362E-3</v>
      </c>
      <c r="G83">
        <v>191.22</v>
      </c>
      <c r="H83" s="1">
        <f t="shared" si="28"/>
        <v>0.61703775411423034</v>
      </c>
      <c r="R83" s="1" t="e">
        <f t="shared" si="29"/>
        <v>#VALUE!</v>
      </c>
      <c r="S83" s="1">
        <f>'Solar Availability and Gener GR'!F83</f>
        <v>1.0691999999999999</v>
      </c>
      <c r="T83" s="1">
        <v>0.39891472868217059</v>
      </c>
      <c r="U83" s="1">
        <f t="shared" si="30"/>
        <v>0.67028527131782933</v>
      </c>
      <c r="V83" s="1" t="str">
        <f t="shared" si="31"/>
        <v>sell the surplus or charge</v>
      </c>
      <c r="W83" s="1">
        <f t="shared" si="32"/>
        <v>1.0380911751030613E-3</v>
      </c>
      <c r="X83" s="1">
        <f t="shared" ref="X83:X92" si="37">(1*(1/(G83+0.01))^1.1)*(LN(S83+1))</f>
        <v>2.2486381950357005E-3</v>
      </c>
      <c r="Y83" s="1">
        <f t="shared" ref="Y83:Y92" si="38">X83/W83</f>
        <v>2.1661278401797959</v>
      </c>
      <c r="Z83" s="1" t="str">
        <f t="shared" ref="Z83:Z92" si="39">IF(Y83&gt;=2,"sell to the Grid","charge")</f>
        <v>sell to the Grid</v>
      </c>
      <c r="AB83" s="1">
        <f t="shared" ref="AB83:AB91" si="40">(U83*G83)/1000</f>
        <v>0.12817194958139533</v>
      </c>
      <c r="AD83" s="1">
        <f t="shared" si="33"/>
        <v>7.6280474418604652E-2</v>
      </c>
      <c r="AF83" s="1">
        <f t="shared" si="36"/>
        <v>-0.5904626141414826</v>
      </c>
    </row>
    <row r="84" spans="1:32" ht="15">
      <c r="A84" s="1">
        <v>83</v>
      </c>
      <c r="D84" s="1">
        <f t="shared" si="34"/>
        <v>1.9693091964498246</v>
      </c>
      <c r="E84" s="1">
        <f t="shared" si="27"/>
        <v>3.2293564744603439E-3</v>
      </c>
      <c r="G84">
        <v>183.83</v>
      </c>
      <c r="H84" s="1">
        <f t="shared" si="28"/>
        <v>0.59319135204904805</v>
      </c>
      <c r="R84" s="1" t="e">
        <f t="shared" si="29"/>
        <v>#VALUE!</v>
      </c>
      <c r="S84" s="1">
        <f>'Solar Availability and Gener GR'!F84</f>
        <v>1.89</v>
      </c>
      <c r="T84" s="1">
        <v>0.39891472868217059</v>
      </c>
      <c r="U84" s="1">
        <f t="shared" si="30"/>
        <v>1.4910852713178293</v>
      </c>
      <c r="V84" s="1" t="str">
        <f t="shared" si="31"/>
        <v>sell the surplus or charge</v>
      </c>
      <c r="W84" s="1">
        <f t="shared" si="32"/>
        <v>1.0840844478939365E-3</v>
      </c>
      <c r="X84" s="1">
        <f t="shared" si="37"/>
        <v>3.4271755561983775E-3</v>
      </c>
      <c r="Y84" s="1">
        <f t="shared" si="38"/>
        <v>3.1613547845432075</v>
      </c>
      <c r="Z84" s="1" t="str">
        <f t="shared" si="39"/>
        <v>sell to the Grid</v>
      </c>
      <c r="AB84" s="1">
        <f t="shared" si="40"/>
        <v>0.27410620542635655</v>
      </c>
      <c r="AD84" s="1">
        <f t="shared" si="33"/>
        <v>7.3332494573643436E-2</v>
      </c>
      <c r="AF84" s="1">
        <f t="shared" si="36"/>
        <v>0.90062265717634671</v>
      </c>
    </row>
    <row r="85" spans="1:32" ht="15">
      <c r="A85" s="1">
        <v>84</v>
      </c>
      <c r="D85" s="1">
        <f t="shared" si="34"/>
        <v>1.9693091964498246</v>
      </c>
      <c r="E85" s="1">
        <f t="shared" si="27"/>
        <v>3.4414624811467424E-3</v>
      </c>
      <c r="G85">
        <v>173.5</v>
      </c>
      <c r="H85" s="1">
        <f t="shared" si="28"/>
        <v>0.55985801871571472</v>
      </c>
      <c r="R85" s="1" t="e">
        <f t="shared" si="29"/>
        <v>#VALUE!</v>
      </c>
      <c r="S85" s="1">
        <f>'Solar Availability and Gener GR'!F85</f>
        <v>2.4264000000000001</v>
      </c>
      <c r="T85" s="1">
        <v>0.39891472868217059</v>
      </c>
      <c r="U85" s="1">
        <f t="shared" si="30"/>
        <v>2.0274852713178295</v>
      </c>
      <c r="V85" s="1" t="str">
        <f t="shared" si="31"/>
        <v>sell the surplus or charge</v>
      </c>
      <c r="W85" s="1">
        <f t="shared" si="32"/>
        <v>1.1552877433406051E-3</v>
      </c>
      <c r="X85" s="1">
        <f t="shared" si="37"/>
        <v>4.2381959671499193E-3</v>
      </c>
      <c r="Y85" s="1">
        <f t="shared" si="38"/>
        <v>3.6685198052000825</v>
      </c>
      <c r="Z85" s="1" t="str">
        <f t="shared" si="39"/>
        <v>sell to the Grid</v>
      </c>
      <c r="AB85" s="1">
        <f t="shared" si="40"/>
        <v>0.3517686945736434</v>
      </c>
      <c r="AD85" s="1">
        <f t="shared" si="33"/>
        <v>6.9211705426356601E-2</v>
      </c>
      <c r="AF85" s="1">
        <f t="shared" si="36"/>
        <v>2.9281079284941764</v>
      </c>
    </row>
    <row r="86" spans="1:32" ht="15">
      <c r="A86" s="1">
        <v>85</v>
      </c>
      <c r="D86" s="1">
        <f t="shared" si="34"/>
        <v>1.9693091964498246</v>
      </c>
      <c r="E86" s="1">
        <f t="shared" si="27"/>
        <v>3.5329610937632093E-3</v>
      </c>
      <c r="G86">
        <v>169.41</v>
      </c>
      <c r="H86" s="1">
        <f t="shared" si="28"/>
        <v>0.54666021297192635</v>
      </c>
      <c r="R86" s="1" t="e">
        <f t="shared" si="29"/>
        <v>#VALUE!</v>
      </c>
      <c r="S86" s="1">
        <f>'Solar Availability and Gener GR'!F86</f>
        <v>2.6747999999999998</v>
      </c>
      <c r="T86" s="1">
        <v>0.39891472868217059</v>
      </c>
      <c r="U86" s="1">
        <f t="shared" si="30"/>
        <v>2.2758852713178293</v>
      </c>
      <c r="V86" s="1" t="str">
        <f t="shared" si="31"/>
        <v>sell the surplus or charge</v>
      </c>
      <c r="W86" s="1">
        <f t="shared" si="32"/>
        <v>1.1860035295122014E-3</v>
      </c>
      <c r="X86" s="1">
        <f t="shared" si="37"/>
        <v>4.5981443039468392E-3</v>
      </c>
      <c r="Y86" s="1">
        <f t="shared" si="38"/>
        <v>3.8770072681301699</v>
      </c>
      <c r="Z86" s="1" t="str">
        <f t="shared" si="39"/>
        <v>sell to the Grid</v>
      </c>
      <c r="AB86" s="1">
        <f t="shared" si="40"/>
        <v>0.38555772381395342</v>
      </c>
      <c r="AD86" s="1">
        <f t="shared" si="33"/>
        <v>6.758014418604652E-2</v>
      </c>
      <c r="AF86" s="1">
        <f t="shared" si="36"/>
        <v>5.2039931998120057</v>
      </c>
    </row>
    <row r="87" spans="1:32" ht="15">
      <c r="A87" s="1">
        <v>86</v>
      </c>
      <c r="D87" s="1">
        <f t="shared" si="34"/>
        <v>1.9693091964498246</v>
      </c>
      <c r="E87" s="1">
        <f t="shared" si="27"/>
        <v>3.4744889479310587E-3</v>
      </c>
      <c r="G87">
        <v>172</v>
      </c>
      <c r="H87" s="1">
        <f t="shared" si="28"/>
        <v>0.55501774766053558</v>
      </c>
      <c r="R87" s="1" t="e">
        <f t="shared" si="29"/>
        <v>#VALUE!</v>
      </c>
      <c r="S87" s="1">
        <f>'Solar Availability and Gener GR'!F87</f>
        <v>2.79</v>
      </c>
      <c r="T87" s="1">
        <v>0.39891472868217059</v>
      </c>
      <c r="U87" s="1">
        <f t="shared" si="30"/>
        <v>2.3910852713178294</v>
      </c>
      <c r="V87" s="1" t="str">
        <f t="shared" si="31"/>
        <v>sell the surplus or charge</v>
      </c>
      <c r="W87" s="1">
        <f t="shared" si="32"/>
        <v>1.1663746206466313E-3</v>
      </c>
      <c r="X87" s="1">
        <f t="shared" si="37"/>
        <v>4.6292910079421684E-3</v>
      </c>
      <c r="Y87" s="1">
        <f t="shared" si="38"/>
        <v>3.9689572509522852</v>
      </c>
      <c r="Z87" s="1" t="str">
        <f t="shared" si="39"/>
        <v>sell to the Grid</v>
      </c>
      <c r="AB87" s="1">
        <f t="shared" si="40"/>
        <v>0.41126666666666667</v>
      </c>
      <c r="AD87" s="1">
        <f t="shared" si="33"/>
        <v>6.8613333333333346E-2</v>
      </c>
      <c r="AF87" s="1">
        <f t="shared" si="36"/>
        <v>7.5950784711298347</v>
      </c>
    </row>
    <row r="88" spans="1:32" ht="15">
      <c r="A88" s="1">
        <v>87</v>
      </c>
      <c r="D88" s="1">
        <f t="shared" si="34"/>
        <v>1.9693091964498246</v>
      </c>
      <c r="E88" s="1">
        <f t="shared" si="27"/>
        <v>2.698539144329817E-3</v>
      </c>
      <c r="G88">
        <v>216.43</v>
      </c>
      <c r="H88" s="1">
        <f t="shared" si="28"/>
        <v>0.69838657631494028</v>
      </c>
      <c r="R88" s="1" t="e">
        <f t="shared" si="29"/>
        <v>#VALUE!</v>
      </c>
      <c r="S88" s="1">
        <f>'Solar Availability and Gener GR'!F88</f>
        <v>2.6352000000000002</v>
      </c>
      <c r="T88" s="1">
        <v>0.39891472868217059</v>
      </c>
      <c r="U88" s="1">
        <f t="shared" si="30"/>
        <v>2.2362852713178296</v>
      </c>
      <c r="V88" s="1" t="str">
        <f t="shared" si="31"/>
        <v>sell the surplus or charge</v>
      </c>
      <c r="W88" s="1">
        <f t="shared" si="32"/>
        <v>9.0589079946333116E-4</v>
      </c>
      <c r="X88" s="1">
        <f t="shared" si="37"/>
        <v>3.4829076772697641E-3</v>
      </c>
      <c r="Y88" s="1">
        <f t="shared" si="38"/>
        <v>3.8447323665646147</v>
      </c>
      <c r="Z88" s="1" t="str">
        <f t="shared" si="39"/>
        <v>sell to the Grid</v>
      </c>
      <c r="AB88" s="1">
        <f t="shared" si="40"/>
        <v>0.48399922127131789</v>
      </c>
      <c r="AD88" s="1">
        <f t="shared" si="33"/>
        <v>8.6337114728682177E-2</v>
      </c>
      <c r="AF88" s="1">
        <f t="shared" si="36"/>
        <v>9.8313637424476639</v>
      </c>
    </row>
    <row r="89" spans="1:32" ht="15">
      <c r="A89" s="1">
        <v>88</v>
      </c>
      <c r="D89" s="1">
        <f t="shared" si="34"/>
        <v>1.9693091964498246</v>
      </c>
      <c r="E89" s="1">
        <f t="shared" si="27"/>
        <v>1.8709218267470621E-3</v>
      </c>
      <c r="G89">
        <v>301.95</v>
      </c>
      <c r="H89" s="1">
        <f t="shared" si="28"/>
        <v>0.97434656340755066</v>
      </c>
      <c r="R89" s="1" t="e">
        <f t="shared" si="29"/>
        <v>#VALUE!</v>
      </c>
      <c r="S89" s="1">
        <f>'Solar Availability and Gener GR'!F89</f>
        <v>2.3508</v>
      </c>
      <c r="T89" s="1">
        <v>0.66914728682170543</v>
      </c>
      <c r="U89" s="1">
        <f t="shared" si="30"/>
        <v>1.6816527131782946</v>
      </c>
      <c r="V89" s="1" t="str">
        <f t="shared" si="31"/>
        <v>sell the surplus or charge</v>
      </c>
      <c r="W89" s="1">
        <f t="shared" si="32"/>
        <v>9.5849736677337794E-4</v>
      </c>
      <c r="X89" s="1">
        <f t="shared" si="37"/>
        <v>2.2623170326607372E-3</v>
      </c>
      <c r="Y89" s="1">
        <f t="shared" si="38"/>
        <v>2.360274645590787</v>
      </c>
      <c r="Z89" s="1" t="str">
        <f t="shared" si="39"/>
        <v>sell to the Grid</v>
      </c>
      <c r="AB89" s="1">
        <f t="shared" si="40"/>
        <v>0.507775036744186</v>
      </c>
      <c r="AD89" s="1">
        <f t="shared" si="33"/>
        <v>0.20204902325581395</v>
      </c>
      <c r="AF89" s="1">
        <f t="shared" si="36"/>
        <v>11.513016455625959</v>
      </c>
    </row>
    <row r="90" spans="1:32" ht="15">
      <c r="A90" s="1">
        <v>89</v>
      </c>
      <c r="D90" s="1">
        <f t="shared" si="34"/>
        <v>1.9693091964498246</v>
      </c>
      <c r="E90" s="1">
        <f t="shared" si="27"/>
        <v>1.5310820379758087E-3</v>
      </c>
      <c r="G90">
        <v>362.31</v>
      </c>
      <c r="H90" s="1">
        <f t="shared" si="28"/>
        <v>1.1691190706679573</v>
      </c>
      <c r="R90" s="1" t="e">
        <f t="shared" si="29"/>
        <v>#VALUE!</v>
      </c>
      <c r="S90" s="1">
        <f>'Solar Availability and Gener GR'!F90</f>
        <v>1.9260000000000002</v>
      </c>
      <c r="T90" s="1">
        <v>0.66914728682170543</v>
      </c>
      <c r="U90" s="1">
        <f t="shared" si="30"/>
        <v>1.2568527131782947</v>
      </c>
      <c r="V90" s="1" t="str">
        <f t="shared" si="31"/>
        <v>sell the surplus or charge</v>
      </c>
      <c r="W90" s="1">
        <f t="shared" si="32"/>
        <v>7.8439306267831174E-4</v>
      </c>
      <c r="X90" s="1">
        <f t="shared" si="37"/>
        <v>1.6438252582264546E-3</v>
      </c>
      <c r="Y90" s="1">
        <f t="shared" si="38"/>
        <v>2.0956652174021144</v>
      </c>
      <c r="Z90" s="1" t="str">
        <f t="shared" si="39"/>
        <v>sell to the Grid</v>
      </c>
      <c r="AB90" s="1">
        <f t="shared" si="40"/>
        <v>0.45537030651162796</v>
      </c>
      <c r="AD90" s="1">
        <f t="shared" si="33"/>
        <v>0.2424387534883721</v>
      </c>
      <c r="AF90" s="1">
        <f t="shared" si="36"/>
        <v>12.769869168804254</v>
      </c>
    </row>
    <row r="91" spans="1:32" ht="15">
      <c r="A91" s="1">
        <v>90</v>
      </c>
      <c r="D91" s="1">
        <f t="shared" si="34"/>
        <v>1.9693091964498246</v>
      </c>
      <c r="E91" s="1">
        <f t="shared" si="27"/>
        <v>1.699704944716248E-3</v>
      </c>
      <c r="G91">
        <v>329.48</v>
      </c>
      <c r="H91" s="1">
        <f t="shared" si="28"/>
        <v>1.0631816715069378</v>
      </c>
      <c r="R91" s="1" t="e">
        <f t="shared" si="29"/>
        <v>#VALUE!</v>
      </c>
      <c r="S91" s="1">
        <f>'Solar Availability and Gener GR'!F91</f>
        <v>1.3139999999999998</v>
      </c>
      <c r="T91" s="1">
        <v>0.39891472868217059</v>
      </c>
      <c r="U91" s="1">
        <f t="shared" si="30"/>
        <v>0.91508527131782924</v>
      </c>
      <c r="V91" s="1" t="str">
        <f t="shared" si="31"/>
        <v>sell the surplus or charge</v>
      </c>
      <c r="W91" s="1">
        <f t="shared" si="32"/>
        <v>5.7058541265043452E-4</v>
      </c>
      <c r="X91" s="1">
        <f t="shared" si="37"/>
        <v>1.4260144241292055E-3</v>
      </c>
      <c r="Y91" s="1">
        <f t="shared" si="38"/>
        <v>2.4992129004932062</v>
      </c>
      <c r="Z91" s="1" t="str">
        <f t="shared" si="39"/>
        <v>sell to the Grid</v>
      </c>
      <c r="AB91" s="1">
        <f t="shared" si="40"/>
        <v>0.3015022951937984</v>
      </c>
      <c r="AD91" s="1">
        <f t="shared" si="33"/>
        <v>0.13143442480620157</v>
      </c>
      <c r="AF91" s="1">
        <f t="shared" si="36"/>
        <v>13.684954440122084</v>
      </c>
    </row>
    <row r="92" spans="1:32" ht="15">
      <c r="A92" s="1">
        <v>91</v>
      </c>
      <c r="B92" s="1">
        <f>U92</f>
        <v>0.27428527131782943</v>
      </c>
      <c r="D92" s="1">
        <f t="shared" si="34"/>
        <v>2.188737413504088</v>
      </c>
      <c r="E92" s="1">
        <f t="shared" si="27"/>
        <v>1.7734532382408775E-3</v>
      </c>
      <c r="G92">
        <v>317</v>
      </c>
      <c r="H92" s="1">
        <f t="shared" si="28"/>
        <v>1.0229106163278476</v>
      </c>
      <c r="R92" s="1" t="e">
        <f t="shared" si="29"/>
        <v>#VALUE!</v>
      </c>
      <c r="S92" s="1">
        <f>'Solar Availability and Gener GR'!F92</f>
        <v>0.67320000000000002</v>
      </c>
      <c r="T92" s="1">
        <v>0.39891472868217059</v>
      </c>
      <c r="U92" s="1">
        <f t="shared" si="30"/>
        <v>0.27428527131782943</v>
      </c>
      <c r="V92" s="1" t="str">
        <f t="shared" si="31"/>
        <v>sell the surplus or charge</v>
      </c>
      <c r="W92" s="1">
        <f t="shared" si="32"/>
        <v>5.9534247452980727E-4</v>
      </c>
      <c r="X92" s="1">
        <f t="shared" si="37"/>
        <v>9.1286370304658078E-4</v>
      </c>
      <c r="Y92" s="1">
        <f t="shared" si="38"/>
        <v>1.5333421385187527</v>
      </c>
      <c r="Z92" s="1" t="str">
        <f t="shared" si="39"/>
        <v>charge</v>
      </c>
      <c r="AD92" s="1">
        <f t="shared" si="33"/>
        <v>0.12645596899224806</v>
      </c>
      <c r="AF92" s="1">
        <f t="shared" si="36"/>
        <v>13.959239711439913</v>
      </c>
    </row>
    <row r="93" spans="1:32" ht="15">
      <c r="A93" s="1">
        <v>92</v>
      </c>
      <c r="C93" s="1">
        <v>0</v>
      </c>
      <c r="D93" s="1">
        <f t="shared" si="34"/>
        <v>2.188737413504088</v>
      </c>
      <c r="E93" s="1">
        <f t="shared" si="27"/>
        <v>2.2504160488413883E-3</v>
      </c>
      <c r="G93">
        <v>255.28</v>
      </c>
      <c r="H93" s="1">
        <f t="shared" si="28"/>
        <v>0.82374959664407865</v>
      </c>
      <c r="R93" s="1" t="e">
        <f t="shared" si="29"/>
        <v>#VALUE!</v>
      </c>
      <c r="S93" s="1">
        <f>'Solar Availability and Gener GR'!F93</f>
        <v>0.14399999999999999</v>
      </c>
      <c r="T93" s="1">
        <v>0.65627906976744199</v>
      </c>
      <c r="U93" s="1">
        <f t="shared" si="30"/>
        <v>-0.51227906976744197</v>
      </c>
      <c r="V93" s="1" t="str">
        <f t="shared" si="31"/>
        <v>Buy from Grid</v>
      </c>
      <c r="W93" s="1">
        <f t="shared" si="32"/>
        <v>1.1355004420970864E-3</v>
      </c>
      <c r="AA93" s="1" t="str">
        <f t="shared" ref="AA93:AA105" si="41">IF(D93+AF93&gt;0,"discharge","buy from the Grid")</f>
        <v>discharge</v>
      </c>
      <c r="AD93" s="1">
        <f t="shared" si="33"/>
        <v>0.16753492093023259</v>
      </c>
      <c r="AF93" s="1">
        <f t="shared" si="36"/>
        <v>13.446960641672472</v>
      </c>
    </row>
    <row r="94" spans="1:32" ht="15">
      <c r="A94" s="1">
        <v>93</v>
      </c>
      <c r="C94" s="1">
        <v>0</v>
      </c>
      <c r="D94" s="1">
        <f t="shared" si="34"/>
        <v>2.188737413504088</v>
      </c>
      <c r="E94" s="1">
        <f t="shared" si="27"/>
        <v>2.2453845525438791E-3</v>
      </c>
      <c r="G94">
        <v>255.8</v>
      </c>
      <c r="H94" s="1">
        <f t="shared" si="28"/>
        <v>0.82542755727654071</v>
      </c>
      <c r="R94" s="1" t="e">
        <f t="shared" si="29"/>
        <v>#VALUE!</v>
      </c>
      <c r="S94" s="1">
        <f>'Solar Availability and Gener GR'!F94</f>
        <v>1.224E-3</v>
      </c>
      <c r="T94" s="1">
        <v>0.65627906976744199</v>
      </c>
      <c r="U94" s="1">
        <f t="shared" si="30"/>
        <v>-0.65505506976744199</v>
      </c>
      <c r="V94" s="1" t="str">
        <f t="shared" si="31"/>
        <v>Buy from Grid</v>
      </c>
      <c r="W94" s="1">
        <f t="shared" si="32"/>
        <v>1.1329616820872771E-3</v>
      </c>
      <c r="AA94" s="1" t="str">
        <f t="shared" si="41"/>
        <v>discharge</v>
      </c>
      <c r="AD94" s="1">
        <f t="shared" si="33"/>
        <v>0.16787618604651167</v>
      </c>
      <c r="AF94" s="1">
        <f t="shared" si="36"/>
        <v>12.79190557190503</v>
      </c>
    </row>
    <row r="95" spans="1:32" ht="15">
      <c r="A95" s="1">
        <v>94</v>
      </c>
      <c r="C95" s="1">
        <v>0</v>
      </c>
      <c r="D95" s="1">
        <f t="shared" si="34"/>
        <v>2.188737413504088</v>
      </c>
      <c r="E95" s="1">
        <f t="shared" si="27"/>
        <v>3.1131143102871082E-3</v>
      </c>
      <c r="G95">
        <v>190.06</v>
      </c>
      <c r="H95" s="1">
        <f t="shared" si="28"/>
        <v>0.61329461116489181</v>
      </c>
      <c r="R95" s="1" t="e">
        <f t="shared" si="29"/>
        <v>#VALUE!</v>
      </c>
      <c r="S95" s="1">
        <f>'Solar Availability and Gener GR'!F95</f>
        <v>0</v>
      </c>
      <c r="T95" s="1">
        <v>0.39891472868217059</v>
      </c>
      <c r="U95" s="1">
        <f t="shared" si="30"/>
        <v>-0.39891472868217059</v>
      </c>
      <c r="V95" s="1" t="str">
        <f t="shared" si="31"/>
        <v>Buy from Grid</v>
      </c>
      <c r="W95" s="1">
        <f t="shared" si="32"/>
        <v>1.0450623320741594E-3</v>
      </c>
      <c r="AA95" s="1" t="str">
        <f t="shared" si="41"/>
        <v>discharge</v>
      </c>
      <c r="AD95" s="1">
        <f t="shared" si="33"/>
        <v>7.5817733333333345E-2</v>
      </c>
      <c r="AF95" s="1">
        <f t="shared" si="36"/>
        <v>12.39299084322286</v>
      </c>
    </row>
    <row r="96" spans="1:32" ht="15">
      <c r="A96" s="1">
        <v>95</v>
      </c>
      <c r="C96" s="1">
        <v>0</v>
      </c>
      <c r="D96" s="1">
        <f t="shared" si="34"/>
        <v>2.188737413504088</v>
      </c>
      <c r="E96" s="1">
        <f t="shared" si="27"/>
        <v>3.3052190286134392E-3</v>
      </c>
      <c r="G96">
        <v>179.99</v>
      </c>
      <c r="H96" s="1">
        <f t="shared" si="28"/>
        <v>0.58080025814778957</v>
      </c>
      <c r="R96" s="1" t="e">
        <f t="shared" si="29"/>
        <v>#VALUE!</v>
      </c>
      <c r="S96" s="1">
        <f>'Solar Availability and Gener GR'!F96</f>
        <v>0</v>
      </c>
      <c r="T96" s="1">
        <v>0.39891472868217059</v>
      </c>
      <c r="U96" s="1">
        <f t="shared" si="30"/>
        <v>-0.39891472868217059</v>
      </c>
      <c r="V96" s="1" t="str">
        <f t="shared" si="31"/>
        <v>Buy from Grid</v>
      </c>
      <c r="W96" s="1">
        <f t="shared" si="32"/>
        <v>1.109551260178457E-3</v>
      </c>
      <c r="AA96" s="1" t="str">
        <f t="shared" si="41"/>
        <v>discharge</v>
      </c>
      <c r="AD96" s="1">
        <f t="shared" si="33"/>
        <v>7.1800662015503891E-2</v>
      </c>
      <c r="AF96" s="1">
        <f t="shared" si="36"/>
        <v>11.99407611454069</v>
      </c>
    </row>
    <row r="97" spans="1:32" ht="15">
      <c r="A97" s="1">
        <v>96</v>
      </c>
      <c r="C97" s="1">
        <v>0</v>
      </c>
      <c r="D97" s="1">
        <f t="shared" si="34"/>
        <v>2.188737413504088</v>
      </c>
      <c r="E97" s="1">
        <f t="shared" si="27"/>
        <v>4.4304176206782109E-3</v>
      </c>
      <c r="G97">
        <v>137.9</v>
      </c>
      <c r="H97" s="1">
        <f t="shared" si="28"/>
        <v>0.44498225233946431</v>
      </c>
      <c r="R97" s="1" t="e">
        <f t="shared" si="29"/>
        <v>#VALUE!</v>
      </c>
      <c r="S97" s="1">
        <f>'Solar Availability and Gener GR'!F97</f>
        <v>0</v>
      </c>
      <c r="T97" s="1">
        <v>0.39891472868217059</v>
      </c>
      <c r="U97" s="1">
        <f t="shared" si="30"/>
        <v>-0.39891472868217059</v>
      </c>
      <c r="V97" s="1" t="str">
        <f t="shared" si="31"/>
        <v>Buy from Grid</v>
      </c>
      <c r="W97" s="1">
        <f t="shared" si="32"/>
        <v>1.4872767618678963E-3</v>
      </c>
      <c r="AA97" s="1" t="str">
        <f t="shared" si="41"/>
        <v>discharge</v>
      </c>
      <c r="AD97" s="1">
        <f t="shared" si="33"/>
        <v>5.5010341085271329E-2</v>
      </c>
      <c r="AF97" s="1">
        <f t="shared" si="36"/>
        <v>11.595161385858519</v>
      </c>
    </row>
    <row r="98" spans="1:32" ht="15">
      <c r="A98" s="1">
        <v>97</v>
      </c>
      <c r="C98" s="1">
        <v>0</v>
      </c>
      <c r="D98" s="1">
        <f t="shared" si="34"/>
        <v>2.188737413504088</v>
      </c>
      <c r="E98" s="1">
        <f t="shared" si="27"/>
        <v>4.0101165614132408E-3</v>
      </c>
      <c r="G98">
        <v>150.97999999999999</v>
      </c>
      <c r="H98" s="1">
        <f t="shared" si="28"/>
        <v>0.48718941594062593</v>
      </c>
      <c r="R98" s="1" t="e">
        <f t="shared" si="29"/>
        <v>#VALUE!</v>
      </c>
      <c r="S98" s="1">
        <f>'Solar Availability and Gener GR'!F98</f>
        <v>0</v>
      </c>
      <c r="T98" s="1">
        <v>0.30883720930232561</v>
      </c>
      <c r="U98" s="1">
        <f t="shared" si="30"/>
        <v>-0.30883720930232561</v>
      </c>
      <c r="V98" s="1" t="str">
        <f t="shared" si="31"/>
        <v>Buy from Grid</v>
      </c>
      <c r="W98" s="1">
        <f t="shared" si="32"/>
        <v>1.079279228611814E-3</v>
      </c>
      <c r="AA98" s="1" t="str">
        <f t="shared" si="41"/>
        <v>discharge</v>
      </c>
      <c r="AD98" s="1">
        <f t="shared" si="33"/>
        <v>4.6628241860465117E-2</v>
      </c>
      <c r="AF98" s="1">
        <f t="shared" si="36"/>
        <v>11.286324176556194</v>
      </c>
    </row>
    <row r="99" spans="1:32" ht="15">
      <c r="A99" s="1">
        <v>98</v>
      </c>
      <c r="C99" s="1">
        <v>0</v>
      </c>
      <c r="D99" s="1">
        <f t="shared" si="34"/>
        <v>2.188737413504088</v>
      </c>
      <c r="E99" s="1">
        <f t="shared" si="27"/>
        <v>5.0241840407677565E-3</v>
      </c>
      <c r="G99">
        <v>123</v>
      </c>
      <c r="H99" s="1">
        <f t="shared" si="28"/>
        <v>0.39690222652468532</v>
      </c>
      <c r="R99" s="1" t="e">
        <f t="shared" si="29"/>
        <v>#VALUE!</v>
      </c>
      <c r="S99" s="1">
        <f>'Solar Availability and Gener GR'!F99</f>
        <v>0</v>
      </c>
      <c r="T99" s="1">
        <v>0.29596899224806206</v>
      </c>
      <c r="U99" s="1">
        <f t="shared" si="30"/>
        <v>-0.29596899224806206</v>
      </c>
      <c r="V99" s="1" t="str">
        <f t="shared" si="31"/>
        <v>Buy from Grid</v>
      </c>
      <c r="W99" s="1">
        <f t="shared" si="32"/>
        <v>1.3025632818375401E-3</v>
      </c>
      <c r="AA99" s="1" t="str">
        <f t="shared" si="41"/>
        <v>discharge</v>
      </c>
      <c r="AD99" s="1">
        <f t="shared" si="33"/>
        <v>3.6404186046511633E-2</v>
      </c>
      <c r="AF99" s="1">
        <f t="shared" si="36"/>
        <v>10.990355184308132</v>
      </c>
    </row>
    <row r="100" spans="1:32" ht="15">
      <c r="A100" s="1">
        <v>99</v>
      </c>
      <c r="C100" s="1">
        <v>0</v>
      </c>
      <c r="D100" s="1">
        <f t="shared" si="34"/>
        <v>2.188737413504088</v>
      </c>
      <c r="E100" s="1">
        <f t="shared" si="27"/>
        <v>5.8564332750006198E-3</v>
      </c>
      <c r="G100">
        <v>107</v>
      </c>
      <c r="H100" s="1">
        <f t="shared" si="28"/>
        <v>0.34527266860277506</v>
      </c>
      <c r="R100" s="1" t="e">
        <f t="shared" si="29"/>
        <v>#VALUE!</v>
      </c>
      <c r="S100" s="1">
        <f>'Solar Availability and Gener GR'!F100</f>
        <v>0</v>
      </c>
      <c r="T100" s="1">
        <v>0.29596899224806206</v>
      </c>
      <c r="U100" s="1">
        <f t="shared" si="30"/>
        <v>-0.29596899224806206</v>
      </c>
      <c r="V100" s="1" t="str">
        <f t="shared" si="31"/>
        <v>Buy from Grid</v>
      </c>
      <c r="W100" s="1">
        <f t="shared" si="32"/>
        <v>1.5183311130023158E-3</v>
      </c>
      <c r="AA100" s="1" t="str">
        <f t="shared" si="41"/>
        <v>discharge</v>
      </c>
      <c r="AD100" s="1">
        <f t="shared" si="33"/>
        <v>3.1668682170542639E-2</v>
      </c>
      <c r="AF100" s="1">
        <f t="shared" si="36"/>
        <v>10.694386192060071</v>
      </c>
    </row>
    <row r="101" spans="1:32" ht="15">
      <c r="A101" s="1">
        <v>100</v>
      </c>
      <c r="C101" s="1">
        <v>0</v>
      </c>
      <c r="D101" s="1">
        <f t="shared" si="34"/>
        <v>2.188737413504088</v>
      </c>
      <c r="E101" s="1">
        <f t="shared" si="27"/>
        <v>6.30887946459104E-3</v>
      </c>
      <c r="G101">
        <v>100</v>
      </c>
      <c r="H101" s="1">
        <f t="shared" si="28"/>
        <v>0.32268473701193928</v>
      </c>
      <c r="R101" s="1" t="e">
        <f t="shared" si="29"/>
        <v>#VALUE!</v>
      </c>
      <c r="S101" s="1">
        <f>'Solar Availability and Gener GR'!F101</f>
        <v>0</v>
      </c>
      <c r="T101" s="1">
        <v>0.29596899224806206</v>
      </c>
      <c r="U101" s="1">
        <f t="shared" si="30"/>
        <v>-0.29596899224806206</v>
      </c>
      <c r="V101" s="1" t="str">
        <f t="shared" si="31"/>
        <v>Buy from Grid</v>
      </c>
      <c r="W101" s="1">
        <f t="shared" si="32"/>
        <v>1.6356317112259688E-3</v>
      </c>
      <c r="AA101" s="1" t="str">
        <f t="shared" si="41"/>
        <v>discharge</v>
      </c>
      <c r="AD101" s="1">
        <f t="shared" si="33"/>
        <v>2.9596899224806204E-2</v>
      </c>
      <c r="AF101" s="1">
        <f t="shared" si="36"/>
        <v>10.398417199812009</v>
      </c>
    </row>
    <row r="102" spans="1:32" ht="15">
      <c r="A102" s="1">
        <v>101</v>
      </c>
      <c r="C102" s="1">
        <v>0</v>
      </c>
      <c r="D102" s="1">
        <f t="shared" si="34"/>
        <v>2.188737413504088</v>
      </c>
      <c r="E102" s="1">
        <f t="shared" si="27"/>
        <v>3.7621678020883231E-3</v>
      </c>
      <c r="G102">
        <v>160</v>
      </c>
      <c r="H102" s="1">
        <f t="shared" si="28"/>
        <v>0.51629557921910285</v>
      </c>
      <c r="R102" s="1" t="e">
        <f t="shared" si="29"/>
        <v>#VALUE!</v>
      </c>
      <c r="S102" s="1">
        <f>'Solar Availability and Gener GR'!F102</f>
        <v>0</v>
      </c>
      <c r="T102" s="1">
        <v>0.29596899224806206</v>
      </c>
      <c r="U102" s="1">
        <f t="shared" si="30"/>
        <v>-0.29596899224806206</v>
      </c>
      <c r="V102" s="1" t="str">
        <f t="shared" si="31"/>
        <v>Buy from Grid</v>
      </c>
      <c r="W102" s="1">
        <f t="shared" si="32"/>
        <v>9.7537462786949196E-4</v>
      </c>
      <c r="AA102" s="1" t="str">
        <f t="shared" si="41"/>
        <v>discharge</v>
      </c>
      <c r="AD102" s="1">
        <f t="shared" si="33"/>
        <v>4.7355038759689931E-2</v>
      </c>
      <c r="AF102" s="1">
        <f t="shared" si="36"/>
        <v>10.102448207563947</v>
      </c>
    </row>
    <row r="103" spans="1:32" ht="15">
      <c r="A103" s="1">
        <v>102</v>
      </c>
      <c r="C103" s="1">
        <v>0</v>
      </c>
      <c r="D103" s="1">
        <f t="shared" si="34"/>
        <v>2.188737413504088</v>
      </c>
      <c r="E103" s="1">
        <f t="shared" si="27"/>
        <v>2.1768612743568731E-3</v>
      </c>
      <c r="G103">
        <v>263.11</v>
      </c>
      <c r="H103" s="1">
        <f t="shared" si="28"/>
        <v>0.84901581155211359</v>
      </c>
      <c r="R103" s="1" t="e">
        <f t="shared" si="29"/>
        <v>#VALUE!</v>
      </c>
      <c r="S103" s="1">
        <f>'Solar Availability and Gener GR'!F103</f>
        <v>0</v>
      </c>
      <c r="T103" s="1">
        <v>0.39891472868217059</v>
      </c>
      <c r="U103" s="1">
        <f t="shared" si="30"/>
        <v>-0.39891472868217059</v>
      </c>
      <c r="V103" s="1" t="str">
        <f t="shared" si="31"/>
        <v>Buy from Grid</v>
      </c>
      <c r="W103" s="1">
        <f t="shared" si="32"/>
        <v>7.3076523803313593E-4</v>
      </c>
      <c r="AA103" s="1" t="str">
        <f t="shared" si="41"/>
        <v>discharge</v>
      </c>
      <c r="AD103" s="1">
        <f t="shared" si="33"/>
        <v>0.10495845426356591</v>
      </c>
      <c r="AF103" s="1">
        <f t="shared" si="36"/>
        <v>9.7035334788817771</v>
      </c>
    </row>
    <row r="104" spans="1:32" ht="15">
      <c r="A104" s="1">
        <v>103</v>
      </c>
      <c r="C104" s="1">
        <v>0</v>
      </c>
      <c r="D104" s="1">
        <f t="shared" si="34"/>
        <v>2.188737413504088</v>
      </c>
      <c r="E104" s="1">
        <f t="shared" si="27"/>
        <v>1.5607664137940189E-3</v>
      </c>
      <c r="G104">
        <v>356.04</v>
      </c>
      <c r="H104" s="1">
        <f t="shared" si="28"/>
        <v>1.1488867376573086</v>
      </c>
      <c r="R104" s="1" t="e">
        <f t="shared" si="29"/>
        <v>#VALUE!</v>
      </c>
      <c r="S104" s="1">
        <f>'Solar Availability and Gener GR'!F104</f>
        <v>5.3999999999999999E-2</v>
      </c>
      <c r="T104" s="1">
        <v>0.66914728682170543</v>
      </c>
      <c r="U104" s="1">
        <f t="shared" si="30"/>
        <v>-0.61514728682170539</v>
      </c>
      <c r="V104" s="1" t="str">
        <f t="shared" si="31"/>
        <v>Buy from Grid</v>
      </c>
      <c r="W104" s="1">
        <f t="shared" si="32"/>
        <v>7.9960075102172878E-4</v>
      </c>
      <c r="AA104" s="1" t="str">
        <f t="shared" si="41"/>
        <v>discharge</v>
      </c>
      <c r="AD104" s="1">
        <f t="shared" si="33"/>
        <v>0.23824320000000004</v>
      </c>
      <c r="AF104" s="1">
        <f t="shared" si="36"/>
        <v>9.0883861920600708</v>
      </c>
    </row>
    <row r="105" spans="1:32" ht="15">
      <c r="A105" s="1">
        <v>104</v>
      </c>
      <c r="C105" s="1">
        <v>0</v>
      </c>
      <c r="D105" s="1">
        <f t="shared" si="34"/>
        <v>2.188737413504088</v>
      </c>
      <c r="E105" s="1">
        <f t="shared" si="27"/>
        <v>1.5370072488760805E-3</v>
      </c>
      <c r="G105">
        <v>361.04</v>
      </c>
      <c r="H105" s="1">
        <f t="shared" si="28"/>
        <v>1.1650209745079056</v>
      </c>
      <c r="R105" s="1" t="e">
        <f t="shared" si="29"/>
        <v>#VALUE!</v>
      </c>
      <c r="S105" s="1">
        <f>'Solar Availability and Gener GR'!F105</f>
        <v>0.33119999999999994</v>
      </c>
      <c r="T105" s="1">
        <v>0.66914728682170543</v>
      </c>
      <c r="U105" s="1">
        <f t="shared" si="30"/>
        <v>-0.33794728682170549</v>
      </c>
      <c r="V105" s="1" t="str">
        <f t="shared" si="31"/>
        <v>Buy from Grid</v>
      </c>
      <c r="W105" s="1">
        <f t="shared" si="32"/>
        <v>7.8742862459452601E-4</v>
      </c>
      <c r="AA105" s="1" t="str">
        <f t="shared" si="41"/>
        <v>discharge</v>
      </c>
      <c r="AD105" s="1">
        <f t="shared" si="33"/>
        <v>0.24158893643410856</v>
      </c>
      <c r="AF105" s="1">
        <f t="shared" si="36"/>
        <v>8.7504389052383651</v>
      </c>
    </row>
    <row r="106" spans="1:32" ht="15">
      <c r="A106" s="1">
        <v>105</v>
      </c>
      <c r="B106" s="1">
        <f>U106</f>
        <v>7.2452713178294603E-2</v>
      </c>
      <c r="D106" s="1">
        <f t="shared" si="34"/>
        <v>2.2466995840467239</v>
      </c>
      <c r="E106" s="1">
        <f t="shared" si="27"/>
        <v>2.1677968582609329E-3</v>
      </c>
      <c r="G106">
        <v>264.11</v>
      </c>
      <c r="H106" s="1">
        <f t="shared" si="28"/>
        <v>0.85224265892223294</v>
      </c>
      <c r="R106" s="1" t="e">
        <f t="shared" si="29"/>
        <v>#VALUE!</v>
      </c>
      <c r="S106" s="1">
        <f>'Solar Availability and Gener GR'!F106</f>
        <v>0.74160000000000004</v>
      </c>
      <c r="T106" s="1">
        <v>0.66914728682170543</v>
      </c>
      <c r="U106" s="1">
        <f t="shared" si="30"/>
        <v>7.2452713178294603E-2</v>
      </c>
      <c r="V106" s="1" t="str">
        <f t="shared" si="31"/>
        <v>sell the surplus or charge</v>
      </c>
      <c r="W106" s="1">
        <f t="shared" si="32"/>
        <v>1.1105902719385058E-3</v>
      </c>
      <c r="X106" s="1">
        <f t="shared" ref="X106:X116" si="42">(1*(1/(G106+0.01))^1.1)*(LN(S106+1))</f>
        <v>1.2027028687777044E-3</v>
      </c>
      <c r="Y106" s="1">
        <f t="shared" ref="Y106:Y116" si="43">X106/W106</f>
        <v>1.0829402158173225</v>
      </c>
      <c r="Z106" s="1" t="str">
        <f t="shared" ref="Z106:Z116" si="44">IF(Y106&gt;=2,"sell to the Grid","charge")</f>
        <v>charge</v>
      </c>
      <c r="AD106" s="1">
        <f t="shared" si="33"/>
        <v>0.17672848992248064</v>
      </c>
      <c r="AF106" s="1">
        <f t="shared" si="36"/>
        <v>8.8228916184166604</v>
      </c>
    </row>
    <row r="107" spans="1:32" ht="15">
      <c r="A107" s="1">
        <v>106</v>
      </c>
      <c r="D107" s="1">
        <f t="shared" si="34"/>
        <v>2.2466995840467239</v>
      </c>
      <c r="E107" s="1">
        <f t="shared" si="27"/>
        <v>2.3795891903689347E-3</v>
      </c>
      <c r="G107">
        <v>242.65</v>
      </c>
      <c r="H107" s="1">
        <f t="shared" si="28"/>
        <v>0.78299451435947076</v>
      </c>
      <c r="R107" s="1" t="e">
        <f t="shared" si="29"/>
        <v>#VALUE!</v>
      </c>
      <c r="S107" s="1">
        <f>'Solar Availability and Gener GR'!F107</f>
        <v>1.3176000000000001</v>
      </c>
      <c r="T107" s="1">
        <v>0.39891472868217059</v>
      </c>
      <c r="U107" s="1">
        <f t="shared" si="30"/>
        <v>0.91868527131782951</v>
      </c>
      <c r="V107" s="1" t="str">
        <f t="shared" si="31"/>
        <v>sell the surplus or charge</v>
      </c>
      <c r="W107" s="1">
        <f t="shared" si="32"/>
        <v>7.9882033899232954E-4</v>
      </c>
      <c r="X107" s="1">
        <f t="shared" si="42"/>
        <v>2.0001212598761307E-3</v>
      </c>
      <c r="Y107" s="1">
        <f t="shared" si="43"/>
        <v>2.5038436832982747</v>
      </c>
      <c r="Z107" s="1" t="str">
        <f t="shared" si="44"/>
        <v>sell to the Grid</v>
      </c>
      <c r="AB107" s="1">
        <f t="shared" ref="AB107:AB114" si="45">(U107*G107)/1000</f>
        <v>0.22291898108527133</v>
      </c>
      <c r="AD107" s="1">
        <f t="shared" si="33"/>
        <v>9.6796658914728689E-2</v>
      </c>
      <c r="AF107" s="1">
        <f t="shared" si="36"/>
        <v>9.741576889734489</v>
      </c>
    </row>
    <row r="108" spans="1:32" ht="15">
      <c r="A108" s="1">
        <v>107</v>
      </c>
      <c r="D108" s="1">
        <f t="shared" si="34"/>
        <v>2.2466995840467239</v>
      </c>
      <c r="E108" s="1">
        <f t="shared" si="27"/>
        <v>3.0620391478120216E-3</v>
      </c>
      <c r="G108">
        <v>192.94</v>
      </c>
      <c r="H108" s="1">
        <f t="shared" si="28"/>
        <v>0.6225879315908357</v>
      </c>
      <c r="R108" s="1" t="e">
        <f t="shared" si="29"/>
        <v>#VALUE!</v>
      </c>
      <c r="S108" s="1">
        <f>'Solar Availability and Gener GR'!F108</f>
        <v>2.16</v>
      </c>
      <c r="T108" s="1">
        <v>0.39891472868217059</v>
      </c>
      <c r="U108" s="1">
        <f t="shared" si="30"/>
        <v>1.7610852713178295</v>
      </c>
      <c r="V108" s="1" t="str">
        <f t="shared" si="31"/>
        <v>sell the surplus or charge</v>
      </c>
      <c r="W108" s="1">
        <f t="shared" si="32"/>
        <v>1.0279165664236981E-3</v>
      </c>
      <c r="X108" s="1">
        <f t="shared" si="42"/>
        <v>3.523096590885043E-3</v>
      </c>
      <c r="Y108" s="1">
        <f t="shared" si="43"/>
        <v>3.427414934212524</v>
      </c>
      <c r="Z108" s="1" t="str">
        <f t="shared" si="44"/>
        <v>sell to the Grid</v>
      </c>
      <c r="AB108" s="1">
        <f t="shared" si="45"/>
        <v>0.33978379224806199</v>
      </c>
      <c r="AD108" s="1">
        <f t="shared" si="33"/>
        <v>7.6966607751938004E-2</v>
      </c>
      <c r="AF108" s="1">
        <f t="shared" si="36"/>
        <v>11.502662161052319</v>
      </c>
    </row>
    <row r="109" spans="1:32" ht="15">
      <c r="A109" s="1">
        <v>108</v>
      </c>
      <c r="D109" s="1">
        <f t="shared" si="34"/>
        <v>2.2466995840467239</v>
      </c>
      <c r="E109" s="1">
        <f t="shared" si="27"/>
        <v>3.2187622501462826E-3</v>
      </c>
      <c r="G109">
        <v>184.38</v>
      </c>
      <c r="H109" s="1">
        <f t="shared" si="28"/>
        <v>0.59496611810261368</v>
      </c>
      <c r="R109" s="1" t="e">
        <f t="shared" si="29"/>
        <v>#VALUE!</v>
      </c>
      <c r="S109" s="1">
        <f>'Solar Availability and Gener GR'!F109</f>
        <v>2.6568000000000001</v>
      </c>
      <c r="T109" s="1">
        <v>0.39891472868217059</v>
      </c>
      <c r="U109" s="1">
        <f t="shared" si="30"/>
        <v>2.2578852713178295</v>
      </c>
      <c r="V109" s="1" t="str">
        <f t="shared" si="31"/>
        <v>sell the surplus or charge</v>
      </c>
      <c r="W109" s="1">
        <f t="shared" si="32"/>
        <v>1.0805280013055204E-3</v>
      </c>
      <c r="X109" s="1">
        <f t="shared" si="42"/>
        <v>4.173409950512093E-3</v>
      </c>
      <c r="Y109" s="1">
        <f t="shared" si="43"/>
        <v>3.862380193266326</v>
      </c>
      <c r="Z109" s="1" t="str">
        <f t="shared" si="44"/>
        <v>sell to the Grid</v>
      </c>
      <c r="AB109" s="1">
        <f t="shared" si="45"/>
        <v>0.41630888632558138</v>
      </c>
      <c r="AD109" s="1">
        <f t="shared" si="33"/>
        <v>7.3551897674418609E-2</v>
      </c>
      <c r="AF109" s="1">
        <f t="shared" si="36"/>
        <v>13.760547432370149</v>
      </c>
    </row>
    <row r="110" spans="1:32" ht="15">
      <c r="A110" s="1">
        <v>109</v>
      </c>
      <c r="D110" s="1">
        <f t="shared" si="34"/>
        <v>2.2466995840467239</v>
      </c>
      <c r="E110" s="1">
        <f t="shared" si="27"/>
        <v>3.636961546348128E-3</v>
      </c>
      <c r="G110">
        <v>165</v>
      </c>
      <c r="H110" s="1">
        <f t="shared" si="28"/>
        <v>0.53242981606969986</v>
      </c>
      <c r="R110" s="1" t="e">
        <f t="shared" si="29"/>
        <v>#VALUE!</v>
      </c>
      <c r="S110" s="1">
        <f>'Solar Availability and Gener GR'!F110</f>
        <v>2.9232000000000005</v>
      </c>
      <c r="T110" s="1">
        <v>0.39891472868217059</v>
      </c>
      <c r="U110" s="1">
        <f t="shared" si="30"/>
        <v>2.5242852713178299</v>
      </c>
      <c r="V110" s="1" t="str">
        <f t="shared" si="31"/>
        <v>sell the surplus or charge</v>
      </c>
      <c r="W110" s="1">
        <f t="shared" si="32"/>
        <v>1.2209161426327711E-3</v>
      </c>
      <c r="X110" s="1">
        <f t="shared" si="42"/>
        <v>4.9713905507109395E-3</v>
      </c>
      <c r="Y110" s="1">
        <f t="shared" si="43"/>
        <v>4.0718525843967335</v>
      </c>
      <c r="Z110" s="1" t="str">
        <f t="shared" si="44"/>
        <v>sell to the Grid</v>
      </c>
      <c r="AB110" s="1">
        <f t="shared" si="45"/>
        <v>0.4165070697674419</v>
      </c>
      <c r="AD110" s="1">
        <f t="shared" si="33"/>
        <v>6.5820930232558153E-2</v>
      </c>
      <c r="AF110" s="1">
        <f t="shared" si="36"/>
        <v>16.284832703687979</v>
      </c>
    </row>
    <row r="111" spans="1:32" ht="15">
      <c r="A111" s="1">
        <v>110</v>
      </c>
      <c r="D111" s="1">
        <f t="shared" si="34"/>
        <v>2.2466995840467239</v>
      </c>
      <c r="E111" s="1">
        <f t="shared" si="27"/>
        <v>3.6345385940571191E-3</v>
      </c>
      <c r="G111">
        <v>165.1</v>
      </c>
      <c r="H111" s="1">
        <f t="shared" si="28"/>
        <v>0.53275250080671177</v>
      </c>
      <c r="R111" s="1" t="e">
        <f t="shared" si="29"/>
        <v>#VALUE!</v>
      </c>
      <c r="S111" s="1">
        <f>'Solar Availability and Gener GR'!F111</f>
        <v>2.9807999999999995</v>
      </c>
      <c r="T111" s="1">
        <v>0.39891472868217059</v>
      </c>
      <c r="U111" s="1">
        <f t="shared" si="30"/>
        <v>2.5818852713178289</v>
      </c>
      <c r="V111" s="1" t="str">
        <f t="shared" si="31"/>
        <v>sell the surplus or charge</v>
      </c>
      <c r="W111" s="1">
        <f t="shared" si="32"/>
        <v>1.2201027654421619E-3</v>
      </c>
      <c r="X111" s="1">
        <f t="shared" si="42"/>
        <v>5.0210525686100894E-3</v>
      </c>
      <c r="Y111" s="1">
        <f t="shared" si="43"/>
        <v>4.1152702139728969</v>
      </c>
      <c r="Z111" s="1" t="str">
        <f t="shared" si="44"/>
        <v>sell to the Grid</v>
      </c>
      <c r="AB111" s="1">
        <f t="shared" si="45"/>
        <v>0.42626925829457357</v>
      </c>
      <c r="AD111" s="1">
        <f t="shared" si="33"/>
        <v>6.5860821705426356E-2</v>
      </c>
      <c r="AF111" s="1">
        <f t="shared" si="36"/>
        <v>18.866717975005809</v>
      </c>
    </row>
    <row r="112" spans="1:32" ht="15">
      <c r="A112" s="1">
        <v>111</v>
      </c>
      <c r="D112" s="1">
        <f t="shared" si="34"/>
        <v>2.2466995840467239</v>
      </c>
      <c r="E112" s="1">
        <f t="shared" si="27"/>
        <v>2.9046756055137093E-3</v>
      </c>
      <c r="G112">
        <v>202.42</v>
      </c>
      <c r="H112" s="1">
        <f t="shared" si="28"/>
        <v>0.65317844465956754</v>
      </c>
      <c r="R112" s="1" t="e">
        <f t="shared" si="29"/>
        <v>#VALUE!</v>
      </c>
      <c r="S112" s="1">
        <f>'Solar Availability and Gener GR'!F112</f>
        <v>2.8080000000000003</v>
      </c>
      <c r="T112" s="1">
        <v>0.39891472868217059</v>
      </c>
      <c r="U112" s="1">
        <f t="shared" si="30"/>
        <v>2.4090852713178297</v>
      </c>
      <c r="V112" s="1" t="str">
        <f t="shared" si="31"/>
        <v>sell the surplus or charge</v>
      </c>
      <c r="W112" s="1">
        <f t="shared" si="32"/>
        <v>9.750901379323658E-4</v>
      </c>
      <c r="X112" s="1">
        <f t="shared" si="42"/>
        <v>3.883853710475962E-3</v>
      </c>
      <c r="Y112" s="1">
        <f t="shared" si="43"/>
        <v>3.9830714714349349</v>
      </c>
      <c r="Z112" s="1" t="str">
        <f t="shared" si="44"/>
        <v>sell to the Grid</v>
      </c>
      <c r="AB112" s="1">
        <f t="shared" si="45"/>
        <v>0.48764704062015507</v>
      </c>
      <c r="AD112" s="1">
        <f t="shared" si="33"/>
        <v>8.0748319379844974E-2</v>
      </c>
      <c r="AF112" s="1">
        <f t="shared" si="36"/>
        <v>21.27580324632364</v>
      </c>
    </row>
    <row r="113" spans="1:32" ht="15">
      <c r="A113" s="1">
        <v>112</v>
      </c>
      <c r="D113" s="1">
        <f t="shared" si="34"/>
        <v>2.2466995840467239</v>
      </c>
      <c r="E113" s="1">
        <f t="shared" si="27"/>
        <v>2.1957638609579008E-3</v>
      </c>
      <c r="G113">
        <v>261.05</v>
      </c>
      <c r="H113" s="1">
        <f t="shared" si="28"/>
        <v>0.84236850596966761</v>
      </c>
      <c r="R113" s="1" t="e">
        <f t="shared" si="29"/>
        <v>#VALUE!</v>
      </c>
      <c r="S113" s="1">
        <f>'Solar Availability and Gener GR'!F113</f>
        <v>2.52</v>
      </c>
      <c r="T113" s="1">
        <v>0.39891472868217059</v>
      </c>
      <c r="U113" s="1">
        <f t="shared" si="30"/>
        <v>2.1210852713178294</v>
      </c>
      <c r="V113" s="1" t="str">
        <f t="shared" si="31"/>
        <v>sell the surplus or charge</v>
      </c>
      <c r="W113" s="1">
        <f t="shared" si="32"/>
        <v>7.3711077477434279E-4</v>
      </c>
      <c r="X113" s="1">
        <f t="shared" si="42"/>
        <v>2.7632831614109667E-3</v>
      </c>
      <c r="Y113" s="1">
        <f t="shared" si="43"/>
        <v>3.7488031052821214</v>
      </c>
      <c r="Z113" s="1" t="str">
        <f t="shared" si="44"/>
        <v>sell to the Grid</v>
      </c>
      <c r="AB113" s="1">
        <f t="shared" si="45"/>
        <v>0.55370931007751933</v>
      </c>
      <c r="AD113" s="1">
        <f t="shared" si="33"/>
        <v>0.10413668992248064</v>
      </c>
      <c r="AF113" s="1">
        <f t="shared" si="36"/>
        <v>23.396888517641472</v>
      </c>
    </row>
    <row r="114" spans="1:32" ht="15">
      <c r="A114" s="1">
        <v>113</v>
      </c>
      <c r="D114" s="1">
        <f t="shared" si="34"/>
        <v>2.2466995840467239</v>
      </c>
      <c r="E114" s="1">
        <f t="shared" si="27"/>
        <v>2.1958563851821192E-3</v>
      </c>
      <c r="G114">
        <v>261.04000000000002</v>
      </c>
      <c r="H114" s="1">
        <f t="shared" si="28"/>
        <v>0.84233623749596642</v>
      </c>
      <c r="R114" s="1" t="e">
        <f t="shared" si="29"/>
        <v>#VALUE!</v>
      </c>
      <c r="S114" s="1">
        <f>'Solar Availability and Gener GR'!F114</f>
        <v>2.0987999999999998</v>
      </c>
      <c r="T114" s="1">
        <v>0.39891472868217059</v>
      </c>
      <c r="U114" s="1">
        <f t="shared" si="30"/>
        <v>1.6998852713178292</v>
      </c>
      <c r="V114" s="1" t="str">
        <f t="shared" si="31"/>
        <v>sell the surplus or charge</v>
      </c>
      <c r="W114" s="1">
        <f t="shared" si="32"/>
        <v>7.3714183485498795E-4</v>
      </c>
      <c r="X114" s="1">
        <f t="shared" si="42"/>
        <v>2.4835463772426439E-3</v>
      </c>
      <c r="Y114" s="1">
        <f t="shared" si="43"/>
        <v>3.369156734580411</v>
      </c>
      <c r="Z114" s="1" t="str">
        <f t="shared" si="44"/>
        <v>sell to the Grid</v>
      </c>
      <c r="AB114" s="1">
        <f t="shared" si="45"/>
        <v>0.44373805122480614</v>
      </c>
      <c r="AD114" s="1">
        <f t="shared" si="33"/>
        <v>0.10413270077519382</v>
      </c>
      <c r="AF114" s="1">
        <f t="shared" si="36"/>
        <v>25.0967737889593</v>
      </c>
    </row>
    <row r="115" spans="1:32" ht="15">
      <c r="A115" s="1">
        <v>114</v>
      </c>
      <c r="B115" s="1">
        <f t="shared" ref="B115:B116" si="46">U115</f>
        <v>0.81765271317829447</v>
      </c>
      <c r="D115" s="1">
        <f t="shared" si="34"/>
        <v>2.9008217545893595</v>
      </c>
      <c r="E115" s="1">
        <f t="shared" si="27"/>
        <v>1.9338790707817567E-3</v>
      </c>
      <c r="G115">
        <v>293</v>
      </c>
      <c r="H115" s="1">
        <f t="shared" si="28"/>
        <v>0.94546627944498218</v>
      </c>
      <c r="R115" s="1" t="e">
        <f t="shared" si="29"/>
        <v>#VALUE!</v>
      </c>
      <c r="S115" s="1">
        <f>'Solar Availability and Gener GR'!F115</f>
        <v>1.4867999999999999</v>
      </c>
      <c r="T115" s="1">
        <v>0.66914728682170543</v>
      </c>
      <c r="U115" s="1">
        <f t="shared" si="30"/>
        <v>0.81765271317829447</v>
      </c>
      <c r="V115" s="1" t="str">
        <f t="shared" si="31"/>
        <v>sell the surplus or charge</v>
      </c>
      <c r="W115" s="1">
        <f t="shared" si="32"/>
        <v>9.9075117436911442E-4</v>
      </c>
      <c r="X115" s="1">
        <f t="shared" si="42"/>
        <v>1.7617575356368264E-3</v>
      </c>
      <c r="Y115" s="1">
        <f t="shared" si="43"/>
        <v>1.7782038328227767</v>
      </c>
      <c r="Z115" s="1" t="str">
        <f t="shared" si="44"/>
        <v>charge</v>
      </c>
      <c r="AD115" s="1">
        <f t="shared" si="33"/>
        <v>0.19606015503875968</v>
      </c>
      <c r="AF115" s="1">
        <f t="shared" si="36"/>
        <v>25.914426502137594</v>
      </c>
    </row>
    <row r="116" spans="1:32" ht="15">
      <c r="A116" s="1">
        <v>115</v>
      </c>
      <c r="B116" s="1">
        <f t="shared" si="46"/>
        <v>0.22365271317829449</v>
      </c>
      <c r="D116" s="1">
        <f t="shared" si="34"/>
        <v>3.0797439251319951</v>
      </c>
      <c r="E116" s="1">
        <f t="shared" si="27"/>
        <v>2.194192087123052E-3</v>
      </c>
      <c r="G116">
        <v>261.22000000000003</v>
      </c>
      <c r="H116" s="1">
        <f t="shared" si="28"/>
        <v>0.84291707002258798</v>
      </c>
      <c r="R116" s="1" t="e">
        <f t="shared" si="29"/>
        <v>#VALUE!</v>
      </c>
      <c r="S116" s="1">
        <f>'Solar Availability and Gener GR'!F116</f>
        <v>0.89279999999999993</v>
      </c>
      <c r="T116" s="1">
        <v>0.66914728682170543</v>
      </c>
      <c r="U116" s="1">
        <f t="shared" si="30"/>
        <v>0.22365271317829449</v>
      </c>
      <c r="V116" s="1" t="str">
        <f t="shared" si="31"/>
        <v>sell the surplus or charge</v>
      </c>
      <c r="W116" s="1">
        <f t="shared" si="32"/>
        <v>1.1241128879014132E-3</v>
      </c>
      <c r="X116" s="1">
        <f t="shared" si="42"/>
        <v>1.4000200906215418E-3</v>
      </c>
      <c r="Y116" s="1">
        <f t="shared" si="43"/>
        <v>1.2454443905853751</v>
      </c>
      <c r="Z116" s="1" t="str">
        <f t="shared" si="44"/>
        <v>charge</v>
      </c>
      <c r="AD116" s="1">
        <f t="shared" si="33"/>
        <v>0.17479465426356591</v>
      </c>
      <c r="AF116" s="1">
        <f t="shared" si="36"/>
        <v>26.138079215315887</v>
      </c>
    </row>
    <row r="117" spans="1:32" ht="15">
      <c r="A117" s="1">
        <v>116</v>
      </c>
      <c r="C117" s="1">
        <v>0</v>
      </c>
      <c r="D117" s="1">
        <f t="shared" si="34"/>
        <v>3.0797439251319951</v>
      </c>
      <c r="E117" s="1">
        <f t="shared" si="27"/>
        <v>2.1889376617095198E-3</v>
      </c>
      <c r="G117">
        <v>261.79000000000002</v>
      </c>
      <c r="H117" s="1">
        <f t="shared" si="28"/>
        <v>0.844756373023556</v>
      </c>
      <c r="R117" s="1" t="e">
        <f t="shared" si="29"/>
        <v>#VALUE!</v>
      </c>
      <c r="S117" s="1">
        <f>'Solar Availability and Gener GR'!F117</f>
        <v>0.31679999999999997</v>
      </c>
      <c r="T117" s="1">
        <v>0.66914728682170543</v>
      </c>
      <c r="U117" s="1">
        <f t="shared" si="30"/>
        <v>-0.35234728682170546</v>
      </c>
      <c r="V117" s="1" t="str">
        <f t="shared" si="31"/>
        <v>Buy from Grid</v>
      </c>
      <c r="W117" s="1">
        <f t="shared" si="32"/>
        <v>1.1214209780360319E-3</v>
      </c>
      <c r="AA117" s="1" t="str">
        <f t="shared" ref="AA117:AA129" si="47">IF(D117+AF117&gt;0,"discharge","buy from the Grid")</f>
        <v>discharge</v>
      </c>
      <c r="AD117" s="1">
        <f t="shared" si="33"/>
        <v>0.17517606821705428</v>
      </c>
      <c r="AF117" s="1">
        <f t="shared" si="36"/>
        <v>25.785731928494183</v>
      </c>
    </row>
    <row r="118" spans="1:32" ht="15">
      <c r="A118" s="1">
        <v>117</v>
      </c>
      <c r="C118" s="1">
        <v>0</v>
      </c>
      <c r="D118" s="1">
        <f t="shared" si="34"/>
        <v>3.0797439251319951</v>
      </c>
      <c r="E118" s="1">
        <f t="shared" si="27"/>
        <v>2.7003231704560717E-3</v>
      </c>
      <c r="G118">
        <v>216.3</v>
      </c>
      <c r="H118" s="1">
        <f t="shared" si="28"/>
        <v>0.69796708615682479</v>
      </c>
      <c r="R118" s="1" t="e">
        <f t="shared" si="29"/>
        <v>#VALUE!</v>
      </c>
      <c r="S118" s="1">
        <f>'Solar Availability and Gener GR'!F118</f>
        <v>2.1599999999999998E-2</v>
      </c>
      <c r="T118" s="1">
        <v>0.66914728682170543</v>
      </c>
      <c r="U118" s="1">
        <f t="shared" si="30"/>
        <v>-0.64754728682170548</v>
      </c>
      <c r="V118" s="1" t="str">
        <f t="shared" si="31"/>
        <v>Buy from Grid</v>
      </c>
      <c r="W118" s="1">
        <f t="shared" si="32"/>
        <v>1.3834103655840245E-3</v>
      </c>
      <c r="AA118" s="1" t="str">
        <f t="shared" si="47"/>
        <v>discharge</v>
      </c>
      <c r="AD118" s="1">
        <f t="shared" si="33"/>
        <v>0.1447365581395349</v>
      </c>
      <c r="AF118" s="1">
        <f t="shared" si="36"/>
        <v>25.138184641672478</v>
      </c>
    </row>
    <row r="119" spans="1:32" ht="15">
      <c r="A119" s="1">
        <v>118</v>
      </c>
      <c r="C119" s="1">
        <v>0</v>
      </c>
      <c r="D119" s="1">
        <f t="shared" si="34"/>
        <v>3.0797439251319951</v>
      </c>
      <c r="E119" s="1">
        <f t="shared" si="27"/>
        <v>2.864490919078208E-3</v>
      </c>
      <c r="G119">
        <v>205</v>
      </c>
      <c r="H119" s="1">
        <f t="shared" si="28"/>
        <v>0.66150371087447557</v>
      </c>
      <c r="R119" s="1" t="e">
        <f t="shared" si="29"/>
        <v>#VALUE!</v>
      </c>
      <c r="S119" s="1">
        <f>'Solar Availability and Gener GR'!F119</f>
        <v>0</v>
      </c>
      <c r="T119" s="1">
        <v>0.39891472868217059</v>
      </c>
      <c r="U119" s="1">
        <f t="shared" si="30"/>
        <v>-0.39891472868217059</v>
      </c>
      <c r="V119" s="1" t="str">
        <f t="shared" si="31"/>
        <v>Buy from Grid</v>
      </c>
      <c r="W119" s="1">
        <f t="shared" si="32"/>
        <v>9.6160026960945136E-4</v>
      </c>
      <c r="AA119" s="1" t="str">
        <f t="shared" si="47"/>
        <v>discharge</v>
      </c>
      <c r="AD119" s="1">
        <f t="shared" si="33"/>
        <v>8.1777519379844982E-2</v>
      </c>
      <c r="AF119" s="1">
        <f t="shared" si="36"/>
        <v>24.739269912990306</v>
      </c>
    </row>
    <row r="120" spans="1:32" ht="15">
      <c r="A120" s="1">
        <v>119</v>
      </c>
      <c r="C120" s="1">
        <v>0</v>
      </c>
      <c r="D120" s="1">
        <f t="shared" si="34"/>
        <v>3.0797439251319951</v>
      </c>
      <c r="E120" s="1">
        <f t="shared" si="27"/>
        <v>3.2070896390994042E-3</v>
      </c>
      <c r="G120">
        <v>184.99</v>
      </c>
      <c r="H120" s="1">
        <f t="shared" si="28"/>
        <v>0.59693449499838658</v>
      </c>
      <c r="R120" s="1" t="e">
        <f t="shared" si="29"/>
        <v>#VALUE!</v>
      </c>
      <c r="S120" s="1">
        <f>'Solar Availability and Gener GR'!F120</f>
        <v>0</v>
      </c>
      <c r="T120" s="1">
        <v>0.39891472868217059</v>
      </c>
      <c r="U120" s="1">
        <f t="shared" si="30"/>
        <v>-0.39891472868217059</v>
      </c>
      <c r="V120" s="1" t="str">
        <f t="shared" si="31"/>
        <v>Buy from Grid</v>
      </c>
      <c r="W120" s="1">
        <f t="shared" si="32"/>
        <v>1.0766095438040611E-3</v>
      </c>
      <c r="AA120" s="1" t="str">
        <f t="shared" si="47"/>
        <v>discharge</v>
      </c>
      <c r="AD120" s="1">
        <f t="shared" si="33"/>
        <v>7.3795235658914743E-2</v>
      </c>
      <c r="AF120" s="1">
        <f t="shared" si="36"/>
        <v>24.340355184308134</v>
      </c>
    </row>
    <row r="121" spans="1:32" ht="15">
      <c r="A121" s="1">
        <v>120</v>
      </c>
      <c r="C121" s="1">
        <v>0</v>
      </c>
      <c r="D121" s="1">
        <f t="shared" si="34"/>
        <v>3.0797439251319951</v>
      </c>
      <c r="E121" s="1">
        <f t="shared" si="27"/>
        <v>3.7400502046505495E-3</v>
      </c>
      <c r="G121">
        <v>160.86000000000001</v>
      </c>
      <c r="H121" s="1">
        <f t="shared" si="28"/>
        <v>0.51907066795740564</v>
      </c>
      <c r="R121" s="1" t="e">
        <f t="shared" si="29"/>
        <v>#VALUE!</v>
      </c>
      <c r="S121" s="1">
        <f>'Solar Availability and Gener GR'!F121</f>
        <v>0</v>
      </c>
      <c r="T121" s="1">
        <v>0.29596899224806206</v>
      </c>
      <c r="U121" s="1">
        <f t="shared" si="30"/>
        <v>-0.29596899224806206</v>
      </c>
      <c r="V121" s="1" t="str">
        <f t="shared" si="31"/>
        <v>Buy from Grid</v>
      </c>
      <c r="W121" s="1">
        <f t="shared" si="32"/>
        <v>9.6964044893194947E-4</v>
      </c>
      <c r="AA121" s="1" t="str">
        <f t="shared" si="47"/>
        <v>discharge</v>
      </c>
      <c r="AD121" s="1">
        <f t="shared" si="33"/>
        <v>4.7609572093023265E-2</v>
      </c>
      <c r="AF121" s="1">
        <f t="shared" si="36"/>
        <v>24.04438619206007</v>
      </c>
    </row>
    <row r="122" spans="1:32" ht="15">
      <c r="A122" s="1">
        <v>121</v>
      </c>
      <c r="C122" s="1">
        <v>0</v>
      </c>
      <c r="D122" s="1">
        <f t="shared" si="34"/>
        <v>3.0797439251319951</v>
      </c>
      <c r="E122" s="1">
        <f t="shared" si="27"/>
        <v>3.4495531869111603E-3</v>
      </c>
      <c r="G122">
        <v>173.13</v>
      </c>
      <c r="H122" s="1">
        <f t="shared" si="28"/>
        <v>0.55866408518877053</v>
      </c>
      <c r="R122" s="1" t="e">
        <f t="shared" si="29"/>
        <v>#VALUE!</v>
      </c>
      <c r="S122" s="1">
        <f>'Solar Availability and Gener GR'!F122</f>
        <v>0</v>
      </c>
      <c r="T122" s="1">
        <v>0.29596899224806206</v>
      </c>
      <c r="U122" s="1">
        <f t="shared" si="30"/>
        <v>-0.29596899224806206</v>
      </c>
      <c r="V122" s="1" t="str">
        <f t="shared" si="31"/>
        <v>Buy from Grid</v>
      </c>
      <c r="W122" s="1">
        <f t="shared" si="32"/>
        <v>8.9432657791921203E-4</v>
      </c>
      <c r="AA122" s="1" t="str">
        <f t="shared" si="47"/>
        <v>discharge</v>
      </c>
      <c r="AD122" s="1">
        <f t="shared" si="33"/>
        <v>5.1241111627906982E-2</v>
      </c>
      <c r="AF122" s="1">
        <f t="shared" si="36"/>
        <v>23.748417199812007</v>
      </c>
    </row>
    <row r="123" spans="1:32" ht="15">
      <c r="A123" s="1">
        <v>122</v>
      </c>
      <c r="C123" s="1">
        <v>0</v>
      </c>
      <c r="D123" s="1">
        <f t="shared" si="34"/>
        <v>3.0797439251319951</v>
      </c>
      <c r="E123" s="1">
        <f t="shared" si="27"/>
        <v>3.5020253853583348E-3</v>
      </c>
      <c r="G123">
        <v>170.77</v>
      </c>
      <c r="H123" s="1">
        <f t="shared" si="28"/>
        <v>0.55104872539528882</v>
      </c>
      <c r="R123" s="1" t="e">
        <f t="shared" si="29"/>
        <v>#VALUE!</v>
      </c>
      <c r="S123" s="1">
        <f>'Solar Availability and Gener GR'!F123</f>
        <v>0</v>
      </c>
      <c r="T123" s="1">
        <v>0.30883720930232561</v>
      </c>
      <c r="U123" s="1">
        <f t="shared" si="30"/>
        <v>-0.30883720930232561</v>
      </c>
      <c r="V123" s="1" t="str">
        <f t="shared" si="31"/>
        <v>Buy from Grid</v>
      </c>
      <c r="W123" s="1">
        <f t="shared" si="32"/>
        <v>9.4253201836021195E-4</v>
      </c>
      <c r="AA123" s="1" t="str">
        <f t="shared" si="47"/>
        <v>discharge</v>
      </c>
      <c r="AD123" s="1">
        <f t="shared" si="33"/>
        <v>5.2740130232558149E-2</v>
      </c>
      <c r="AF123" s="1">
        <f t="shared" si="36"/>
        <v>23.439579990509682</v>
      </c>
    </row>
    <row r="124" spans="1:32" ht="15">
      <c r="A124" s="1">
        <v>123</v>
      </c>
      <c r="C124" s="1">
        <v>0</v>
      </c>
      <c r="D124" s="1">
        <f t="shared" si="34"/>
        <v>3.0797439251319951</v>
      </c>
      <c r="E124" s="1">
        <f t="shared" si="27"/>
        <v>3.7621678020883231E-3</v>
      </c>
      <c r="G124">
        <v>160</v>
      </c>
      <c r="H124" s="1">
        <f t="shared" si="28"/>
        <v>0.51629557921910285</v>
      </c>
      <c r="R124" s="1" t="e">
        <f t="shared" si="29"/>
        <v>#VALUE!</v>
      </c>
      <c r="S124" s="1">
        <f>'Solar Availability and Gener GR'!F124</f>
        <v>0</v>
      </c>
      <c r="T124" s="1">
        <v>0.30883720930232561</v>
      </c>
      <c r="U124" s="1">
        <f t="shared" si="30"/>
        <v>-0.30883720930232561</v>
      </c>
      <c r="V124" s="1" t="str">
        <f t="shared" si="31"/>
        <v>Buy from Grid</v>
      </c>
      <c r="W124" s="1">
        <f t="shared" si="32"/>
        <v>1.0125465185767861E-3</v>
      </c>
      <c r="AA124" s="1" t="str">
        <f t="shared" si="47"/>
        <v>discharge</v>
      </c>
      <c r="AD124" s="1">
        <f t="shared" si="33"/>
        <v>4.9413953488372103E-2</v>
      </c>
      <c r="AF124" s="1">
        <f t="shared" si="36"/>
        <v>23.130742781207356</v>
      </c>
    </row>
    <row r="125" spans="1:32" ht="15">
      <c r="A125" s="1">
        <v>124</v>
      </c>
      <c r="C125" s="1">
        <v>0</v>
      </c>
      <c r="D125" s="1">
        <f t="shared" si="34"/>
        <v>3.0797439251319951</v>
      </c>
      <c r="E125" s="1">
        <f t="shared" si="27"/>
        <v>4.0389434059526618E-3</v>
      </c>
      <c r="G125">
        <v>150</v>
      </c>
      <c r="H125" s="1">
        <f t="shared" si="28"/>
        <v>0.48402710551790895</v>
      </c>
      <c r="R125" s="1" t="e">
        <f t="shared" si="29"/>
        <v>#VALUE!</v>
      </c>
      <c r="S125" s="1">
        <f>'Solar Availability and Gener GR'!F125</f>
        <v>0</v>
      </c>
      <c r="T125" s="1">
        <v>0.30883720930232561</v>
      </c>
      <c r="U125" s="1">
        <f t="shared" si="30"/>
        <v>-0.30883720930232561</v>
      </c>
      <c r="V125" s="1" t="str">
        <f t="shared" si="31"/>
        <v>Buy from Grid</v>
      </c>
      <c r="W125" s="1">
        <f t="shared" si="32"/>
        <v>1.0870376600841537E-3</v>
      </c>
      <c r="AA125" s="1" t="str">
        <f t="shared" si="47"/>
        <v>discharge</v>
      </c>
      <c r="AD125" s="1">
        <f t="shared" si="33"/>
        <v>4.6325581395348842E-2</v>
      </c>
      <c r="AF125" s="1">
        <f t="shared" si="36"/>
        <v>22.821905571905031</v>
      </c>
    </row>
    <row r="126" spans="1:32" ht="15">
      <c r="A126" s="1">
        <v>125</v>
      </c>
      <c r="C126" s="1">
        <v>0</v>
      </c>
      <c r="D126" s="1">
        <f t="shared" si="34"/>
        <v>3.0797439251319951</v>
      </c>
      <c r="E126" s="1">
        <f t="shared" si="27"/>
        <v>3.9776490003238588E-3</v>
      </c>
      <c r="G126">
        <v>152.1</v>
      </c>
      <c r="H126" s="1">
        <f t="shared" si="28"/>
        <v>0.49080348499515963</v>
      </c>
      <c r="R126" s="1" t="e">
        <f t="shared" si="29"/>
        <v>#VALUE!</v>
      </c>
      <c r="S126" s="1">
        <f>'Solar Availability and Gener GR'!F126</f>
        <v>0</v>
      </c>
      <c r="T126" s="1">
        <v>0.39891472868217059</v>
      </c>
      <c r="U126" s="1">
        <f t="shared" si="30"/>
        <v>-0.39891472868217059</v>
      </c>
      <c r="V126" s="1" t="str">
        <f t="shared" si="31"/>
        <v>Buy from Grid</v>
      </c>
      <c r="W126" s="1">
        <f t="shared" si="32"/>
        <v>1.3352838110424316E-3</v>
      </c>
      <c r="AA126" s="1" t="str">
        <f t="shared" si="47"/>
        <v>discharge</v>
      </c>
      <c r="AD126" s="1">
        <f t="shared" si="33"/>
        <v>6.0674930232558148E-2</v>
      </c>
      <c r="AF126" s="1">
        <f t="shared" si="36"/>
        <v>22.422990843222859</v>
      </c>
    </row>
    <row r="127" spans="1:32" ht="15">
      <c r="A127" s="1">
        <v>126</v>
      </c>
      <c r="C127" s="1">
        <v>0</v>
      </c>
      <c r="D127" s="1">
        <f t="shared" si="34"/>
        <v>3.0797439251319951</v>
      </c>
      <c r="E127" s="1">
        <f t="shared" si="27"/>
        <v>3.7600998247429066E-3</v>
      </c>
      <c r="G127">
        <v>160.08000000000001</v>
      </c>
      <c r="H127" s="1">
        <f t="shared" si="28"/>
        <v>0.51655372700871249</v>
      </c>
      <c r="R127" s="1" t="e">
        <f t="shared" si="29"/>
        <v>#VALUE!</v>
      </c>
      <c r="S127" s="1">
        <f>'Solar Availability and Gener GR'!F127</f>
        <v>0</v>
      </c>
      <c r="T127" s="1">
        <v>0.65627906976744199</v>
      </c>
      <c r="U127" s="1">
        <f t="shared" si="30"/>
        <v>-0.65627906976744199</v>
      </c>
      <c r="V127" s="1" t="str">
        <f t="shared" si="31"/>
        <v>Buy from Grid</v>
      </c>
      <c r="W127" s="1">
        <f t="shared" si="32"/>
        <v>1.8972469626329406E-3</v>
      </c>
      <c r="AA127" s="1" t="str">
        <f t="shared" si="47"/>
        <v>discharge</v>
      </c>
      <c r="AD127" s="1">
        <f t="shared" si="33"/>
        <v>0.10505715348837212</v>
      </c>
      <c r="AF127" s="1">
        <f t="shared" si="36"/>
        <v>21.766711773455416</v>
      </c>
    </row>
    <row r="128" spans="1:32" ht="15">
      <c r="A128" s="1">
        <v>127</v>
      </c>
      <c r="C128" s="1">
        <v>0</v>
      </c>
      <c r="D128" s="1">
        <f t="shared" si="34"/>
        <v>3.0797439251319951</v>
      </c>
      <c r="E128" s="1">
        <f t="shared" si="27"/>
        <v>2.1815120404698098E-3</v>
      </c>
      <c r="G128">
        <v>262.60000000000002</v>
      </c>
      <c r="H128" s="1">
        <f t="shared" si="28"/>
        <v>0.84737011939335272</v>
      </c>
      <c r="R128" s="1" t="e">
        <f t="shared" si="29"/>
        <v>#VALUE!</v>
      </c>
      <c r="S128" s="1">
        <f>'Solar Availability and Gener GR'!F128</f>
        <v>7.4098637941778636E-2</v>
      </c>
      <c r="T128" s="1">
        <v>0.66914728682170543</v>
      </c>
      <c r="U128" s="1">
        <f t="shared" si="30"/>
        <v>-0.59504864887992681</v>
      </c>
      <c r="V128" s="1" t="str">
        <f t="shared" si="31"/>
        <v>Buy from Grid</v>
      </c>
      <c r="W128" s="1">
        <f t="shared" si="32"/>
        <v>1.1176167365636379E-3</v>
      </c>
      <c r="AA128" s="1" t="str">
        <f t="shared" si="47"/>
        <v>discharge</v>
      </c>
      <c r="AD128" s="1">
        <f t="shared" si="33"/>
        <v>0.17571807751937987</v>
      </c>
      <c r="AF128" s="1">
        <f t="shared" si="36"/>
        <v>21.171663124575488</v>
      </c>
    </row>
    <row r="129" spans="1:32" ht="15">
      <c r="A129" s="1">
        <v>128</v>
      </c>
      <c r="C129" s="1">
        <v>0</v>
      </c>
      <c r="D129" s="1">
        <f t="shared" si="34"/>
        <v>3.0797439251319951</v>
      </c>
      <c r="E129" s="1">
        <f t="shared" si="27"/>
        <v>2.8931967956751441E-3</v>
      </c>
      <c r="G129">
        <v>203.15</v>
      </c>
      <c r="H129" s="1">
        <f t="shared" si="28"/>
        <v>0.65553404323975473</v>
      </c>
      <c r="R129" s="1" t="e">
        <f t="shared" si="29"/>
        <v>#VALUE!</v>
      </c>
      <c r="S129" s="1">
        <f>'Solar Availability and Gener GR'!F129</f>
        <v>0.39921659396421116</v>
      </c>
      <c r="T129" s="1">
        <v>0.65627906976744199</v>
      </c>
      <c r="U129" s="1">
        <f t="shared" si="30"/>
        <v>-0.25706247580323083</v>
      </c>
      <c r="V129" s="1" t="str">
        <f t="shared" si="31"/>
        <v>Buy from Grid</v>
      </c>
      <c r="W129" s="1">
        <f t="shared" si="32"/>
        <v>1.4598306132123332E-3</v>
      </c>
      <c r="AA129" s="1" t="str">
        <f t="shared" si="47"/>
        <v>discharge</v>
      </c>
      <c r="AD129" s="1">
        <f t="shared" si="33"/>
        <v>0.13332309302325585</v>
      </c>
      <c r="AF129" s="1">
        <f t="shared" si="36"/>
        <v>20.914600648772257</v>
      </c>
    </row>
    <row r="130" spans="1:32" ht="15">
      <c r="A130" s="1">
        <v>129</v>
      </c>
      <c r="B130" s="1">
        <f>U130</f>
        <v>0.42115114864356307</v>
      </c>
      <c r="D130" s="1">
        <f t="shared" si="34"/>
        <v>3.4166648440468457</v>
      </c>
      <c r="E130" s="1">
        <f t="shared" si="27"/>
        <v>3.4232282155952673E-3</v>
      </c>
      <c r="G130">
        <v>174.34</v>
      </c>
      <c r="H130" s="1">
        <f t="shared" si="28"/>
        <v>0.56256857050661502</v>
      </c>
      <c r="R130" s="1" t="e">
        <f t="shared" si="29"/>
        <v>#VALUE!</v>
      </c>
      <c r="S130" s="1">
        <f>'Solar Availability and Gener GR'!F130</f>
        <v>0.82006587732573366</v>
      </c>
      <c r="T130" s="1">
        <v>0.39891472868217059</v>
      </c>
      <c r="U130" s="1">
        <f t="shared" si="30"/>
        <v>0.42115114864356307</v>
      </c>
      <c r="V130" s="1" t="str">
        <f t="shared" si="31"/>
        <v>sell the surplus or charge</v>
      </c>
      <c r="W130" s="1">
        <f t="shared" si="32"/>
        <v>1.1491665597984798E-3</v>
      </c>
      <c r="X130" s="1">
        <f t="shared" ref="X130:X140" si="48">(1*(1/(G130+0.01))^1.1)*(LN(S130+1))</f>
        <v>2.0500779131205514E-3</v>
      </c>
      <c r="Y130" s="1">
        <f t="shared" ref="Y130:Y140" si="49">X130/W130</f>
        <v>1.7839693433822659</v>
      </c>
      <c r="Z130" s="1" t="str">
        <f t="shared" ref="Z130:Z140" si="50">IF(Y130&gt;=2,"sell to the Grid","charge")</f>
        <v>charge</v>
      </c>
      <c r="AD130" s="1">
        <f t="shared" si="33"/>
        <v>6.9546793798449622E-2</v>
      </c>
      <c r="AF130" s="1">
        <f t="shared" si="36"/>
        <v>21.335751797415821</v>
      </c>
    </row>
    <row r="131" spans="1:32" ht="15">
      <c r="A131" s="1">
        <v>130</v>
      </c>
      <c r="D131" s="1">
        <f t="shared" si="34"/>
        <v>3.4166648440468457</v>
      </c>
      <c r="E131" s="1">
        <f t="shared" ref="E131:E194" si="51">1*(1/(G131+0.01))^1.1</f>
        <v>3.4275529554026493E-3</v>
      </c>
      <c r="G131">
        <v>174.14</v>
      </c>
      <c r="H131" s="1">
        <f t="shared" ref="H131:H194" si="52">G131/($H$1-$I$1)</f>
        <v>0.56192320103259108</v>
      </c>
      <c r="R131" s="1" t="e">
        <f t="shared" ref="R131:R194" si="53">S131-T131-V131</f>
        <v>#VALUE!</v>
      </c>
      <c r="S131" s="1">
        <f>'Solar Availability and Gener GR'!F131</f>
        <v>1.4132288791952279</v>
      </c>
      <c r="T131" s="1">
        <v>0.39891472868217059</v>
      </c>
      <c r="U131" s="1">
        <f t="shared" ref="U131:U194" si="54">S131-T131</f>
        <v>1.0143141505130573</v>
      </c>
      <c r="V131" s="1" t="str">
        <f t="shared" ref="V131:V194" si="55">IF(U131&lt;0,"Buy from Grid","sell the surplus or charge")</f>
        <v>sell the surplus or charge</v>
      </c>
      <c r="W131" s="1">
        <f t="shared" ref="W131:W194" si="56">(1*(1/(G131+0.01))^1.1)*(LN(T131+1))</f>
        <v>1.150618360862701E-3</v>
      </c>
      <c r="X131" s="1">
        <f t="shared" si="48"/>
        <v>3.0195563647946555E-3</v>
      </c>
      <c r="Y131" s="1">
        <f t="shared" si="49"/>
        <v>2.624290092616528</v>
      </c>
      <c r="Z131" s="1" t="str">
        <f t="shared" si="50"/>
        <v>sell to the Grid</v>
      </c>
      <c r="AB131" s="1">
        <f t="shared" ref="AB131:AB139" si="57">(U131*G131)/1000</f>
        <v>0.17663266617034379</v>
      </c>
      <c r="AD131" s="1">
        <f t="shared" ref="AD131:AD194" si="58">(T131*G131)/1000</f>
        <v>6.9467010852713187E-2</v>
      </c>
      <c r="AF131" s="1">
        <f t="shared" si="36"/>
        <v>22.350065947928879</v>
      </c>
    </row>
    <row r="132" spans="1:32" ht="15">
      <c r="A132" s="1">
        <v>131</v>
      </c>
      <c r="D132" s="1">
        <f t="shared" ref="D132:D195" si="59">(D131)+(B132*0.8)-(C132/0.8)</f>
        <v>3.4166648440468457</v>
      </c>
      <c r="E132" s="1">
        <f t="shared" si="51"/>
        <v>3.8499455862343354E-3</v>
      </c>
      <c r="G132">
        <v>156.68</v>
      </c>
      <c r="H132" s="1">
        <f t="shared" si="52"/>
        <v>0.50558244595030655</v>
      </c>
      <c r="R132" s="1" t="e">
        <f t="shared" si="53"/>
        <v>#VALUE!</v>
      </c>
      <c r="S132" s="1">
        <f>'Solar Availability and Gener GR'!F132</f>
        <v>2.4277485978812412</v>
      </c>
      <c r="T132" s="1">
        <v>0.39891472868217059</v>
      </c>
      <c r="U132" s="1">
        <f t="shared" si="54"/>
        <v>2.0288338691990706</v>
      </c>
      <c r="V132" s="1" t="str">
        <f t="shared" si="55"/>
        <v>sell the surplus or charge</v>
      </c>
      <c r="W132" s="1">
        <f t="shared" si="56"/>
        <v>1.2924141909641631E-3</v>
      </c>
      <c r="X132" s="1">
        <f t="shared" si="48"/>
        <v>4.7427620592730771E-3</v>
      </c>
      <c r="Y132" s="1">
        <f t="shared" si="49"/>
        <v>3.6696920325015121</v>
      </c>
      <c r="Z132" s="1" t="str">
        <f t="shared" si="50"/>
        <v>sell to the Grid</v>
      </c>
      <c r="AB132" s="1">
        <f t="shared" si="57"/>
        <v>0.31787769062611038</v>
      </c>
      <c r="AD132" s="1">
        <f t="shared" si="58"/>
        <v>6.250195968992249E-2</v>
      </c>
      <c r="AF132" s="1">
        <f t="shared" ref="AF132:AF195" si="60">U132+AF131</f>
        <v>24.378899817127952</v>
      </c>
    </row>
    <row r="133" spans="1:32" ht="15">
      <c r="A133" s="1">
        <v>132</v>
      </c>
      <c r="D133" s="1">
        <f t="shared" si="59"/>
        <v>3.4166648440468457</v>
      </c>
      <c r="E133" s="1">
        <f t="shared" si="51"/>
        <v>4.1112382165873458E-3</v>
      </c>
      <c r="G133">
        <v>147.6</v>
      </c>
      <c r="H133" s="1">
        <f t="shared" si="52"/>
        <v>0.47628267182962236</v>
      </c>
      <c r="R133" s="1" t="e">
        <f t="shared" si="53"/>
        <v>#VALUE!</v>
      </c>
      <c r="S133" s="1">
        <f>'Solar Availability and Gener GR'!F133</f>
        <v>2.9251936259236153</v>
      </c>
      <c r="T133" s="1">
        <v>0.39891472868217059</v>
      </c>
      <c r="U133" s="1">
        <f t="shared" si="54"/>
        <v>2.5262788972414447</v>
      </c>
      <c r="V133" s="1" t="str">
        <f t="shared" si="55"/>
        <v>sell the surplus or charge</v>
      </c>
      <c r="W133" s="1">
        <f t="shared" si="56"/>
        <v>1.380129275735761E-3</v>
      </c>
      <c r="X133" s="1">
        <f t="shared" si="48"/>
        <v>5.6217716075920203E-3</v>
      </c>
      <c r="Y133" s="1">
        <f t="shared" si="49"/>
        <v>4.0733659566745999</v>
      </c>
      <c r="Z133" s="1" t="str">
        <f t="shared" si="50"/>
        <v>sell to the Grid</v>
      </c>
      <c r="AB133" s="1">
        <f t="shared" si="57"/>
        <v>0.37287876523283725</v>
      </c>
      <c r="AD133" s="1">
        <f t="shared" si="58"/>
        <v>5.8879813953488382E-2</v>
      </c>
      <c r="AF133" s="1">
        <f t="shared" si="60"/>
        <v>26.905178714369395</v>
      </c>
    </row>
    <row r="134" spans="1:32" ht="15">
      <c r="A134" s="1">
        <v>133</v>
      </c>
      <c r="D134" s="1">
        <f t="shared" si="59"/>
        <v>3.4166648440468457</v>
      </c>
      <c r="E134" s="1">
        <f t="shared" si="51"/>
        <v>4.1765518295126093E-3</v>
      </c>
      <c r="G134">
        <v>145.5</v>
      </c>
      <c r="H134" s="1">
        <f t="shared" si="52"/>
        <v>0.46950629235237168</v>
      </c>
      <c r="R134" s="1" t="e">
        <f t="shared" si="53"/>
        <v>#VALUE!</v>
      </c>
      <c r="S134" s="1">
        <f>'Solar Availability and Gener GR'!F134</f>
        <v>3.1928647734354128</v>
      </c>
      <c r="T134" s="1">
        <v>0.38604651162790704</v>
      </c>
      <c r="U134" s="1">
        <f t="shared" si="54"/>
        <v>2.8068182618075057</v>
      </c>
      <c r="V134" s="1" t="str">
        <f t="shared" si="55"/>
        <v>sell the surplus or charge</v>
      </c>
      <c r="W134" s="1">
        <f t="shared" si="56"/>
        <v>1.3634581419419347E-3</v>
      </c>
      <c r="X134" s="1">
        <f t="shared" si="48"/>
        <v>5.9866034743926398E-3</v>
      </c>
      <c r="Y134" s="1">
        <f t="shared" si="49"/>
        <v>4.3907497342500674</v>
      </c>
      <c r="Z134" s="1" t="str">
        <f t="shared" si="50"/>
        <v>sell to the Grid</v>
      </c>
      <c r="AB134" s="1">
        <f t="shared" si="57"/>
        <v>0.40839205709299209</v>
      </c>
      <c r="AD134" s="1">
        <f t="shared" si="58"/>
        <v>5.6169767441860474E-2</v>
      </c>
      <c r="AF134" s="1">
        <f t="shared" si="60"/>
        <v>29.711996976176902</v>
      </c>
    </row>
    <row r="135" spans="1:32" ht="15">
      <c r="A135" s="1">
        <v>134</v>
      </c>
      <c r="D135" s="1">
        <f t="shared" si="59"/>
        <v>3.4166648440468457</v>
      </c>
      <c r="E135" s="1">
        <f t="shared" si="51"/>
        <v>4.518640823311086E-3</v>
      </c>
      <c r="G135">
        <v>135.44999999999999</v>
      </c>
      <c r="H135" s="1">
        <f t="shared" si="52"/>
        <v>0.43707647628267177</v>
      </c>
      <c r="R135" s="1" t="e">
        <f t="shared" si="53"/>
        <v>#VALUE!</v>
      </c>
      <c r="S135" s="1">
        <f>'Solar Availability and Gener GR'!F135</f>
        <v>3.1924241075402815</v>
      </c>
      <c r="T135" s="1">
        <v>0.39891472868217059</v>
      </c>
      <c r="U135" s="1">
        <f t="shared" si="54"/>
        <v>2.7935093788581109</v>
      </c>
      <c r="V135" s="1" t="str">
        <f t="shared" si="55"/>
        <v>sell the surplus or charge</v>
      </c>
      <c r="W135" s="1">
        <f t="shared" si="56"/>
        <v>1.5168930035786162E-3</v>
      </c>
      <c r="X135" s="1">
        <f t="shared" si="48"/>
        <v>6.4764735093626874E-3</v>
      </c>
      <c r="Y135" s="1">
        <f t="shared" si="49"/>
        <v>4.2695651532992454</v>
      </c>
      <c r="Z135" s="1" t="str">
        <f t="shared" si="50"/>
        <v>sell to the Grid</v>
      </c>
      <c r="AB135" s="1">
        <f t="shared" si="57"/>
        <v>0.3783808453663311</v>
      </c>
      <c r="AD135" s="1">
        <f t="shared" si="58"/>
        <v>5.4033000000000005E-2</v>
      </c>
      <c r="AF135" s="1">
        <f t="shared" si="60"/>
        <v>32.50550635503501</v>
      </c>
    </row>
    <row r="136" spans="1:32" ht="15">
      <c r="A136" s="1">
        <v>135</v>
      </c>
      <c r="D136" s="1">
        <f t="shared" si="59"/>
        <v>3.4166648440468457</v>
      </c>
      <c r="E136" s="1">
        <f t="shared" si="51"/>
        <v>4.0392395961230424E-3</v>
      </c>
      <c r="G136">
        <v>149.99</v>
      </c>
      <c r="H136" s="1">
        <f t="shared" si="52"/>
        <v>0.48399483704420776</v>
      </c>
      <c r="R136" s="1" t="e">
        <f t="shared" si="53"/>
        <v>#VALUE!</v>
      </c>
      <c r="S136" s="1">
        <f>'Solar Availability and Gener GR'!F136</f>
        <v>3.0579809489895817</v>
      </c>
      <c r="T136" s="1">
        <v>0.39891472868217059</v>
      </c>
      <c r="U136" s="1">
        <f t="shared" si="54"/>
        <v>2.6590662203074111</v>
      </c>
      <c r="V136" s="1" t="str">
        <f t="shared" si="55"/>
        <v>sell the surplus or charge</v>
      </c>
      <c r="W136" s="1">
        <f t="shared" si="56"/>
        <v>1.3559595734026629E-3</v>
      </c>
      <c r="X136" s="1">
        <f t="shared" si="48"/>
        <v>5.6577045219998144E-3</v>
      </c>
      <c r="Y136" s="1">
        <f t="shared" si="49"/>
        <v>4.1724728620059786</v>
      </c>
      <c r="Z136" s="1" t="str">
        <f t="shared" si="50"/>
        <v>sell to the Grid</v>
      </c>
      <c r="AB136" s="1">
        <f t="shared" si="57"/>
        <v>0.39883334238390866</v>
      </c>
      <c r="AD136" s="1">
        <f t="shared" si="58"/>
        <v>5.9833220155038773E-2</v>
      </c>
      <c r="AF136" s="1">
        <f t="shared" si="60"/>
        <v>35.164572575342419</v>
      </c>
    </row>
    <row r="137" spans="1:32" ht="15">
      <c r="A137" s="1">
        <v>136</v>
      </c>
      <c r="D137" s="1">
        <f t="shared" si="59"/>
        <v>3.4166648440468457</v>
      </c>
      <c r="E137" s="1">
        <f t="shared" si="51"/>
        <v>2.5578009323367758E-3</v>
      </c>
      <c r="G137">
        <v>227.23</v>
      </c>
      <c r="H137" s="1">
        <f t="shared" si="52"/>
        <v>0.7332365279122296</v>
      </c>
      <c r="R137" s="1" t="e">
        <f t="shared" si="53"/>
        <v>#VALUE!</v>
      </c>
      <c r="S137" s="1">
        <f>'Solar Availability and Gener GR'!F137</f>
        <v>2.7894952372473929</v>
      </c>
      <c r="T137" s="1">
        <v>0.39891472868217059</v>
      </c>
      <c r="U137" s="1">
        <f t="shared" si="54"/>
        <v>2.3905805085652223</v>
      </c>
      <c r="V137" s="1" t="str">
        <f t="shared" si="55"/>
        <v>sell the surplus or charge</v>
      </c>
      <c r="W137" s="1">
        <f t="shared" si="56"/>
        <v>8.5864544019355522E-4</v>
      </c>
      <c r="X137" s="1">
        <f t="shared" si="48"/>
        <v>3.4075863681166919E-3</v>
      </c>
      <c r="Y137" s="1">
        <f t="shared" si="49"/>
        <v>3.9685604891217454</v>
      </c>
      <c r="Z137" s="1" t="str">
        <f t="shared" si="50"/>
        <v>sell to the Grid</v>
      </c>
      <c r="AB137" s="1">
        <f t="shared" si="57"/>
        <v>0.54321160896127552</v>
      </c>
      <c r="AD137" s="1">
        <f t="shared" si="58"/>
        <v>9.0645393798449617E-2</v>
      </c>
      <c r="AF137" s="1">
        <f t="shared" si="60"/>
        <v>37.555153083907641</v>
      </c>
    </row>
    <row r="138" spans="1:32" ht="15">
      <c r="A138" s="1">
        <v>137</v>
      </c>
      <c r="D138" s="1">
        <f t="shared" si="59"/>
        <v>3.4166648440468457</v>
      </c>
      <c r="E138" s="1">
        <f t="shared" si="51"/>
        <v>2.1516612455877333E-3</v>
      </c>
      <c r="G138">
        <v>265.91000000000003</v>
      </c>
      <c r="H138" s="1">
        <f t="shared" si="52"/>
        <v>0.85805098418844783</v>
      </c>
      <c r="R138" s="1" t="e">
        <f t="shared" si="53"/>
        <v>#VALUE!</v>
      </c>
      <c r="S138" s="1">
        <f>'Solar Availability and Gener GR'!F138</f>
        <v>2.3678046826315309</v>
      </c>
      <c r="T138" s="1">
        <v>0.66914728682170543</v>
      </c>
      <c r="U138" s="1">
        <f t="shared" si="54"/>
        <v>1.6986573958098254</v>
      </c>
      <c r="V138" s="1" t="str">
        <f t="shared" si="55"/>
        <v>sell the surplus or charge</v>
      </c>
      <c r="W138" s="1">
        <f t="shared" si="56"/>
        <v>1.1023237895887716E-3</v>
      </c>
      <c r="X138" s="1">
        <f t="shared" si="48"/>
        <v>2.6126785565013105E-3</v>
      </c>
      <c r="Y138" s="1">
        <f t="shared" si="49"/>
        <v>2.3701552857495578</v>
      </c>
      <c r="Z138" s="1" t="str">
        <f t="shared" si="50"/>
        <v>sell to the Grid</v>
      </c>
      <c r="AB138" s="1">
        <f t="shared" si="57"/>
        <v>0.45168998811979072</v>
      </c>
      <c r="AD138" s="1">
        <f t="shared" si="58"/>
        <v>0.17793295503875969</v>
      </c>
      <c r="AF138" s="1">
        <f t="shared" si="60"/>
        <v>39.253810479717465</v>
      </c>
    </row>
    <row r="139" spans="1:32" ht="15">
      <c r="A139" s="1">
        <v>138</v>
      </c>
      <c r="D139" s="1">
        <f t="shared" si="59"/>
        <v>3.4166648440468457</v>
      </c>
      <c r="E139" s="1">
        <f t="shared" si="51"/>
        <v>2.047987872781736E-3</v>
      </c>
      <c r="G139">
        <v>278.12</v>
      </c>
      <c r="H139" s="1">
        <f t="shared" si="52"/>
        <v>0.89745079057760557</v>
      </c>
      <c r="R139" s="1" t="e">
        <f t="shared" si="53"/>
        <v>#VALUE!</v>
      </c>
      <c r="S139" s="1">
        <f>'Solar Availability and Gener GR'!F139</f>
        <v>1.7929226386539647</v>
      </c>
      <c r="T139" s="1">
        <v>0.65627906976744199</v>
      </c>
      <c r="U139" s="1">
        <f t="shared" si="54"/>
        <v>1.1366435688865226</v>
      </c>
      <c r="V139" s="1" t="str">
        <f t="shared" si="55"/>
        <v>sell the surplus or charge</v>
      </c>
      <c r="W139" s="1">
        <f t="shared" si="56"/>
        <v>1.0333605362219116E-3</v>
      </c>
      <c r="X139" s="1">
        <f t="shared" si="48"/>
        <v>2.1034649730730963E-3</v>
      </c>
      <c r="Y139" s="1">
        <f t="shared" si="49"/>
        <v>2.03555767744297</v>
      </c>
      <c r="Z139" s="1" t="str">
        <f t="shared" si="50"/>
        <v>sell to the Grid</v>
      </c>
      <c r="AB139" s="1">
        <f t="shared" si="57"/>
        <v>0.31612330937871969</v>
      </c>
      <c r="AD139" s="1">
        <f t="shared" si="58"/>
        <v>0.18252433488372097</v>
      </c>
      <c r="AF139" s="1">
        <f t="shared" si="60"/>
        <v>40.390454048603985</v>
      </c>
    </row>
    <row r="140" spans="1:32" ht="15">
      <c r="A140" s="1">
        <v>139</v>
      </c>
      <c r="B140" s="1">
        <f>U140</f>
        <v>0.45313527349165472</v>
      </c>
      <c r="D140" s="1">
        <f t="shared" si="59"/>
        <v>3.7791730628401696</v>
      </c>
      <c r="E140" s="1">
        <f t="shared" si="51"/>
        <v>2.1231878897989944E-3</v>
      </c>
      <c r="G140">
        <v>269.14999999999998</v>
      </c>
      <c r="H140" s="1">
        <f t="shared" si="52"/>
        <v>0.8685059696676346</v>
      </c>
      <c r="R140" s="1" t="e">
        <f t="shared" si="53"/>
        <v>#VALUE!</v>
      </c>
      <c r="S140" s="1">
        <f>'Solar Availability and Gener GR'!F140</f>
        <v>1.1222825603133602</v>
      </c>
      <c r="T140" s="1">
        <v>0.66914728682170543</v>
      </c>
      <c r="U140" s="1">
        <f t="shared" si="54"/>
        <v>0.45313527349165472</v>
      </c>
      <c r="V140" s="1" t="str">
        <f t="shared" si="55"/>
        <v>sell the surplus or charge</v>
      </c>
      <c r="W140" s="1">
        <f t="shared" si="56"/>
        <v>1.087736522415691E-3</v>
      </c>
      <c r="X140" s="1">
        <f t="shared" si="48"/>
        <v>1.5976823025844783E-3</v>
      </c>
      <c r="Y140" s="1">
        <f t="shared" si="49"/>
        <v>1.4688136967546868</v>
      </c>
      <c r="Z140" s="1" t="str">
        <f t="shared" si="50"/>
        <v>charge</v>
      </c>
      <c r="AD140" s="1">
        <f t="shared" si="58"/>
        <v>0.180100992248062</v>
      </c>
      <c r="AF140" s="1">
        <f t="shared" si="60"/>
        <v>40.843589322095639</v>
      </c>
    </row>
    <row r="141" spans="1:32" ht="15">
      <c r="A141" s="1">
        <v>140</v>
      </c>
      <c r="C141" s="1">
        <v>0</v>
      </c>
      <c r="D141" s="1">
        <f t="shared" si="59"/>
        <v>3.7791730628401696</v>
      </c>
      <c r="E141" s="1">
        <f t="shared" si="51"/>
        <v>1.913681744691744E-3</v>
      </c>
      <c r="G141">
        <v>295.81</v>
      </c>
      <c r="H141" s="1">
        <f t="shared" si="52"/>
        <v>0.95453372055501762</v>
      </c>
      <c r="R141" s="1" t="e">
        <f t="shared" si="53"/>
        <v>#VALUE!</v>
      </c>
      <c r="S141" s="1">
        <f>'Solar Availability and Gener GR'!F141</f>
        <v>0.45164248197275875</v>
      </c>
      <c r="T141" s="1">
        <v>0.65627906976744199</v>
      </c>
      <c r="U141" s="1">
        <f t="shared" si="54"/>
        <v>-0.20463658779468324</v>
      </c>
      <c r="V141" s="1" t="str">
        <f t="shared" si="55"/>
        <v>Buy from Grid</v>
      </c>
      <c r="W141" s="1">
        <f t="shared" si="56"/>
        <v>9.6559321475215502E-4</v>
      </c>
      <c r="AA141" s="1" t="str">
        <f t="shared" ref="AA141:AA153" si="61">IF(D141+AF141&gt;0,"discharge","buy from the Grid")</f>
        <v>discharge</v>
      </c>
      <c r="AD141" s="1">
        <f t="shared" si="58"/>
        <v>0.19413391162790702</v>
      </c>
      <c r="AF141" s="1">
        <f t="shared" si="60"/>
        <v>40.638952734300958</v>
      </c>
    </row>
    <row r="142" spans="1:32" ht="15">
      <c r="A142" s="1">
        <v>141</v>
      </c>
      <c r="C142" s="1">
        <v>0</v>
      </c>
      <c r="D142" s="1">
        <f t="shared" si="59"/>
        <v>3.7791730628401696</v>
      </c>
      <c r="E142" s="1">
        <f t="shared" si="51"/>
        <v>1.9206797484385546E-3</v>
      </c>
      <c r="G142">
        <v>294.83</v>
      </c>
      <c r="H142" s="1">
        <f t="shared" si="52"/>
        <v>0.95137141013230053</v>
      </c>
      <c r="R142" s="1" t="e">
        <f t="shared" si="53"/>
        <v>#VALUE!</v>
      </c>
      <c r="S142" s="1">
        <f>'Solar Availability and Gener GR'!F142</f>
        <v>4.91142170390814E-2</v>
      </c>
      <c r="T142" s="1">
        <v>0.39891472868217059</v>
      </c>
      <c r="U142" s="1">
        <f t="shared" si="54"/>
        <v>-0.34980051164308917</v>
      </c>
      <c r="V142" s="1" t="str">
        <f t="shared" si="55"/>
        <v>Buy from Grid</v>
      </c>
      <c r="W142" s="1">
        <f t="shared" si="56"/>
        <v>6.4476593436933196E-4</v>
      </c>
      <c r="AA142" s="1" t="str">
        <f t="shared" si="61"/>
        <v>discharge</v>
      </c>
      <c r="AD142" s="1">
        <f t="shared" si="58"/>
        <v>0.11761202945736435</v>
      </c>
      <c r="AF142" s="1">
        <f t="shared" si="60"/>
        <v>40.289152222657869</v>
      </c>
    </row>
    <row r="143" spans="1:32" ht="15">
      <c r="A143" s="1">
        <v>142</v>
      </c>
      <c r="C143" s="1">
        <v>0</v>
      </c>
      <c r="D143" s="1">
        <f t="shared" si="59"/>
        <v>3.7791730628401696</v>
      </c>
      <c r="E143" s="1">
        <f t="shared" si="51"/>
        <v>2.1581774098147653E-3</v>
      </c>
      <c r="G143">
        <v>265.18</v>
      </c>
      <c r="H143" s="1">
        <f t="shared" si="52"/>
        <v>0.85569538560826064</v>
      </c>
      <c r="R143" s="1" t="e">
        <f t="shared" si="53"/>
        <v>#VALUE!</v>
      </c>
      <c r="S143" s="1">
        <f>'Solar Availability and Gener GR'!F143</f>
        <v>0</v>
      </c>
      <c r="T143" s="1">
        <v>0.39891472868217059</v>
      </c>
      <c r="U143" s="1">
        <f t="shared" si="54"/>
        <v>-0.39891472868217059</v>
      </c>
      <c r="V143" s="1" t="str">
        <f t="shared" si="55"/>
        <v>Buy from Grid</v>
      </c>
      <c r="W143" s="1">
        <f t="shared" si="56"/>
        <v>7.2449312557455682E-4</v>
      </c>
      <c r="AA143" s="1" t="str">
        <f t="shared" si="61"/>
        <v>discharge</v>
      </c>
      <c r="AD143" s="1">
        <f t="shared" si="58"/>
        <v>0.105784207751938</v>
      </c>
      <c r="AF143" s="1">
        <f t="shared" si="60"/>
        <v>39.890237493975697</v>
      </c>
    </row>
    <row r="144" spans="1:32" ht="15">
      <c r="A144" s="1">
        <v>143</v>
      </c>
      <c r="C144" s="1">
        <v>0</v>
      </c>
      <c r="D144" s="1">
        <f t="shared" si="59"/>
        <v>3.7791730628401696</v>
      </c>
      <c r="E144" s="1">
        <f t="shared" si="51"/>
        <v>1.9501256104028156E-3</v>
      </c>
      <c r="G144">
        <v>290.77999999999997</v>
      </c>
      <c r="H144" s="1">
        <f t="shared" si="52"/>
        <v>0.93830267828331704</v>
      </c>
      <c r="R144" s="1" t="e">
        <f t="shared" si="53"/>
        <v>#VALUE!</v>
      </c>
      <c r="S144" s="1">
        <f>'Solar Availability and Gener GR'!F144</f>
        <v>0</v>
      </c>
      <c r="T144" s="1">
        <v>0.39891472868217059</v>
      </c>
      <c r="U144" s="1">
        <f t="shared" si="54"/>
        <v>-0.39891472868217059</v>
      </c>
      <c r="V144" s="1" t="str">
        <f t="shared" si="55"/>
        <v>Buy from Grid</v>
      </c>
      <c r="W144" s="1">
        <f t="shared" si="56"/>
        <v>6.5465081430214319E-4</v>
      </c>
      <c r="AA144" s="1" t="str">
        <f t="shared" si="61"/>
        <v>discharge</v>
      </c>
      <c r="AD144" s="1">
        <f t="shared" si="58"/>
        <v>0.11599642480620156</v>
      </c>
      <c r="AF144" s="1">
        <f t="shared" si="60"/>
        <v>39.491322765293525</v>
      </c>
    </row>
    <row r="145" spans="1:32" ht="15">
      <c r="A145" s="1">
        <v>144</v>
      </c>
      <c r="C145" s="1">
        <v>0</v>
      </c>
      <c r="D145" s="1">
        <f t="shared" si="59"/>
        <v>3.7791730628401696</v>
      </c>
      <c r="E145" s="1">
        <f t="shared" si="51"/>
        <v>2.1740435770473492E-3</v>
      </c>
      <c r="G145">
        <v>263.42</v>
      </c>
      <c r="H145" s="1">
        <f t="shared" si="52"/>
        <v>0.85001613423685052</v>
      </c>
      <c r="R145" s="1" t="e">
        <f t="shared" si="53"/>
        <v>#VALUE!</v>
      </c>
      <c r="S145" s="1">
        <f>'Solar Availability and Gener GR'!F145</f>
        <v>0</v>
      </c>
      <c r="T145" s="1">
        <v>0.29596899224806206</v>
      </c>
      <c r="U145" s="1">
        <f t="shared" si="54"/>
        <v>-0.29596899224806206</v>
      </c>
      <c r="V145" s="1" t="str">
        <f t="shared" si="55"/>
        <v>Buy from Grid</v>
      </c>
      <c r="W145" s="1">
        <f t="shared" si="56"/>
        <v>5.6363965045832241E-4</v>
      </c>
      <c r="AA145" s="1" t="str">
        <f t="shared" si="61"/>
        <v>discharge</v>
      </c>
      <c r="AD145" s="1">
        <f t="shared" si="58"/>
        <v>7.7964151937984505E-2</v>
      </c>
      <c r="AF145" s="1">
        <f t="shared" si="60"/>
        <v>39.195353773045461</v>
      </c>
    </row>
    <row r="146" spans="1:32" ht="15">
      <c r="A146" s="1">
        <v>145</v>
      </c>
      <c r="C146" s="1">
        <v>0</v>
      </c>
      <c r="D146" s="1">
        <f t="shared" si="59"/>
        <v>3.7791730628401696</v>
      </c>
      <c r="E146" s="1">
        <f t="shared" si="51"/>
        <v>2.0938187684777548E-3</v>
      </c>
      <c r="G146">
        <v>272.58</v>
      </c>
      <c r="H146" s="1">
        <f t="shared" si="52"/>
        <v>0.87957405614714412</v>
      </c>
      <c r="R146" s="1" t="e">
        <f t="shared" si="53"/>
        <v>#VALUE!</v>
      </c>
      <c r="S146" s="1">
        <f>'Solar Availability and Gener GR'!F146</f>
        <v>0</v>
      </c>
      <c r="T146" s="1">
        <v>0.29596899224806206</v>
      </c>
      <c r="U146" s="1">
        <f t="shared" si="54"/>
        <v>-0.29596899224806206</v>
      </c>
      <c r="V146" s="1" t="str">
        <f t="shared" si="55"/>
        <v>Buy from Grid</v>
      </c>
      <c r="W146" s="1">
        <f t="shared" si="56"/>
        <v>5.4284067313438845E-4</v>
      </c>
      <c r="AA146" s="1" t="str">
        <f t="shared" si="61"/>
        <v>discharge</v>
      </c>
      <c r="AD146" s="1">
        <f t="shared" si="58"/>
        <v>8.0675227906976746E-2</v>
      </c>
      <c r="AF146" s="1">
        <f t="shared" si="60"/>
        <v>38.899384780797398</v>
      </c>
    </row>
    <row r="147" spans="1:32" ht="15">
      <c r="A147" s="1">
        <v>146</v>
      </c>
      <c r="C147" s="1">
        <v>0</v>
      </c>
      <c r="D147" s="1">
        <f t="shared" si="59"/>
        <v>3.7791730628401696</v>
      </c>
      <c r="E147" s="1">
        <f t="shared" si="51"/>
        <v>1.8111241075139399E-3</v>
      </c>
      <c r="G147">
        <v>311</v>
      </c>
      <c r="H147" s="1">
        <f t="shared" si="52"/>
        <v>1.0035495321071313</v>
      </c>
      <c r="R147" s="1" t="e">
        <f t="shared" si="53"/>
        <v>#VALUE!</v>
      </c>
      <c r="S147" s="1">
        <f>'Solar Availability and Gener GR'!F147</f>
        <v>0</v>
      </c>
      <c r="T147" s="1">
        <v>0.29596899224806206</v>
      </c>
      <c r="U147" s="1">
        <f t="shared" si="54"/>
        <v>-0.29596899224806206</v>
      </c>
      <c r="V147" s="1" t="str">
        <f t="shared" si="55"/>
        <v>Buy from Grid</v>
      </c>
      <c r="W147" s="1">
        <f t="shared" si="56"/>
        <v>4.6954963077704923E-4</v>
      </c>
      <c r="AA147" s="1" t="str">
        <f t="shared" si="61"/>
        <v>discharge</v>
      </c>
      <c r="AD147" s="1">
        <f t="shared" si="58"/>
        <v>9.2046356589147296E-2</v>
      </c>
      <c r="AF147" s="1">
        <f t="shared" si="60"/>
        <v>38.603415788549334</v>
      </c>
    </row>
    <row r="148" spans="1:32" ht="15">
      <c r="A148" s="1">
        <v>147</v>
      </c>
      <c r="C148" s="1">
        <v>0</v>
      </c>
      <c r="D148" s="1">
        <f t="shared" si="59"/>
        <v>3.7791730628401696</v>
      </c>
      <c r="E148" s="1">
        <f t="shared" si="51"/>
        <v>3.4303696338088478E-3</v>
      </c>
      <c r="G148">
        <v>174.01</v>
      </c>
      <c r="H148" s="1">
        <f t="shared" si="52"/>
        <v>0.56150371087447559</v>
      </c>
      <c r="R148" s="1" t="e">
        <f t="shared" si="53"/>
        <v>#VALUE!</v>
      </c>
      <c r="S148" s="1">
        <f>'Solar Availability and Gener GR'!F148</f>
        <v>0</v>
      </c>
      <c r="T148" s="1">
        <v>0.30883720930232561</v>
      </c>
      <c r="U148" s="1">
        <f t="shared" si="54"/>
        <v>-0.30883720930232561</v>
      </c>
      <c r="V148" s="1" t="str">
        <f t="shared" si="55"/>
        <v>Buy from Grid</v>
      </c>
      <c r="W148" s="1">
        <f t="shared" si="56"/>
        <v>9.2324665269226847E-4</v>
      </c>
      <c r="AA148" s="1" t="str">
        <f t="shared" si="61"/>
        <v>discharge</v>
      </c>
      <c r="AD148" s="1">
        <f t="shared" si="58"/>
        <v>5.3740762790697678E-2</v>
      </c>
      <c r="AF148" s="1">
        <f t="shared" si="60"/>
        <v>38.294578579247009</v>
      </c>
    </row>
    <row r="149" spans="1:32" ht="15">
      <c r="A149" s="1">
        <v>148</v>
      </c>
      <c r="C149" s="1">
        <v>0</v>
      </c>
      <c r="D149" s="1">
        <f t="shared" si="59"/>
        <v>3.7791730628401696</v>
      </c>
      <c r="E149" s="1">
        <f t="shared" si="51"/>
        <v>3.4513073051117013E-3</v>
      </c>
      <c r="G149">
        <v>173.05</v>
      </c>
      <c r="H149" s="1">
        <f t="shared" si="52"/>
        <v>0.558405937399161</v>
      </c>
      <c r="R149" s="1" t="e">
        <f t="shared" si="53"/>
        <v>#VALUE!</v>
      </c>
      <c r="S149" s="1">
        <f>'Solar Availability and Gener GR'!F149</f>
        <v>0</v>
      </c>
      <c r="T149" s="1">
        <v>0.29596899224806206</v>
      </c>
      <c r="U149" s="1">
        <f t="shared" si="54"/>
        <v>-0.29596899224806206</v>
      </c>
      <c r="V149" s="1" t="str">
        <f t="shared" si="55"/>
        <v>Buy from Grid</v>
      </c>
      <c r="W149" s="1">
        <f t="shared" si="56"/>
        <v>8.9478134827425621E-4</v>
      </c>
      <c r="AA149" s="1" t="str">
        <f t="shared" si="61"/>
        <v>discharge</v>
      </c>
      <c r="AD149" s="1">
        <f t="shared" si="58"/>
        <v>5.1217434108527145E-2</v>
      </c>
      <c r="AF149" s="1">
        <f t="shared" si="60"/>
        <v>37.998609586998946</v>
      </c>
    </row>
    <row r="150" spans="1:32" ht="15">
      <c r="A150" s="1">
        <v>149</v>
      </c>
      <c r="C150" s="1">
        <v>0</v>
      </c>
      <c r="D150" s="1">
        <f t="shared" si="59"/>
        <v>3.7791730628401696</v>
      </c>
      <c r="E150" s="1">
        <f t="shared" si="51"/>
        <v>3.4517461007629443E-3</v>
      </c>
      <c r="G150">
        <v>173.03</v>
      </c>
      <c r="H150" s="1">
        <f t="shared" si="52"/>
        <v>0.55834140045175862</v>
      </c>
      <c r="R150" s="1" t="e">
        <f t="shared" si="53"/>
        <v>#VALUE!</v>
      </c>
      <c r="S150" s="1">
        <f>'Solar Availability and Gener GR'!F150</f>
        <v>0</v>
      </c>
      <c r="T150" s="1">
        <v>0.39891472868217059</v>
      </c>
      <c r="U150" s="1">
        <f t="shared" si="54"/>
        <v>-0.39891472868217059</v>
      </c>
      <c r="V150" s="1" t="str">
        <f t="shared" si="55"/>
        <v>Buy from Grid</v>
      </c>
      <c r="W150" s="1">
        <f t="shared" si="56"/>
        <v>1.1587399209438364E-3</v>
      </c>
      <c r="AA150" s="1" t="str">
        <f t="shared" si="61"/>
        <v>discharge</v>
      </c>
      <c r="AD150" s="1">
        <f t="shared" si="58"/>
        <v>6.9024215503875982E-2</v>
      </c>
      <c r="AF150" s="1">
        <f t="shared" si="60"/>
        <v>37.599694858316774</v>
      </c>
    </row>
    <row r="151" spans="1:32" ht="15">
      <c r="A151" s="1">
        <v>150</v>
      </c>
      <c r="C151" s="1">
        <v>0</v>
      </c>
      <c r="D151" s="1">
        <f t="shared" si="59"/>
        <v>3.7791730628401696</v>
      </c>
      <c r="E151" s="1">
        <f t="shared" si="51"/>
        <v>2.1646413149372019E-3</v>
      </c>
      <c r="G151">
        <v>264.45999999999998</v>
      </c>
      <c r="H151" s="1">
        <f t="shared" si="52"/>
        <v>0.85337205550177464</v>
      </c>
      <c r="R151" s="1" t="e">
        <f t="shared" si="53"/>
        <v>#VALUE!</v>
      </c>
      <c r="S151" s="1">
        <f>'Solar Availability and Gener GR'!F151</f>
        <v>0</v>
      </c>
      <c r="T151" s="1">
        <v>0.66914728682170543</v>
      </c>
      <c r="U151" s="1">
        <f t="shared" si="54"/>
        <v>-0.66914728682170543</v>
      </c>
      <c r="V151" s="1" t="str">
        <f t="shared" si="55"/>
        <v>Buy from Grid</v>
      </c>
      <c r="W151" s="1">
        <f t="shared" si="56"/>
        <v>1.1089736464209158E-3</v>
      </c>
      <c r="AA151" s="1" t="str">
        <f t="shared" si="61"/>
        <v>discharge</v>
      </c>
      <c r="AD151" s="1">
        <f t="shared" si="58"/>
        <v>0.17696269147286822</v>
      </c>
      <c r="AF151" s="1">
        <f t="shared" si="60"/>
        <v>36.930547571495069</v>
      </c>
    </row>
    <row r="152" spans="1:32" ht="15">
      <c r="A152" s="1">
        <v>151</v>
      </c>
      <c r="C152" s="1">
        <v>0</v>
      </c>
      <c r="D152" s="1">
        <f t="shared" si="59"/>
        <v>3.7791730628401696</v>
      </c>
      <c r="E152" s="1">
        <f t="shared" si="51"/>
        <v>1.6467411702628188E-3</v>
      </c>
      <c r="G152">
        <v>339.1</v>
      </c>
      <c r="H152" s="1">
        <f t="shared" si="52"/>
        <v>1.0942239432074863</v>
      </c>
      <c r="R152" s="1" t="e">
        <f t="shared" si="53"/>
        <v>#VALUE!</v>
      </c>
      <c r="S152" s="1">
        <f>'Solar Availability and Gener GR'!F152</f>
        <v>5.3999999999999999E-2</v>
      </c>
      <c r="T152" s="1">
        <v>0.66914728682170543</v>
      </c>
      <c r="U152" s="1">
        <f t="shared" si="54"/>
        <v>-0.61514728682170539</v>
      </c>
      <c r="V152" s="1" t="str">
        <f t="shared" si="55"/>
        <v>Buy from Grid</v>
      </c>
      <c r="W152" s="1">
        <f t="shared" si="56"/>
        <v>8.436467269177959E-4</v>
      </c>
      <c r="AA152" s="1" t="str">
        <f t="shared" si="61"/>
        <v>discharge</v>
      </c>
      <c r="AD152" s="1">
        <f t="shared" si="58"/>
        <v>0.22690784496124033</v>
      </c>
      <c r="AF152" s="1">
        <f t="shared" si="60"/>
        <v>36.315400284673366</v>
      </c>
    </row>
    <row r="153" spans="1:32" ht="15">
      <c r="A153" s="1">
        <v>152</v>
      </c>
      <c r="C153" s="1">
        <v>0</v>
      </c>
      <c r="D153" s="1">
        <f t="shared" si="59"/>
        <v>3.7791730628401696</v>
      </c>
      <c r="E153" s="1">
        <f t="shared" si="51"/>
        <v>1.62044008200547E-3</v>
      </c>
      <c r="G153">
        <v>344.1</v>
      </c>
      <c r="H153" s="1">
        <f t="shared" si="52"/>
        <v>1.1103581800580833</v>
      </c>
      <c r="R153" s="1" t="e">
        <f t="shared" si="53"/>
        <v>#VALUE!</v>
      </c>
      <c r="S153" s="1">
        <f>'Solar Availability and Gener GR'!F153</f>
        <v>0.33119999999999994</v>
      </c>
      <c r="T153" s="1">
        <v>0.66914728682170543</v>
      </c>
      <c r="U153" s="1">
        <f t="shared" si="54"/>
        <v>-0.33794728682170549</v>
      </c>
      <c r="V153" s="1" t="str">
        <f t="shared" si="55"/>
        <v>Buy from Grid</v>
      </c>
      <c r="W153" s="1">
        <f t="shared" si="56"/>
        <v>8.3017234040012172E-4</v>
      </c>
      <c r="AA153" s="1" t="str">
        <f t="shared" si="61"/>
        <v>discharge</v>
      </c>
      <c r="AD153" s="1">
        <f t="shared" si="58"/>
        <v>0.23025358139534885</v>
      </c>
      <c r="AF153" s="1">
        <f t="shared" si="60"/>
        <v>35.977452997851664</v>
      </c>
    </row>
    <row r="154" spans="1:32" ht="15">
      <c r="A154" s="1">
        <v>153</v>
      </c>
      <c r="B154" s="1">
        <f>U154</f>
        <v>0.28710859545207545</v>
      </c>
      <c r="D154" s="1">
        <f t="shared" si="59"/>
        <v>4.0088599392018303</v>
      </c>
      <c r="E154" s="1">
        <f t="shared" si="51"/>
        <v>2.8646446238438711E-3</v>
      </c>
      <c r="G154">
        <v>204.99</v>
      </c>
      <c r="H154" s="1">
        <f t="shared" si="52"/>
        <v>0.66147144240077438</v>
      </c>
      <c r="R154" s="1" t="e">
        <f t="shared" si="53"/>
        <v>#VALUE!</v>
      </c>
      <c r="S154" s="1">
        <f>'Solar Availability and Gener GR'!F154</f>
        <v>0.68602332413424605</v>
      </c>
      <c r="T154" s="1">
        <v>0.39891472868217059</v>
      </c>
      <c r="U154" s="1">
        <f t="shared" si="54"/>
        <v>0.28710859545207545</v>
      </c>
      <c r="V154" s="1" t="str">
        <f t="shared" si="55"/>
        <v>sell the surplus or charge</v>
      </c>
      <c r="W154" s="1">
        <f t="shared" si="56"/>
        <v>9.616518677985458E-4</v>
      </c>
      <c r="X154" s="1">
        <f t="shared" ref="X154:X165" si="62">(1*(1/(G154+0.01))^1.1)*(LN(S154+1))</f>
        <v>1.4964121280491194E-3</v>
      </c>
      <c r="Y154" s="1">
        <f t="shared" ref="Y154:Y165" si="63">X154/W154</f>
        <v>1.5560850845896752</v>
      </c>
      <c r="Z154" s="1" t="str">
        <f t="shared" ref="Z154:Z165" si="64">IF(Y154&gt;=2,"sell to the Grid","charge")</f>
        <v>charge</v>
      </c>
      <c r="AD154" s="1">
        <f t="shared" si="58"/>
        <v>8.1773530232558164E-2</v>
      </c>
      <c r="AF154" s="1">
        <f t="shared" si="60"/>
        <v>36.264561593303739</v>
      </c>
    </row>
    <row r="155" spans="1:32" ht="15">
      <c r="A155" s="1">
        <v>154</v>
      </c>
      <c r="D155" s="1">
        <f t="shared" si="59"/>
        <v>4.0088599392018303</v>
      </c>
      <c r="E155" s="1">
        <f t="shared" si="51"/>
        <v>2.8478309726456554E-3</v>
      </c>
      <c r="G155">
        <v>206.09</v>
      </c>
      <c r="H155" s="1">
        <f t="shared" si="52"/>
        <v>0.66502097450790576</v>
      </c>
      <c r="R155" s="1" t="e">
        <f t="shared" si="53"/>
        <v>#VALUE!</v>
      </c>
      <c r="S155" s="1">
        <f>'Solar Availability and Gener GR'!F155</f>
        <v>1.2600640968574714</v>
      </c>
      <c r="T155" s="1">
        <v>0.39891472868217059</v>
      </c>
      <c r="U155" s="1">
        <f t="shared" si="54"/>
        <v>0.86114936817530086</v>
      </c>
      <c r="V155" s="1" t="str">
        <f t="shared" si="55"/>
        <v>sell the surplus or charge</v>
      </c>
      <c r="W155" s="1">
        <f t="shared" si="56"/>
        <v>9.5600757986673897E-4</v>
      </c>
      <c r="X155" s="1">
        <f t="shared" si="62"/>
        <v>2.3221019367219665E-3</v>
      </c>
      <c r="Y155" s="1">
        <f t="shared" si="63"/>
        <v>2.4289576627056157</v>
      </c>
      <c r="Z155" s="1" t="str">
        <f t="shared" si="64"/>
        <v>sell to the Grid</v>
      </c>
      <c r="AB155" s="1">
        <f t="shared" ref="AB155:AB163" si="65">(U155*G155)/1000</f>
        <v>0.17747427328724777</v>
      </c>
      <c r="AD155" s="1">
        <f t="shared" si="58"/>
        <v>8.2212336434108538E-2</v>
      </c>
      <c r="AF155" s="1">
        <f t="shared" si="60"/>
        <v>37.125710961479037</v>
      </c>
    </row>
    <row r="156" spans="1:32" ht="15">
      <c r="A156" s="1">
        <v>155</v>
      </c>
      <c r="D156" s="1">
        <f t="shared" si="59"/>
        <v>4.0088599392018303</v>
      </c>
      <c r="E156" s="1">
        <f t="shared" si="51"/>
        <v>3.1806032705039436E-3</v>
      </c>
      <c r="G156">
        <v>186.39</v>
      </c>
      <c r="H156" s="1">
        <f t="shared" si="52"/>
        <v>0.60145208131655359</v>
      </c>
      <c r="R156" s="1" t="e">
        <f t="shared" si="53"/>
        <v>#VALUE!</v>
      </c>
      <c r="S156" s="1">
        <f>'Solar Availability and Gener GR'!F156</f>
        <v>2.2266981216059798</v>
      </c>
      <c r="T156" s="1">
        <v>0.39891472868217059</v>
      </c>
      <c r="U156" s="1">
        <f t="shared" si="54"/>
        <v>1.8277833929238092</v>
      </c>
      <c r="V156" s="1" t="str">
        <f t="shared" si="55"/>
        <v>sell the surplus or charge</v>
      </c>
      <c r="W156" s="1">
        <f t="shared" si="56"/>
        <v>1.0677181561537326E-3</v>
      </c>
      <c r="X156" s="1">
        <f t="shared" si="62"/>
        <v>3.7259474748732634E-3</v>
      </c>
      <c r="Y156" s="1">
        <f t="shared" si="63"/>
        <v>3.4896357745711994</v>
      </c>
      <c r="Z156" s="1" t="str">
        <f t="shared" si="64"/>
        <v>sell to the Grid</v>
      </c>
      <c r="AB156" s="1">
        <f t="shared" si="65"/>
        <v>0.34068054660706876</v>
      </c>
      <c r="AD156" s="1">
        <f t="shared" si="58"/>
        <v>7.4353716279069768E-2</v>
      </c>
      <c r="AF156" s="1">
        <f t="shared" si="60"/>
        <v>38.953494354402849</v>
      </c>
    </row>
    <row r="157" spans="1:32" ht="15">
      <c r="A157" s="1">
        <v>156</v>
      </c>
      <c r="D157" s="1">
        <f t="shared" si="59"/>
        <v>4.0088599392018303</v>
      </c>
      <c r="E157" s="1">
        <f t="shared" si="51"/>
        <v>3.3347567478688401E-3</v>
      </c>
      <c r="G157">
        <v>178.54</v>
      </c>
      <c r="H157" s="1">
        <f t="shared" si="52"/>
        <v>0.57612132946111638</v>
      </c>
      <c r="R157" s="1" t="e">
        <f t="shared" si="53"/>
        <v>#VALUE!</v>
      </c>
      <c r="S157" s="1">
        <f>'Solar Availability and Gener GR'!F157</f>
        <v>2.9060179827294559</v>
      </c>
      <c r="T157" s="1">
        <v>0.39891472868217059</v>
      </c>
      <c r="U157" s="1">
        <f t="shared" si="54"/>
        <v>2.5071032540472853</v>
      </c>
      <c r="V157" s="1" t="str">
        <f t="shared" si="55"/>
        <v>sell the surplus or charge</v>
      </c>
      <c r="W157" s="1">
        <f t="shared" si="56"/>
        <v>1.1194669763046517E-3</v>
      </c>
      <c r="X157" s="1">
        <f t="shared" si="62"/>
        <v>4.5436675496047432E-3</v>
      </c>
      <c r="Y157" s="1">
        <f t="shared" si="63"/>
        <v>4.0587776555976136</v>
      </c>
      <c r="Z157" s="1" t="str">
        <f t="shared" si="64"/>
        <v>sell to the Grid</v>
      </c>
      <c r="AB157" s="1">
        <f t="shared" si="65"/>
        <v>0.44761821497760229</v>
      </c>
      <c r="AD157" s="1">
        <f t="shared" si="58"/>
        <v>7.1222235658914737E-2</v>
      </c>
      <c r="AF157" s="1">
        <f t="shared" si="60"/>
        <v>41.460597608450136</v>
      </c>
    </row>
    <row r="158" spans="1:32" ht="15">
      <c r="A158" s="1">
        <v>157</v>
      </c>
      <c r="D158" s="1">
        <f t="shared" si="59"/>
        <v>4.0088599392018303</v>
      </c>
      <c r="E158" s="1">
        <f t="shared" si="51"/>
        <v>3.636961546348128E-3</v>
      </c>
      <c r="G158">
        <v>165</v>
      </c>
      <c r="H158" s="1">
        <f t="shared" si="52"/>
        <v>0.53242981606969986</v>
      </c>
      <c r="R158" s="1" t="e">
        <f t="shared" si="53"/>
        <v>#VALUE!</v>
      </c>
      <c r="S158" s="1">
        <f>'Solar Availability and Gener GR'!F158</f>
        <v>3.173729190777173</v>
      </c>
      <c r="T158" s="1">
        <v>0.39891472868217059</v>
      </c>
      <c r="U158" s="1">
        <f t="shared" si="54"/>
        <v>2.7748144620950024</v>
      </c>
      <c r="V158" s="1" t="str">
        <f t="shared" si="55"/>
        <v>sell the surplus or charge</v>
      </c>
      <c r="W158" s="1">
        <f t="shared" si="56"/>
        <v>1.2209161426327711E-3</v>
      </c>
      <c r="X158" s="1">
        <f t="shared" si="62"/>
        <v>5.1965267598140068E-3</v>
      </c>
      <c r="Y158" s="1">
        <f t="shared" si="63"/>
        <v>4.2562519884521057</v>
      </c>
      <c r="Z158" s="1" t="str">
        <f t="shared" si="64"/>
        <v>sell to the Grid</v>
      </c>
      <c r="AB158" s="1">
        <f t="shared" si="65"/>
        <v>0.45784438624567536</v>
      </c>
      <c r="AD158" s="1">
        <f t="shared" si="58"/>
        <v>6.5820930232558153E-2</v>
      </c>
      <c r="AF158" s="1">
        <f t="shared" si="60"/>
        <v>44.235412070545138</v>
      </c>
    </row>
    <row r="159" spans="1:32" ht="15">
      <c r="A159" s="1">
        <v>158</v>
      </c>
      <c r="D159" s="1">
        <f t="shared" si="59"/>
        <v>4.0088599392018303</v>
      </c>
      <c r="E159" s="1">
        <f t="shared" si="51"/>
        <v>3.6628356872407241E-3</v>
      </c>
      <c r="G159">
        <v>163.94</v>
      </c>
      <c r="H159" s="1">
        <f t="shared" si="52"/>
        <v>0.52900935785737324</v>
      </c>
      <c r="R159" s="1" t="e">
        <f t="shared" si="53"/>
        <v>#VALUE!</v>
      </c>
      <c r="S159" s="1">
        <f>'Solar Availability and Gener GR'!F159</f>
        <v>3.2690465592450799</v>
      </c>
      <c r="T159" s="1">
        <v>0.39891472868217059</v>
      </c>
      <c r="U159" s="1">
        <f t="shared" si="54"/>
        <v>2.8701318305629093</v>
      </c>
      <c r="V159" s="1" t="str">
        <f t="shared" si="55"/>
        <v>sell the surplus or charge</v>
      </c>
      <c r="W159" s="1">
        <f t="shared" si="56"/>
        <v>1.2296020074377605E-3</v>
      </c>
      <c r="X159" s="1">
        <f t="shared" si="62"/>
        <v>5.3162049710765774E-3</v>
      </c>
      <c r="Y159" s="1">
        <f t="shared" si="63"/>
        <v>4.3235168281438181</v>
      </c>
      <c r="Z159" s="1" t="str">
        <f t="shared" si="64"/>
        <v>sell to the Grid</v>
      </c>
      <c r="AB159" s="1">
        <f t="shared" si="65"/>
        <v>0.47052941230248335</v>
      </c>
      <c r="AD159" s="1">
        <f t="shared" si="58"/>
        <v>6.5398080620155036E-2</v>
      </c>
      <c r="AF159" s="1">
        <f t="shared" si="60"/>
        <v>47.105543901108049</v>
      </c>
    </row>
    <row r="160" spans="1:32" ht="15">
      <c r="A160" s="1">
        <v>159</v>
      </c>
      <c r="D160" s="1">
        <f t="shared" si="59"/>
        <v>4.0088599392018303</v>
      </c>
      <c r="E160" s="1">
        <f t="shared" si="51"/>
        <v>3.3575028960636556E-3</v>
      </c>
      <c r="G160">
        <v>177.44</v>
      </c>
      <c r="H160" s="1">
        <f t="shared" si="52"/>
        <v>0.57257179735398511</v>
      </c>
      <c r="R160" s="1" t="e">
        <f t="shared" si="53"/>
        <v>#VALUE!</v>
      </c>
      <c r="S160" s="1">
        <f>'Solar Availability and Gener GR'!F160</f>
        <v>3.1728745660108606</v>
      </c>
      <c r="T160" s="1">
        <v>0.39891472868217059</v>
      </c>
      <c r="U160" s="1">
        <f t="shared" si="54"/>
        <v>2.77395983732869</v>
      </c>
      <c r="V160" s="1" t="str">
        <f t="shared" si="55"/>
        <v>sell the surplus or charge</v>
      </c>
      <c r="W160" s="1">
        <f t="shared" si="56"/>
        <v>1.1271027841513561E-3</v>
      </c>
      <c r="X160" s="1">
        <f t="shared" si="62"/>
        <v>4.7965459039101847E-3</v>
      </c>
      <c r="Y160" s="1">
        <f t="shared" si="63"/>
        <v>4.2556419621673713</v>
      </c>
      <c r="Z160" s="1" t="str">
        <f t="shared" si="64"/>
        <v>sell to the Grid</v>
      </c>
      <c r="AB160" s="1">
        <f t="shared" si="65"/>
        <v>0.49221143353560276</v>
      </c>
      <c r="AD160" s="1">
        <f t="shared" si="58"/>
        <v>7.078342945736435E-2</v>
      </c>
      <c r="AF160" s="1">
        <f t="shared" si="60"/>
        <v>49.879503738436739</v>
      </c>
    </row>
    <row r="161" spans="1:32" ht="15">
      <c r="A161" s="1">
        <v>160</v>
      </c>
      <c r="D161" s="1">
        <f t="shared" si="59"/>
        <v>4.0088599392018303</v>
      </c>
      <c r="E161" s="1">
        <f t="shared" si="51"/>
        <v>2.7044487595492962E-3</v>
      </c>
      <c r="G161">
        <v>216</v>
      </c>
      <c r="H161" s="1">
        <f t="shared" si="52"/>
        <v>0.69699903194578894</v>
      </c>
      <c r="R161" s="1" t="e">
        <f t="shared" si="53"/>
        <v>#VALUE!</v>
      </c>
      <c r="S161" s="1">
        <f>'Solar Availability and Gener GR'!F161</f>
        <v>2.9426733730971213</v>
      </c>
      <c r="T161" s="1">
        <v>0.66914728682170543</v>
      </c>
      <c r="U161" s="1">
        <f t="shared" si="54"/>
        <v>2.2735260862754156</v>
      </c>
      <c r="V161" s="1" t="str">
        <f t="shared" si="55"/>
        <v>sell the surplus or charge</v>
      </c>
      <c r="W161" s="1">
        <f t="shared" si="56"/>
        <v>1.3855239580525672E-3</v>
      </c>
      <c r="X161" s="1">
        <f t="shared" si="62"/>
        <v>3.7101224095248265E-3</v>
      </c>
      <c r="Y161" s="1">
        <f t="shared" si="63"/>
        <v>2.6777757165163818</v>
      </c>
      <c r="Z161" s="1" t="str">
        <f t="shared" si="64"/>
        <v>sell to the Grid</v>
      </c>
      <c r="AB161" s="1">
        <f t="shared" si="65"/>
        <v>0.49108163463548976</v>
      </c>
      <c r="AD161" s="1">
        <f t="shared" si="58"/>
        <v>0.14453581395348838</v>
      </c>
      <c r="AF161" s="1">
        <f t="shared" si="60"/>
        <v>52.153029824712156</v>
      </c>
    </row>
    <row r="162" spans="1:32" ht="15">
      <c r="A162" s="1">
        <v>161</v>
      </c>
      <c r="D162" s="1">
        <f t="shared" si="59"/>
        <v>4.0088599392018303</v>
      </c>
      <c r="E162" s="1">
        <f t="shared" si="51"/>
        <v>1.6970985173032336E-3</v>
      </c>
      <c r="G162">
        <v>329.94</v>
      </c>
      <c r="H162" s="1">
        <f t="shared" si="52"/>
        <v>1.0646660212971926</v>
      </c>
      <c r="R162" s="1" t="e">
        <f t="shared" si="53"/>
        <v>#VALUE!</v>
      </c>
      <c r="S162" s="1">
        <f>'Solar Availability and Gener GR'!F162</f>
        <v>2.5114083503961528</v>
      </c>
      <c r="T162" s="1">
        <v>0.66914728682170543</v>
      </c>
      <c r="U162" s="1">
        <f t="shared" si="54"/>
        <v>1.8422610635744474</v>
      </c>
      <c r="V162" s="1" t="str">
        <f t="shared" si="55"/>
        <v>sell the surplus or charge</v>
      </c>
      <c r="W162" s="1">
        <f t="shared" si="56"/>
        <v>8.6944544487911905E-4</v>
      </c>
      <c r="X162" s="1">
        <f t="shared" si="62"/>
        <v>2.1315849217718803E-3</v>
      </c>
      <c r="Y162" s="1">
        <f t="shared" si="63"/>
        <v>2.4516603477843737</v>
      </c>
      <c r="Z162" s="1" t="str">
        <f t="shared" si="64"/>
        <v>sell to the Grid</v>
      </c>
      <c r="AB162" s="1">
        <f t="shared" si="65"/>
        <v>0.60783561531575325</v>
      </c>
      <c r="AD162" s="1">
        <f t="shared" si="58"/>
        <v>0.22077845581395347</v>
      </c>
      <c r="AF162" s="1">
        <f t="shared" si="60"/>
        <v>53.995290888286604</v>
      </c>
    </row>
    <row r="163" spans="1:32" ht="15">
      <c r="A163" s="1">
        <v>162</v>
      </c>
      <c r="D163" s="1">
        <f t="shared" si="59"/>
        <v>4.0088599392018303</v>
      </c>
      <c r="E163" s="1">
        <f t="shared" si="51"/>
        <v>1.62044008200547E-3</v>
      </c>
      <c r="G163">
        <v>344.1</v>
      </c>
      <c r="H163" s="1">
        <f t="shared" si="52"/>
        <v>1.1103581800580833</v>
      </c>
      <c r="R163" s="1" t="e">
        <f t="shared" si="53"/>
        <v>#VALUE!</v>
      </c>
      <c r="S163" s="1">
        <f>'Solar Availability and Gener GR'!F163</f>
        <v>1.8790794979079473</v>
      </c>
      <c r="T163" s="1">
        <v>0.66914728682170543</v>
      </c>
      <c r="U163" s="1">
        <f t="shared" si="54"/>
        <v>1.2099322110862418</v>
      </c>
      <c r="V163" s="1" t="str">
        <f t="shared" si="55"/>
        <v>sell the surplus or charge</v>
      </c>
      <c r="W163" s="1">
        <f t="shared" si="56"/>
        <v>8.3017234040012172E-4</v>
      </c>
      <c r="X163" s="1">
        <f t="shared" si="62"/>
        <v>1.7135677851216724E-3</v>
      </c>
      <c r="Y163" s="1">
        <f t="shared" si="63"/>
        <v>2.0641109101464123</v>
      </c>
      <c r="Z163" s="1" t="str">
        <f t="shared" si="64"/>
        <v>sell to the Grid</v>
      </c>
      <c r="AB163" s="1">
        <f t="shared" si="65"/>
        <v>0.41633767383477582</v>
      </c>
      <c r="AD163" s="1">
        <f t="shared" si="58"/>
        <v>0.23025358139534885</v>
      </c>
      <c r="AF163" s="1">
        <f t="shared" si="60"/>
        <v>55.205223099372844</v>
      </c>
    </row>
    <row r="164" spans="1:32" ht="15">
      <c r="A164" s="1">
        <v>163</v>
      </c>
      <c r="B164" s="1">
        <f t="shared" ref="B164:B165" si="66">U164</f>
        <v>0.5713226394820875</v>
      </c>
      <c r="D164" s="1">
        <f t="shared" si="59"/>
        <v>4.4659180507875007</v>
      </c>
      <c r="E164" s="1">
        <f t="shared" si="51"/>
        <v>1.9558958686775011E-3</v>
      </c>
      <c r="G164">
        <v>290</v>
      </c>
      <c r="H164" s="1">
        <f t="shared" si="52"/>
        <v>0.935785737334624</v>
      </c>
      <c r="R164" s="1" t="e">
        <f t="shared" si="53"/>
        <v>#VALUE!</v>
      </c>
      <c r="S164" s="1">
        <f>'Solar Availability and Gener GR'!F164</f>
        <v>1.2276017092495295</v>
      </c>
      <c r="T164" s="1">
        <v>0.65627906976744199</v>
      </c>
      <c r="U164" s="1">
        <f t="shared" si="54"/>
        <v>0.5713226394820875</v>
      </c>
      <c r="V164" s="1" t="str">
        <f t="shared" si="55"/>
        <v>sell the surplus or charge</v>
      </c>
      <c r="W164" s="1">
        <f t="shared" si="56"/>
        <v>9.8689334566494651E-4</v>
      </c>
      <c r="X164" s="1">
        <f t="shared" si="62"/>
        <v>1.5665269548795814E-3</v>
      </c>
      <c r="Y164" s="1">
        <f t="shared" si="63"/>
        <v>1.5873315609642609</v>
      </c>
      <c r="Z164" s="1" t="str">
        <f t="shared" si="64"/>
        <v>charge</v>
      </c>
      <c r="AD164" s="1">
        <f t="shared" si="58"/>
        <v>0.19032093023255817</v>
      </c>
      <c r="AF164" s="1">
        <f t="shared" si="60"/>
        <v>55.776545738854935</v>
      </c>
    </row>
    <row r="165" spans="1:32" ht="15">
      <c r="A165" s="1">
        <v>164</v>
      </c>
      <c r="B165" s="1">
        <f t="shared" si="66"/>
        <v>9.101227211904056E-2</v>
      </c>
      <c r="D165" s="1">
        <f t="shared" si="59"/>
        <v>4.5387278684827335</v>
      </c>
      <c r="E165" s="1">
        <f t="shared" si="51"/>
        <v>1.8968176275625883E-3</v>
      </c>
      <c r="G165">
        <v>298.2</v>
      </c>
      <c r="H165" s="1">
        <f t="shared" si="52"/>
        <v>0.9622458857696029</v>
      </c>
      <c r="R165" s="1" t="e">
        <f t="shared" si="53"/>
        <v>#VALUE!</v>
      </c>
      <c r="S165" s="1">
        <f>'Solar Availability and Gener GR'!F165</f>
        <v>0.48992700080121115</v>
      </c>
      <c r="T165" s="1">
        <v>0.39891472868217059</v>
      </c>
      <c r="U165" s="1">
        <f t="shared" si="54"/>
        <v>9.101227211904056E-2</v>
      </c>
      <c r="V165" s="1" t="str">
        <f t="shared" si="55"/>
        <v>sell the surplus or charge</v>
      </c>
      <c r="W165" s="1">
        <f t="shared" si="56"/>
        <v>6.3675549812917574E-4</v>
      </c>
      <c r="X165" s="1">
        <f t="shared" si="62"/>
        <v>7.5631264119615463E-4</v>
      </c>
      <c r="Y165" s="1">
        <f t="shared" si="63"/>
        <v>1.1877598912270795</v>
      </c>
      <c r="Z165" s="1" t="str">
        <f t="shared" si="64"/>
        <v>charge</v>
      </c>
      <c r="AD165" s="1">
        <f t="shared" si="58"/>
        <v>0.11895637209302326</v>
      </c>
      <c r="AF165" s="1">
        <f t="shared" si="60"/>
        <v>55.867558010973973</v>
      </c>
    </row>
    <row r="166" spans="1:32" ht="15">
      <c r="A166" s="1">
        <v>165</v>
      </c>
      <c r="C166" s="1">
        <v>0</v>
      </c>
      <c r="D166" s="1">
        <f t="shared" si="59"/>
        <v>4.5387278684827335</v>
      </c>
      <c r="E166" s="1">
        <f t="shared" si="51"/>
        <v>2.1778627789447837E-3</v>
      </c>
      <c r="G166">
        <v>263</v>
      </c>
      <c r="H166" s="1">
        <f t="shared" si="52"/>
        <v>0.84866085834140037</v>
      </c>
      <c r="R166" s="1" t="e">
        <f t="shared" si="53"/>
        <v>#VALUE!</v>
      </c>
      <c r="S166" s="1">
        <f>'Solar Availability and Gener GR'!F166</f>
        <v>6.8263153209294117E-2</v>
      </c>
      <c r="T166" s="1">
        <v>0.39891472868217059</v>
      </c>
      <c r="U166" s="1">
        <f t="shared" si="54"/>
        <v>-0.33065157547287649</v>
      </c>
      <c r="V166" s="1" t="str">
        <f t="shared" si="55"/>
        <v>Buy from Grid</v>
      </c>
      <c r="W166" s="1">
        <f t="shared" si="56"/>
        <v>7.3110143986060059E-4</v>
      </c>
      <c r="AA166" s="1" t="str">
        <f t="shared" ref="AA166:AA177" si="67">IF(D166+AF166&gt;0,"discharge","buy from the Grid")</f>
        <v>discharge</v>
      </c>
      <c r="AD166" s="1">
        <f t="shared" si="58"/>
        <v>0.10491457364341086</v>
      </c>
      <c r="AF166" s="1">
        <f t="shared" si="60"/>
        <v>55.536906435501095</v>
      </c>
    </row>
    <row r="167" spans="1:32" ht="15">
      <c r="A167" s="1">
        <v>166</v>
      </c>
      <c r="C167" s="1">
        <v>0</v>
      </c>
      <c r="D167" s="1">
        <f t="shared" si="59"/>
        <v>4.5387278684827335</v>
      </c>
      <c r="E167" s="1">
        <f t="shared" si="51"/>
        <v>2.789562059210703E-3</v>
      </c>
      <c r="G167">
        <v>210</v>
      </c>
      <c r="H167" s="1">
        <f t="shared" si="52"/>
        <v>0.67763794772507258</v>
      </c>
      <c r="R167" s="1" t="e">
        <f t="shared" si="53"/>
        <v>#VALUE!</v>
      </c>
      <c r="S167" s="1">
        <f>'Solar Availability and Gener GR'!F167</f>
        <v>0</v>
      </c>
      <c r="T167" s="1">
        <v>0.39891472868217059</v>
      </c>
      <c r="U167" s="1">
        <f t="shared" si="54"/>
        <v>-0.39891472868217059</v>
      </c>
      <c r="V167" s="1" t="str">
        <f t="shared" si="55"/>
        <v>Buy from Grid</v>
      </c>
      <c r="W167" s="1">
        <f t="shared" si="56"/>
        <v>9.3644689545481876E-4</v>
      </c>
      <c r="AA167" s="1" t="str">
        <f t="shared" si="67"/>
        <v>discharge</v>
      </c>
      <c r="AD167" s="1">
        <f t="shared" si="58"/>
        <v>8.377209302325582E-2</v>
      </c>
      <c r="AF167" s="1">
        <f t="shared" si="60"/>
        <v>55.137991706818923</v>
      </c>
    </row>
    <row r="168" spans="1:32" ht="15">
      <c r="A168" s="1">
        <v>167</v>
      </c>
      <c r="C168" s="1">
        <v>0</v>
      </c>
      <c r="D168" s="1">
        <f t="shared" si="59"/>
        <v>4.5387278684827335</v>
      </c>
      <c r="E168" s="1">
        <f t="shared" si="51"/>
        <v>3.2340002969529825E-3</v>
      </c>
      <c r="G168">
        <v>183.59</v>
      </c>
      <c r="H168" s="1">
        <f t="shared" si="52"/>
        <v>0.59241690868021935</v>
      </c>
      <c r="R168" s="1" t="e">
        <f t="shared" si="53"/>
        <v>#VALUE!</v>
      </c>
      <c r="S168" s="1">
        <f>'Solar Availability and Gener GR'!F168</f>
        <v>0</v>
      </c>
      <c r="T168" s="1">
        <v>0.29596899224806206</v>
      </c>
      <c r="U168" s="1">
        <f t="shared" si="54"/>
        <v>-0.29596899224806206</v>
      </c>
      <c r="V168" s="1" t="str">
        <f t="shared" si="55"/>
        <v>Buy from Grid</v>
      </c>
      <c r="W168" s="1">
        <f t="shared" si="56"/>
        <v>8.3844262194243506E-4</v>
      </c>
      <c r="AA168" s="1" t="str">
        <f t="shared" si="67"/>
        <v>discharge</v>
      </c>
      <c r="AD168" s="1">
        <f t="shared" si="58"/>
        <v>5.4336947286821709E-2</v>
      </c>
      <c r="AF168" s="1">
        <f t="shared" si="60"/>
        <v>54.842022714570859</v>
      </c>
    </row>
    <row r="169" spans="1:32" ht="15">
      <c r="A169" s="1">
        <v>168</v>
      </c>
      <c r="C169" s="1">
        <v>0</v>
      </c>
      <c r="D169" s="1">
        <f t="shared" si="59"/>
        <v>4.5387278684827335</v>
      </c>
      <c r="E169" s="1">
        <f t="shared" si="51"/>
        <v>2.789562059210703E-3</v>
      </c>
      <c r="G169">
        <v>210</v>
      </c>
      <c r="H169" s="1">
        <f t="shared" si="52"/>
        <v>0.67763794772507258</v>
      </c>
      <c r="R169" s="1" t="e">
        <f t="shared" si="53"/>
        <v>#VALUE!</v>
      </c>
      <c r="S169" s="1">
        <f>'Solar Availability and Gener GR'!F169</f>
        <v>0</v>
      </c>
      <c r="T169" s="1">
        <v>0.29596899224806206</v>
      </c>
      <c r="U169" s="1">
        <f t="shared" si="54"/>
        <v>-0.29596899224806206</v>
      </c>
      <c r="V169" s="1" t="str">
        <f t="shared" si="55"/>
        <v>Buy from Grid</v>
      </c>
      <c r="W169" s="1">
        <f t="shared" si="56"/>
        <v>7.2321815467964504E-4</v>
      </c>
      <c r="AA169" s="1" t="str">
        <f t="shared" si="67"/>
        <v>discharge</v>
      </c>
      <c r="AD169" s="1">
        <f t="shared" si="58"/>
        <v>6.215348837209303E-2</v>
      </c>
      <c r="AF169" s="1">
        <f t="shared" si="60"/>
        <v>54.546053722322796</v>
      </c>
    </row>
    <row r="170" spans="1:32" ht="15">
      <c r="A170" s="1">
        <v>169</v>
      </c>
      <c r="C170" s="1">
        <v>0</v>
      </c>
      <c r="D170" s="1">
        <f t="shared" si="59"/>
        <v>4.5387278684827335</v>
      </c>
      <c r="E170" s="1">
        <f t="shared" si="51"/>
        <v>3.636719112365639E-3</v>
      </c>
      <c r="G170">
        <v>165.01</v>
      </c>
      <c r="H170" s="1">
        <f t="shared" si="52"/>
        <v>0.53246208454340105</v>
      </c>
      <c r="R170" s="1" t="e">
        <f t="shared" si="53"/>
        <v>#VALUE!</v>
      </c>
      <c r="S170" s="1">
        <f>'Solar Availability and Gener GR'!F170</f>
        <v>0</v>
      </c>
      <c r="T170" s="1">
        <v>0.29596899224806206</v>
      </c>
      <c r="U170" s="1">
        <f t="shared" si="54"/>
        <v>-0.29596899224806206</v>
      </c>
      <c r="V170" s="1" t="str">
        <f t="shared" si="55"/>
        <v>Buy from Grid</v>
      </c>
      <c r="W170" s="1">
        <f t="shared" si="56"/>
        <v>9.428509671792223E-4</v>
      </c>
      <c r="AA170" s="1" t="str">
        <f t="shared" si="67"/>
        <v>discharge</v>
      </c>
      <c r="AD170" s="1">
        <f t="shared" si="58"/>
        <v>4.8837843410852719E-2</v>
      </c>
      <c r="AF170" s="1">
        <f t="shared" si="60"/>
        <v>54.250084730074732</v>
      </c>
    </row>
    <row r="171" spans="1:32" ht="15">
      <c r="A171" s="1">
        <v>170</v>
      </c>
      <c r="C171" s="1">
        <v>0</v>
      </c>
      <c r="D171" s="1">
        <f t="shared" si="59"/>
        <v>4.5387278684827335</v>
      </c>
      <c r="E171" s="1">
        <f t="shared" si="51"/>
        <v>3.8757862049221695E-3</v>
      </c>
      <c r="G171">
        <v>155.72999999999999</v>
      </c>
      <c r="H171" s="1">
        <f t="shared" si="52"/>
        <v>0.50251694094869304</v>
      </c>
      <c r="R171" s="1" t="e">
        <f t="shared" si="53"/>
        <v>#VALUE!</v>
      </c>
      <c r="S171" s="1">
        <f>'Solar Availability and Gener GR'!F171</f>
        <v>0</v>
      </c>
      <c r="T171" s="1">
        <v>0.29596899224806206</v>
      </c>
      <c r="U171" s="1">
        <f t="shared" si="54"/>
        <v>-0.29596899224806206</v>
      </c>
      <c r="V171" s="1" t="str">
        <f t="shared" si="55"/>
        <v>Buy from Grid</v>
      </c>
      <c r="W171" s="1">
        <f t="shared" si="56"/>
        <v>1.0048311840926553E-3</v>
      </c>
      <c r="AA171" s="1" t="str">
        <f t="shared" si="67"/>
        <v>discharge</v>
      </c>
      <c r="AD171" s="1">
        <f t="shared" si="58"/>
        <v>4.6091251162790697E-2</v>
      </c>
      <c r="AF171" s="1">
        <f t="shared" si="60"/>
        <v>53.954115737826669</v>
      </c>
    </row>
    <row r="172" spans="1:32" ht="15">
      <c r="A172" s="1">
        <v>171</v>
      </c>
      <c r="C172" s="1">
        <v>0</v>
      </c>
      <c r="D172" s="1">
        <f t="shared" si="59"/>
        <v>4.5387278684827335</v>
      </c>
      <c r="E172" s="1">
        <f t="shared" si="51"/>
        <v>4.0389434059526618E-3</v>
      </c>
      <c r="G172">
        <v>150</v>
      </c>
      <c r="H172" s="1">
        <f t="shared" si="52"/>
        <v>0.48402710551790895</v>
      </c>
      <c r="R172" s="1" t="e">
        <f t="shared" si="53"/>
        <v>#VALUE!</v>
      </c>
      <c r="S172" s="1">
        <f>'Solar Availability and Gener GR'!F172</f>
        <v>0</v>
      </c>
      <c r="T172" s="1">
        <v>0.39891472868217059</v>
      </c>
      <c r="U172" s="1">
        <f t="shared" si="54"/>
        <v>-0.39891472868217059</v>
      </c>
      <c r="V172" s="1" t="str">
        <f t="shared" si="55"/>
        <v>Buy from Grid</v>
      </c>
      <c r="W172" s="1">
        <f t="shared" si="56"/>
        <v>1.3558601433273931E-3</v>
      </c>
      <c r="AA172" s="1" t="str">
        <f t="shared" si="67"/>
        <v>discharge</v>
      </c>
      <c r="AD172" s="1">
        <f t="shared" si="58"/>
        <v>5.983720930232559E-2</v>
      </c>
      <c r="AF172" s="1">
        <f t="shared" si="60"/>
        <v>53.555201009144497</v>
      </c>
    </row>
    <row r="173" spans="1:32" ht="15">
      <c r="A173" s="1">
        <v>172</v>
      </c>
      <c r="C173" s="1">
        <v>0</v>
      </c>
      <c r="D173" s="1">
        <f t="shared" si="59"/>
        <v>4.5387278684827335</v>
      </c>
      <c r="E173" s="1">
        <f t="shared" si="51"/>
        <v>3.3149415596393813E-3</v>
      </c>
      <c r="G173">
        <v>179.51</v>
      </c>
      <c r="H173" s="1">
        <f t="shared" si="52"/>
        <v>0.57925137141013217</v>
      </c>
      <c r="R173" s="1" t="e">
        <f t="shared" si="53"/>
        <v>#VALUE!</v>
      </c>
      <c r="S173" s="1">
        <f>'Solar Availability and Gener GR'!F173</f>
        <v>0</v>
      </c>
      <c r="T173" s="1">
        <v>0.66914728682170543</v>
      </c>
      <c r="U173" s="1">
        <f t="shared" si="54"/>
        <v>-0.66914728682170543</v>
      </c>
      <c r="V173" s="1" t="str">
        <f t="shared" si="55"/>
        <v>Buy from Grid</v>
      </c>
      <c r="W173" s="1">
        <f t="shared" si="56"/>
        <v>1.6982872883825428E-3</v>
      </c>
      <c r="AA173" s="1" t="str">
        <f t="shared" si="67"/>
        <v>discharge</v>
      </c>
      <c r="AD173" s="1">
        <f t="shared" si="58"/>
        <v>0.12011862945736433</v>
      </c>
      <c r="AF173" s="1">
        <f t="shared" si="60"/>
        <v>52.886053722322792</v>
      </c>
    </row>
    <row r="174" spans="1:32" ht="15">
      <c r="A174" s="1">
        <v>173</v>
      </c>
      <c r="C174" s="1">
        <v>0</v>
      </c>
      <c r="D174" s="1">
        <f t="shared" si="59"/>
        <v>4.5387278684827335</v>
      </c>
      <c r="E174" s="1">
        <f t="shared" si="51"/>
        <v>2.7005978358793791E-3</v>
      </c>
      <c r="G174">
        <v>216.28</v>
      </c>
      <c r="H174" s="1">
        <f t="shared" si="52"/>
        <v>0.6979025492094223</v>
      </c>
      <c r="R174" s="1" t="e">
        <f t="shared" si="53"/>
        <v>#VALUE!</v>
      </c>
      <c r="S174" s="1">
        <f>'Solar Availability and Gener GR'!F174</f>
        <v>0</v>
      </c>
      <c r="T174" s="1">
        <v>0.66914728682170543</v>
      </c>
      <c r="U174" s="1">
        <f t="shared" si="54"/>
        <v>-0.66914728682170543</v>
      </c>
      <c r="V174" s="1" t="str">
        <f t="shared" si="55"/>
        <v>Buy from Grid</v>
      </c>
      <c r="W174" s="1">
        <f t="shared" si="56"/>
        <v>1.3835510802206385E-3</v>
      </c>
      <c r="AA174" s="1" t="str">
        <f t="shared" si="67"/>
        <v>discharge</v>
      </c>
      <c r="AD174" s="1">
        <f t="shared" si="58"/>
        <v>0.14472317519379846</v>
      </c>
      <c r="AF174" s="1">
        <f t="shared" si="60"/>
        <v>52.216906435501087</v>
      </c>
    </row>
    <row r="175" spans="1:32" ht="15">
      <c r="A175" s="1">
        <v>174</v>
      </c>
      <c r="C175" s="1">
        <v>0</v>
      </c>
      <c r="D175" s="1">
        <f t="shared" si="59"/>
        <v>4.5387278684827335</v>
      </c>
      <c r="E175" s="1">
        <f t="shared" si="51"/>
        <v>2.7003231704560717E-3</v>
      </c>
      <c r="G175">
        <v>216.3</v>
      </c>
      <c r="H175" s="1">
        <f t="shared" si="52"/>
        <v>0.69796708615682479</v>
      </c>
      <c r="R175" s="1" t="e">
        <f t="shared" si="53"/>
        <v>#VALUE!</v>
      </c>
      <c r="S175" s="1">
        <f>'Solar Availability and Gener GR'!F175</f>
        <v>0</v>
      </c>
      <c r="T175" s="1">
        <v>0.65627906976744199</v>
      </c>
      <c r="U175" s="1">
        <f t="shared" si="54"/>
        <v>-0.65627906976744199</v>
      </c>
      <c r="V175" s="1" t="str">
        <f t="shared" si="55"/>
        <v>Buy from Grid</v>
      </c>
      <c r="W175" s="1">
        <f t="shared" si="56"/>
        <v>1.362511681089591E-3</v>
      </c>
      <c r="AA175" s="1" t="str">
        <f t="shared" si="67"/>
        <v>discharge</v>
      </c>
      <c r="AD175" s="1">
        <f t="shared" si="58"/>
        <v>0.14195316279069772</v>
      </c>
      <c r="AF175" s="1">
        <f t="shared" si="60"/>
        <v>51.560627365733644</v>
      </c>
    </row>
    <row r="176" spans="1:32" ht="15">
      <c r="A176" s="1">
        <v>175</v>
      </c>
      <c r="C176" s="1">
        <v>0</v>
      </c>
      <c r="D176" s="1">
        <f t="shared" si="59"/>
        <v>4.5387278684827335</v>
      </c>
      <c r="E176" s="1">
        <f t="shared" si="51"/>
        <v>2.109305089434486E-3</v>
      </c>
      <c r="G176">
        <v>270.76</v>
      </c>
      <c r="H176" s="1">
        <f t="shared" si="52"/>
        <v>0.87370119393352685</v>
      </c>
      <c r="R176" s="1" t="e">
        <f t="shared" si="53"/>
        <v>#VALUE!</v>
      </c>
      <c r="S176" s="1">
        <f>'Solar Availability and Gener GR'!F176</f>
        <v>1.6611768895219918E-2</v>
      </c>
      <c r="T176" s="1">
        <v>0.39891472868217059</v>
      </c>
      <c r="U176" s="1">
        <f t="shared" si="54"/>
        <v>-0.38230295978695067</v>
      </c>
      <c r="V176" s="1" t="str">
        <f t="shared" si="55"/>
        <v>Buy from Grid</v>
      </c>
      <c r="W176" s="1">
        <f t="shared" si="56"/>
        <v>7.0808684683891347E-4</v>
      </c>
      <c r="AA176" s="1" t="str">
        <f t="shared" si="67"/>
        <v>discharge</v>
      </c>
      <c r="AD176" s="1">
        <f t="shared" si="58"/>
        <v>0.10801015193798451</v>
      </c>
      <c r="AF176" s="1">
        <f t="shared" si="60"/>
        <v>51.178324405946697</v>
      </c>
    </row>
    <row r="177" spans="1:32" ht="15">
      <c r="A177" s="1">
        <v>176</v>
      </c>
      <c r="C177" s="1">
        <v>0</v>
      </c>
      <c r="D177" s="1">
        <f t="shared" si="59"/>
        <v>4.5387278684827335</v>
      </c>
      <c r="E177" s="1">
        <f t="shared" si="51"/>
        <v>2.1717763075031669E-3</v>
      </c>
      <c r="G177">
        <v>263.67</v>
      </c>
      <c r="H177" s="1">
        <f t="shared" si="52"/>
        <v>0.85082284607938041</v>
      </c>
      <c r="R177" s="1" t="e">
        <f t="shared" si="53"/>
        <v>#VALUE!</v>
      </c>
      <c r="S177" s="1">
        <f>'Solar Availability and Gener GR'!F177</f>
        <v>0.18857829609187202</v>
      </c>
      <c r="T177" s="1">
        <v>0.39891472868217059</v>
      </c>
      <c r="U177" s="1">
        <f t="shared" si="54"/>
        <v>-0.21033643259029858</v>
      </c>
      <c r="V177" s="1" t="str">
        <f t="shared" si="55"/>
        <v>Buy from Grid</v>
      </c>
      <c r="W177" s="1">
        <f t="shared" si="56"/>
        <v>7.2905823122612796E-4</v>
      </c>
      <c r="AA177" s="1" t="str">
        <f t="shared" si="67"/>
        <v>discharge</v>
      </c>
      <c r="AD177" s="1">
        <f t="shared" si="58"/>
        <v>0.10518184651162793</v>
      </c>
      <c r="AF177" s="1">
        <f t="shared" si="60"/>
        <v>50.967987973356401</v>
      </c>
    </row>
    <row r="178" spans="1:32" ht="15">
      <c r="A178" s="1">
        <v>177</v>
      </c>
      <c r="B178" s="1">
        <f t="shared" ref="B178:B179" si="68">U178</f>
        <v>7.6483651091707794E-2</v>
      </c>
      <c r="D178" s="1">
        <f t="shared" si="59"/>
        <v>4.5999147893560997</v>
      </c>
      <c r="E178" s="1">
        <f t="shared" si="51"/>
        <v>3.5081258126037291E-3</v>
      </c>
      <c r="G178">
        <v>170.5</v>
      </c>
      <c r="H178" s="1">
        <f t="shared" si="52"/>
        <v>0.55017747660535654</v>
      </c>
      <c r="R178" s="1" t="e">
        <f t="shared" si="53"/>
        <v>#VALUE!</v>
      </c>
      <c r="S178" s="1">
        <f>'Solar Availability and Gener GR'!F178</f>
        <v>0.47539837977387839</v>
      </c>
      <c r="T178" s="1">
        <v>0.39891472868217059</v>
      </c>
      <c r="U178" s="1">
        <f t="shared" si="54"/>
        <v>7.6483651091707794E-2</v>
      </c>
      <c r="V178" s="1" t="str">
        <f t="shared" si="55"/>
        <v>sell the surplus or charge</v>
      </c>
      <c r="W178" s="1">
        <f t="shared" si="56"/>
        <v>1.1776664065352264E-3</v>
      </c>
      <c r="X178" s="1">
        <f t="shared" ref="X178:X189" si="69">(1*(1/(G178+0.01))^1.1)*(LN(S178+1))</f>
        <v>1.3644085009540769E-3</v>
      </c>
      <c r="Y178" s="1">
        <f t="shared" ref="Y178:Y189" si="70">X178/W178</f>
        <v>1.1585696028880184</v>
      </c>
      <c r="Z178" s="1" t="str">
        <f t="shared" ref="Z178:Z189" si="71">IF(Y178&gt;=2,"sell to the Grid","charge")</f>
        <v>charge</v>
      </c>
      <c r="AD178" s="1">
        <f t="shared" si="58"/>
        <v>6.801496124031009E-2</v>
      </c>
      <c r="AF178" s="1">
        <f t="shared" si="60"/>
        <v>51.044471624448107</v>
      </c>
    </row>
    <row r="179" spans="1:32" ht="15">
      <c r="A179" s="1">
        <v>178</v>
      </c>
      <c r="B179" s="1">
        <f t="shared" si="68"/>
        <v>0.46862288370988747</v>
      </c>
      <c r="D179" s="1">
        <f t="shared" si="59"/>
        <v>4.9748130963240094</v>
      </c>
      <c r="E179" s="1">
        <f t="shared" si="51"/>
        <v>3.5162913412113057E-3</v>
      </c>
      <c r="G179">
        <v>170.14</v>
      </c>
      <c r="H179" s="1">
        <f t="shared" si="52"/>
        <v>0.54901581155211343</v>
      </c>
      <c r="R179" s="1" t="e">
        <f t="shared" si="53"/>
        <v>#VALUE!</v>
      </c>
      <c r="S179" s="1">
        <f>'Solar Availability and Gener GR'!F179</f>
        <v>0.86753761239205807</v>
      </c>
      <c r="T179" s="1">
        <v>0.39891472868217059</v>
      </c>
      <c r="U179" s="1">
        <f t="shared" si="54"/>
        <v>0.46862288370988747</v>
      </c>
      <c r="V179" s="1" t="str">
        <f t="shared" si="55"/>
        <v>sell the surplus or charge</v>
      </c>
      <c r="W179" s="1">
        <f t="shared" si="56"/>
        <v>1.1804075478871691E-3</v>
      </c>
      <c r="X179" s="1">
        <f t="shared" si="69"/>
        <v>2.1963486343700217E-3</v>
      </c>
      <c r="Y179" s="1">
        <f t="shared" si="70"/>
        <v>1.8606697646938146</v>
      </c>
      <c r="Z179" s="1" t="str">
        <f t="shared" si="71"/>
        <v>charge</v>
      </c>
      <c r="AD179" s="1">
        <f t="shared" si="58"/>
        <v>6.7871351937984506E-2</v>
      </c>
      <c r="AF179" s="1">
        <f t="shared" si="60"/>
        <v>51.513094508157998</v>
      </c>
    </row>
    <row r="180" spans="1:32" ht="15">
      <c r="A180" s="1">
        <v>179</v>
      </c>
      <c r="D180" s="1">
        <f t="shared" si="59"/>
        <v>4.9748130963240094</v>
      </c>
      <c r="E180" s="1">
        <f t="shared" si="51"/>
        <v>3.636961546348128E-3</v>
      </c>
      <c r="G180">
        <v>165</v>
      </c>
      <c r="H180" s="1">
        <f t="shared" si="52"/>
        <v>0.53242981606969986</v>
      </c>
      <c r="R180" s="1" t="e">
        <f t="shared" si="53"/>
        <v>#VALUE!</v>
      </c>
      <c r="S180" s="1">
        <f>'Solar Availability and Gener GR'!F180</f>
        <v>1.8437193982017253</v>
      </c>
      <c r="T180" s="1">
        <v>0.39891472868217059</v>
      </c>
      <c r="U180" s="1">
        <f t="shared" si="54"/>
        <v>1.4448046695195547</v>
      </c>
      <c r="V180" s="1" t="str">
        <f t="shared" si="55"/>
        <v>sell the surplus or charge</v>
      </c>
      <c r="W180" s="1">
        <f t="shared" si="56"/>
        <v>1.2209161426327711E-3</v>
      </c>
      <c r="X180" s="1">
        <f t="shared" si="69"/>
        <v>3.8010352200846015E-3</v>
      </c>
      <c r="Y180" s="1">
        <f t="shared" si="70"/>
        <v>3.1132647749976408</v>
      </c>
      <c r="Z180" s="1" t="str">
        <f t="shared" si="71"/>
        <v>sell to the Grid</v>
      </c>
      <c r="AB180" s="1">
        <f t="shared" ref="AB180:AB186" si="72">(U180*G180)/1000</f>
        <v>0.23839277047072654</v>
      </c>
      <c r="AD180" s="1">
        <f t="shared" si="58"/>
        <v>6.5820930232558153E-2</v>
      </c>
      <c r="AF180" s="1">
        <f t="shared" si="60"/>
        <v>52.957899177677554</v>
      </c>
    </row>
    <row r="181" spans="1:32" ht="15">
      <c r="A181" s="1">
        <v>180</v>
      </c>
      <c r="D181" s="1">
        <f t="shared" si="59"/>
        <v>4.9748130963240094</v>
      </c>
      <c r="E181" s="1">
        <f t="shared" si="51"/>
        <v>4.0389434059526618E-3</v>
      </c>
      <c r="G181">
        <v>150</v>
      </c>
      <c r="H181" s="1">
        <f t="shared" si="52"/>
        <v>0.48402710551790895</v>
      </c>
      <c r="R181" s="1" t="e">
        <f t="shared" si="53"/>
        <v>#VALUE!</v>
      </c>
      <c r="S181" s="1">
        <f>'Solar Availability and Gener GR'!F181</f>
        <v>2.7145820350752228</v>
      </c>
      <c r="T181" s="1">
        <v>0.39891472868217059</v>
      </c>
      <c r="U181" s="1">
        <f t="shared" si="54"/>
        <v>2.3156673063930522</v>
      </c>
      <c r="V181" s="1" t="str">
        <f t="shared" si="55"/>
        <v>sell the surplus or charge</v>
      </c>
      <c r="W181" s="1">
        <f t="shared" si="56"/>
        <v>1.3558601433273931E-3</v>
      </c>
      <c r="X181" s="1">
        <f t="shared" si="69"/>
        <v>5.3001687717929066E-3</v>
      </c>
      <c r="Y181" s="1">
        <f t="shared" si="70"/>
        <v>3.9090822146197568</v>
      </c>
      <c r="Z181" s="1" t="str">
        <f t="shared" si="71"/>
        <v>sell to the Grid</v>
      </c>
      <c r="AB181" s="1">
        <f t="shared" si="72"/>
        <v>0.34735009595895783</v>
      </c>
      <c r="AD181" s="1">
        <f t="shared" si="58"/>
        <v>5.983720930232559E-2</v>
      </c>
      <c r="AF181" s="1">
        <f t="shared" si="60"/>
        <v>55.273566484070606</v>
      </c>
    </row>
    <row r="182" spans="1:32" ht="15">
      <c r="A182" s="1">
        <v>181</v>
      </c>
      <c r="D182" s="1">
        <f t="shared" si="59"/>
        <v>4.9748130963240094</v>
      </c>
      <c r="E182" s="1">
        <f t="shared" si="51"/>
        <v>3.7621678020883231E-3</v>
      </c>
      <c r="G182">
        <v>160</v>
      </c>
      <c r="H182" s="1">
        <f t="shared" si="52"/>
        <v>0.51629557921910285</v>
      </c>
      <c r="R182" s="1" t="e">
        <f t="shared" si="53"/>
        <v>#VALUE!</v>
      </c>
      <c r="S182" s="1">
        <f>'Solar Availability and Gener GR'!F182</f>
        <v>3.0205377014154697</v>
      </c>
      <c r="T182" s="1">
        <v>0.39891472868217059</v>
      </c>
      <c r="U182" s="1">
        <f t="shared" si="54"/>
        <v>2.6216229727332991</v>
      </c>
      <c r="V182" s="1" t="str">
        <f t="shared" si="55"/>
        <v>sell the surplus or charge</v>
      </c>
      <c r="W182" s="1">
        <f t="shared" si="56"/>
        <v>1.262947474788401E-3</v>
      </c>
      <c r="X182" s="1">
        <f t="shared" si="69"/>
        <v>5.2347391587199126E-3</v>
      </c>
      <c r="Y182" s="1">
        <f t="shared" si="70"/>
        <v>4.1448589614520275</v>
      </c>
      <c r="Z182" s="1" t="str">
        <f t="shared" si="71"/>
        <v>sell to the Grid</v>
      </c>
      <c r="AB182" s="1">
        <f t="shared" si="72"/>
        <v>0.41945967563732783</v>
      </c>
      <c r="AD182" s="1">
        <f t="shared" si="58"/>
        <v>6.3826356589147301E-2</v>
      </c>
      <c r="AF182" s="1">
        <f t="shared" si="60"/>
        <v>57.895189456803905</v>
      </c>
    </row>
    <row r="183" spans="1:32" ht="15">
      <c r="A183" s="1">
        <v>182</v>
      </c>
      <c r="D183" s="1">
        <f t="shared" si="59"/>
        <v>4.9748130963240094</v>
      </c>
      <c r="E183" s="1">
        <f t="shared" si="51"/>
        <v>3.969037394084547E-3</v>
      </c>
      <c r="G183">
        <v>152.4</v>
      </c>
      <c r="H183" s="1">
        <f t="shared" si="52"/>
        <v>0.49177153920619548</v>
      </c>
      <c r="R183" s="1" t="e">
        <f t="shared" si="53"/>
        <v>#VALUE!</v>
      </c>
      <c r="S183" s="1">
        <f>'Solar Availability and Gener GR'!F183</f>
        <v>3.1158417163714054</v>
      </c>
      <c r="T183" s="1">
        <v>0.39891472868217059</v>
      </c>
      <c r="U183" s="1">
        <f t="shared" si="54"/>
        <v>2.7169269876892348</v>
      </c>
      <c r="V183" s="1" t="str">
        <f t="shared" si="55"/>
        <v>sell the surplus or charge</v>
      </c>
      <c r="W183" s="1">
        <f t="shared" si="56"/>
        <v>1.3323929228827452E-3</v>
      </c>
      <c r="X183" s="1">
        <f t="shared" si="69"/>
        <v>5.6155662087256763E-3</v>
      </c>
      <c r="Y183" s="1">
        <f t="shared" si="70"/>
        <v>4.214647280305214</v>
      </c>
      <c r="Z183" s="1" t="str">
        <f t="shared" si="71"/>
        <v>sell to the Grid</v>
      </c>
      <c r="AB183" s="1">
        <f t="shared" si="72"/>
        <v>0.41405967292383938</v>
      </c>
      <c r="AD183" s="1">
        <f t="shared" si="58"/>
        <v>6.0794604651162799E-2</v>
      </c>
      <c r="AF183" s="1">
        <f t="shared" si="60"/>
        <v>60.61211644449314</v>
      </c>
    </row>
    <row r="184" spans="1:32" ht="15">
      <c r="A184" s="1">
        <v>183</v>
      </c>
      <c r="D184" s="1">
        <f t="shared" si="59"/>
        <v>4.9748130963240094</v>
      </c>
      <c r="E184" s="1">
        <f t="shared" si="51"/>
        <v>3.636961546348128E-3</v>
      </c>
      <c r="G184">
        <v>165</v>
      </c>
      <c r="H184" s="1">
        <f t="shared" si="52"/>
        <v>0.53242981606969986</v>
      </c>
      <c r="R184" s="1" t="e">
        <f t="shared" si="53"/>
        <v>#VALUE!</v>
      </c>
      <c r="S184" s="1">
        <f>'Solar Availability and Gener GR'!F184</f>
        <v>3.0101086085640518</v>
      </c>
      <c r="T184" s="1">
        <v>0.39891472868217059</v>
      </c>
      <c r="U184" s="1">
        <f t="shared" si="54"/>
        <v>2.6111938798818812</v>
      </c>
      <c r="V184" s="1" t="str">
        <f t="shared" si="55"/>
        <v>sell the surplus or charge</v>
      </c>
      <c r="W184" s="1">
        <f t="shared" si="56"/>
        <v>1.2209161426327711E-3</v>
      </c>
      <c r="X184" s="1">
        <f t="shared" si="69"/>
        <v>5.051078844276624E-3</v>
      </c>
      <c r="Y184" s="1">
        <f t="shared" si="70"/>
        <v>4.1371218447358142</v>
      </c>
      <c r="Z184" s="1" t="str">
        <f t="shared" si="71"/>
        <v>sell to the Grid</v>
      </c>
      <c r="AB184" s="1">
        <f t="shared" si="72"/>
        <v>0.43084699018051037</v>
      </c>
      <c r="AD184" s="1">
        <f t="shared" si="58"/>
        <v>6.5820930232558153E-2</v>
      </c>
      <c r="AF184" s="1">
        <f t="shared" si="60"/>
        <v>63.223310324375021</v>
      </c>
    </row>
    <row r="185" spans="1:32" ht="15">
      <c r="A185" s="1">
        <v>184</v>
      </c>
      <c r="D185" s="1">
        <f t="shared" si="59"/>
        <v>4.9748130963240094</v>
      </c>
      <c r="E185" s="1">
        <f t="shared" si="51"/>
        <v>2.7044487595492962E-3</v>
      </c>
      <c r="G185">
        <v>216</v>
      </c>
      <c r="H185" s="1">
        <f t="shared" si="52"/>
        <v>0.69699903194578894</v>
      </c>
      <c r="R185" s="1" t="e">
        <f t="shared" si="53"/>
        <v>#VALUE!</v>
      </c>
      <c r="S185" s="1">
        <f>'Solar Availability and Gener GR'!F185</f>
        <v>2.732048428736757</v>
      </c>
      <c r="T185" s="1">
        <v>0.65627906976744199</v>
      </c>
      <c r="U185" s="1">
        <f t="shared" si="54"/>
        <v>2.0757693589693149</v>
      </c>
      <c r="V185" s="1" t="str">
        <f t="shared" si="55"/>
        <v>sell the surplus or charge</v>
      </c>
      <c r="W185" s="1">
        <f t="shared" si="56"/>
        <v>1.3645933442743515E-3</v>
      </c>
      <c r="X185" s="1">
        <f t="shared" si="69"/>
        <v>3.5616434268841615E-3</v>
      </c>
      <c r="Y185" s="1">
        <f t="shared" si="70"/>
        <v>2.6100401572588154</v>
      </c>
      <c r="Z185" s="1" t="str">
        <f t="shared" si="71"/>
        <v>sell to the Grid</v>
      </c>
      <c r="AB185" s="1">
        <f t="shared" si="72"/>
        <v>0.44836618153737201</v>
      </c>
      <c r="AD185" s="1">
        <f t="shared" si="58"/>
        <v>0.14175627906976745</v>
      </c>
      <c r="AF185" s="1">
        <f t="shared" si="60"/>
        <v>65.299079683344331</v>
      </c>
    </row>
    <row r="186" spans="1:32" ht="15">
      <c r="A186" s="1">
        <v>185</v>
      </c>
      <c r="D186" s="1">
        <f t="shared" si="59"/>
        <v>4.9748130963240094</v>
      </c>
      <c r="E186" s="1">
        <f t="shared" si="51"/>
        <v>2.3591551220838768E-3</v>
      </c>
      <c r="G186">
        <v>244.56</v>
      </c>
      <c r="H186" s="1">
        <f t="shared" si="52"/>
        <v>0.78915779283639875</v>
      </c>
      <c r="R186" s="1" t="e">
        <f t="shared" si="53"/>
        <v>#VALUE!</v>
      </c>
      <c r="S186" s="1">
        <f>'Solar Availability and Gener GR'!F186</f>
        <v>2.2528977120982803</v>
      </c>
      <c r="T186" s="1">
        <v>0.66914728682170543</v>
      </c>
      <c r="U186" s="1">
        <f t="shared" si="54"/>
        <v>1.5837504252765748</v>
      </c>
      <c r="V186" s="1" t="str">
        <f t="shared" si="55"/>
        <v>sell the surplus or charge</v>
      </c>
      <c r="W186" s="1">
        <f t="shared" si="56"/>
        <v>1.2086255769750182E-3</v>
      </c>
      <c r="X186" s="1">
        <f t="shared" si="69"/>
        <v>2.7827324661213989E-3</v>
      </c>
      <c r="Y186" s="1">
        <f t="shared" si="70"/>
        <v>2.3023941567462929</v>
      </c>
      <c r="Z186" s="1" t="str">
        <f t="shared" si="71"/>
        <v>sell to the Grid</v>
      </c>
      <c r="AB186" s="1">
        <f t="shared" si="72"/>
        <v>0.38732200400563915</v>
      </c>
      <c r="AD186" s="1">
        <f t="shared" si="58"/>
        <v>0.16364666046511628</v>
      </c>
      <c r="AF186" s="1">
        <f t="shared" si="60"/>
        <v>66.882830108620908</v>
      </c>
    </row>
    <row r="187" spans="1:32" ht="15">
      <c r="A187" s="1">
        <v>186</v>
      </c>
      <c r="B187" s="1">
        <f t="shared" ref="B187:B189" si="73">U187</f>
        <v>1.0026010156950314</v>
      </c>
      <c r="D187" s="1">
        <f t="shared" si="59"/>
        <v>5.7768939088800346</v>
      </c>
      <c r="E187" s="1">
        <f t="shared" si="51"/>
        <v>1.7072268611885533E-3</v>
      </c>
      <c r="G187">
        <v>328.16</v>
      </c>
      <c r="H187" s="1">
        <f t="shared" si="52"/>
        <v>1.0589222329783801</v>
      </c>
      <c r="R187" s="1" t="e">
        <f t="shared" si="53"/>
        <v>#VALUE!</v>
      </c>
      <c r="S187" s="1">
        <f>'Solar Availability and Gener GR'!F187</f>
        <v>1.6588800854624735</v>
      </c>
      <c r="T187" s="1">
        <v>0.65627906976744199</v>
      </c>
      <c r="U187" s="1">
        <f t="shared" si="54"/>
        <v>1.0026010156950314</v>
      </c>
      <c r="V187" s="1" t="str">
        <f t="shared" si="55"/>
        <v>sell the surplus or charge</v>
      </c>
      <c r="W187" s="1">
        <f t="shared" si="56"/>
        <v>8.6142153875843372E-4</v>
      </c>
      <c r="X187" s="1">
        <f t="shared" si="69"/>
        <v>1.6695057069716385E-3</v>
      </c>
      <c r="Y187" s="1">
        <f t="shared" si="70"/>
        <v>1.938082148930123</v>
      </c>
      <c r="Z187" s="1" t="str">
        <f t="shared" si="71"/>
        <v>charge</v>
      </c>
      <c r="AD187" s="1">
        <f t="shared" si="58"/>
        <v>0.2153645395348838</v>
      </c>
      <c r="AF187" s="1">
        <f t="shared" si="60"/>
        <v>67.885431124315943</v>
      </c>
    </row>
    <row r="188" spans="1:32" ht="15">
      <c r="A188" s="1">
        <v>187</v>
      </c>
      <c r="B188" s="1">
        <f t="shared" si="73"/>
        <v>0.98973279864076802</v>
      </c>
      <c r="D188" s="1">
        <f t="shared" si="59"/>
        <v>6.5686801477926489</v>
      </c>
      <c r="E188" s="1">
        <f t="shared" si="51"/>
        <v>1.929532387450624E-3</v>
      </c>
      <c r="G188">
        <v>293.60000000000002</v>
      </c>
      <c r="H188" s="1">
        <f t="shared" si="52"/>
        <v>0.94740238786705389</v>
      </c>
      <c r="R188" s="1" t="e">
        <f t="shared" si="53"/>
        <v>#VALUE!</v>
      </c>
      <c r="S188" s="1">
        <f>'Solar Availability and Gener GR'!F188</f>
        <v>1.6588800854624735</v>
      </c>
      <c r="T188" s="1">
        <v>0.66914728682170543</v>
      </c>
      <c r="U188" s="1">
        <f t="shared" si="54"/>
        <v>0.98973279864076802</v>
      </c>
      <c r="V188" s="1" t="str">
        <f t="shared" si="55"/>
        <v>sell the surplus or charge</v>
      </c>
      <c r="W188" s="1">
        <f t="shared" si="56"/>
        <v>9.8852431247273471E-4</v>
      </c>
      <c r="X188" s="1">
        <f t="shared" si="69"/>
        <v>1.8868993956624763E-3</v>
      </c>
      <c r="Y188" s="1">
        <f t="shared" si="70"/>
        <v>1.9088042366327944</v>
      </c>
      <c r="Z188" s="1" t="str">
        <f t="shared" si="71"/>
        <v>charge</v>
      </c>
      <c r="AD188" s="1">
        <f t="shared" si="58"/>
        <v>0.19646164341085273</v>
      </c>
      <c r="AF188" s="1">
        <f t="shared" si="60"/>
        <v>68.875163922956716</v>
      </c>
    </row>
    <row r="189" spans="1:32" ht="15">
      <c r="A189" s="1">
        <v>188</v>
      </c>
      <c r="B189" s="1">
        <f t="shared" si="73"/>
        <v>0.49356724407666297</v>
      </c>
      <c r="D189" s="1">
        <f t="shared" si="59"/>
        <v>6.9635339430539789</v>
      </c>
      <c r="E189" s="1">
        <f t="shared" si="51"/>
        <v>1.634805564061783E-3</v>
      </c>
      <c r="G189">
        <v>341.35</v>
      </c>
      <c r="H189" s="1">
        <f t="shared" si="52"/>
        <v>1.1014843497902549</v>
      </c>
      <c r="R189" s="1" t="e">
        <f t="shared" si="53"/>
        <v>#VALUE!</v>
      </c>
      <c r="S189" s="1">
        <f>'Solar Availability and Gener GR'!F189</f>
        <v>0.89248197275883356</v>
      </c>
      <c r="T189" s="1">
        <v>0.39891472868217059</v>
      </c>
      <c r="U189" s="1">
        <f t="shared" si="54"/>
        <v>0.49356724407666297</v>
      </c>
      <c r="V189" s="1" t="str">
        <f t="shared" si="55"/>
        <v>sell the surplus or charge</v>
      </c>
      <c r="W189" s="1">
        <f t="shared" si="56"/>
        <v>5.4879890199362896E-4</v>
      </c>
      <c r="X189" s="1">
        <f t="shared" si="69"/>
        <v>1.0428247817998865E-3</v>
      </c>
      <c r="Y189" s="1">
        <f t="shared" si="70"/>
        <v>1.9001947307321556</v>
      </c>
      <c r="Z189" s="1" t="str">
        <f t="shared" si="71"/>
        <v>charge</v>
      </c>
      <c r="AD189" s="1">
        <f t="shared" si="58"/>
        <v>0.13616954263565892</v>
      </c>
      <c r="AF189" s="1">
        <f t="shared" si="60"/>
        <v>69.368731167033374</v>
      </c>
    </row>
    <row r="190" spans="1:32" ht="15">
      <c r="A190" s="1">
        <v>189</v>
      </c>
      <c r="C190" s="1">
        <v>0</v>
      </c>
      <c r="D190" s="1">
        <f t="shared" si="59"/>
        <v>6.9635339430539789</v>
      </c>
      <c r="E190" s="1">
        <f t="shared" si="51"/>
        <v>1.8171646336245439E-3</v>
      </c>
      <c r="G190">
        <v>310.06</v>
      </c>
      <c r="H190" s="1">
        <f t="shared" si="52"/>
        <v>1.0005162955792191</v>
      </c>
      <c r="R190" s="1" t="e">
        <f t="shared" si="53"/>
        <v>#VALUE!</v>
      </c>
      <c r="S190" s="1">
        <f>'Solar Availability and Gener GR'!F190</f>
        <v>0.26016647378260532</v>
      </c>
      <c r="T190" s="1">
        <v>0.39891472868217059</v>
      </c>
      <c r="U190" s="1">
        <f t="shared" si="54"/>
        <v>-0.13874825489956527</v>
      </c>
      <c r="V190" s="1" t="str">
        <f t="shared" si="55"/>
        <v>Buy from Grid</v>
      </c>
      <c r="W190" s="1">
        <f t="shared" si="56"/>
        <v>6.1001624755732491E-4</v>
      </c>
      <c r="AA190" s="1" t="str">
        <f t="shared" ref="AA190:AA202" si="74">IF(D190+AF190&gt;0,"discharge","buy from the Grid")</f>
        <v>discharge</v>
      </c>
      <c r="AD190" s="1">
        <f t="shared" si="58"/>
        <v>0.12368750077519382</v>
      </c>
      <c r="AF190" s="1">
        <f t="shared" si="60"/>
        <v>69.229982912133806</v>
      </c>
    </row>
    <row r="191" spans="1:32" ht="15">
      <c r="A191" s="1">
        <v>190</v>
      </c>
      <c r="C191" s="1">
        <v>0</v>
      </c>
      <c r="D191" s="1">
        <f t="shared" si="59"/>
        <v>6.9635339430539789</v>
      </c>
      <c r="E191" s="1">
        <f t="shared" si="51"/>
        <v>2.1149751588410066E-3</v>
      </c>
      <c r="G191">
        <v>270.10000000000002</v>
      </c>
      <c r="H191" s="1">
        <f t="shared" si="52"/>
        <v>0.87157147466924811</v>
      </c>
      <c r="R191" s="1" t="e">
        <f t="shared" si="53"/>
        <v>#VALUE!</v>
      </c>
      <c r="S191" s="1">
        <f>'Solar Availability and Gener GR'!F191</f>
        <v>1.0856405234577132E-2</v>
      </c>
      <c r="T191" s="1">
        <v>0.39891472868217059</v>
      </c>
      <c r="U191" s="1">
        <f t="shared" si="54"/>
        <v>-0.38805832344759345</v>
      </c>
      <c r="V191" s="1" t="str">
        <f t="shared" si="55"/>
        <v>Buy from Grid</v>
      </c>
      <c r="W191" s="1">
        <f t="shared" si="56"/>
        <v>7.0999027066675688E-4</v>
      </c>
      <c r="AA191" s="1" t="str">
        <f t="shared" si="74"/>
        <v>discharge</v>
      </c>
      <c r="AD191" s="1">
        <f t="shared" si="58"/>
        <v>0.10774686821705429</v>
      </c>
      <c r="AF191" s="1">
        <f t="shared" si="60"/>
        <v>68.841924588686211</v>
      </c>
    </row>
    <row r="192" spans="1:32" ht="15">
      <c r="A192" s="1">
        <v>191</v>
      </c>
      <c r="C192" s="1">
        <v>0</v>
      </c>
      <c r="D192" s="1">
        <f t="shared" si="59"/>
        <v>6.9635339430539789</v>
      </c>
      <c r="E192" s="1">
        <f t="shared" si="51"/>
        <v>2.1614945291505952E-3</v>
      </c>
      <c r="G192">
        <v>264.81</v>
      </c>
      <c r="H192" s="1">
        <f t="shared" si="52"/>
        <v>0.85450145208131645</v>
      </c>
      <c r="R192" s="1" t="e">
        <f t="shared" si="53"/>
        <v>#VALUE!</v>
      </c>
      <c r="S192" s="1">
        <f>'Solar Availability and Gener GR'!F192</f>
        <v>0</v>
      </c>
      <c r="T192" s="1">
        <v>0.29596899224806206</v>
      </c>
      <c r="U192" s="1">
        <f t="shared" si="54"/>
        <v>-0.29596899224806206</v>
      </c>
      <c r="V192" s="1" t="str">
        <f t="shared" si="55"/>
        <v>Buy from Grid</v>
      </c>
      <c r="W192" s="1">
        <f t="shared" si="56"/>
        <v>5.6038620096688328E-4</v>
      </c>
      <c r="AA192" s="1" t="str">
        <f t="shared" si="74"/>
        <v>discharge</v>
      </c>
      <c r="AD192" s="1">
        <f t="shared" si="58"/>
        <v>7.8375548837209305E-2</v>
      </c>
      <c r="AF192" s="1">
        <f t="shared" si="60"/>
        <v>68.545955596438148</v>
      </c>
    </row>
    <row r="193" spans="1:32" ht="15">
      <c r="A193" s="1">
        <v>192</v>
      </c>
      <c r="C193" s="1">
        <v>0</v>
      </c>
      <c r="D193" s="1">
        <f t="shared" si="59"/>
        <v>6.9635339430539789</v>
      </c>
      <c r="E193" s="1">
        <f t="shared" si="51"/>
        <v>2.7682401807082382E-3</v>
      </c>
      <c r="G193">
        <v>211.47</v>
      </c>
      <c r="H193" s="1">
        <f t="shared" si="52"/>
        <v>0.68238141335914804</v>
      </c>
      <c r="R193" s="1" t="e">
        <f t="shared" si="53"/>
        <v>#VALUE!</v>
      </c>
      <c r="S193" s="1">
        <f>'Solar Availability and Gener GR'!F193</f>
        <v>0</v>
      </c>
      <c r="T193" s="1">
        <v>0.30883720930232561</v>
      </c>
      <c r="U193" s="1">
        <f t="shared" si="54"/>
        <v>-0.30883720930232561</v>
      </c>
      <c r="V193" s="1" t="str">
        <f t="shared" si="55"/>
        <v>Buy from Grid</v>
      </c>
      <c r="W193" s="1">
        <f t="shared" si="56"/>
        <v>7.4504171664129698E-4</v>
      </c>
      <c r="AA193" s="1" t="str">
        <f t="shared" si="74"/>
        <v>discharge</v>
      </c>
      <c r="AD193" s="1">
        <f t="shared" si="58"/>
        <v>6.5309804651162789E-2</v>
      </c>
      <c r="AF193" s="1">
        <f t="shared" si="60"/>
        <v>68.237118387135823</v>
      </c>
    </row>
    <row r="194" spans="1:32" ht="15">
      <c r="A194" s="1">
        <v>193</v>
      </c>
      <c r="C194" s="1">
        <v>0</v>
      </c>
      <c r="D194" s="1">
        <f t="shared" si="59"/>
        <v>6.9635339430539789</v>
      </c>
      <c r="E194" s="1">
        <f t="shared" si="51"/>
        <v>3.6449792123678174E-3</v>
      </c>
      <c r="G194">
        <v>164.67</v>
      </c>
      <c r="H194" s="1">
        <f t="shared" si="52"/>
        <v>0.53136495643756043</v>
      </c>
      <c r="R194" s="1" t="e">
        <f t="shared" si="53"/>
        <v>#VALUE!</v>
      </c>
      <c r="S194" s="1">
        <f>'Solar Availability and Gener GR'!F194</f>
        <v>0</v>
      </c>
      <c r="T194" s="1">
        <v>0.29596899224806206</v>
      </c>
      <c r="U194" s="1">
        <f t="shared" si="54"/>
        <v>-0.29596899224806206</v>
      </c>
      <c r="V194" s="1" t="str">
        <f t="shared" si="55"/>
        <v>Buy from Grid</v>
      </c>
      <c r="W194" s="1">
        <f t="shared" si="56"/>
        <v>9.4499246973562536E-4</v>
      </c>
      <c r="AA194" s="1" t="str">
        <f t="shared" si="74"/>
        <v>discharge</v>
      </c>
      <c r="AD194" s="1">
        <f t="shared" si="58"/>
        <v>4.873721395348838E-2</v>
      </c>
      <c r="AF194" s="1">
        <f t="shared" si="60"/>
        <v>67.941149394887759</v>
      </c>
    </row>
    <row r="195" spans="1:32" ht="15">
      <c r="A195" s="1">
        <v>194</v>
      </c>
      <c r="C195" s="1">
        <v>0</v>
      </c>
      <c r="D195" s="1">
        <f t="shared" si="59"/>
        <v>6.9635339430539789</v>
      </c>
      <c r="E195" s="1">
        <f t="shared" ref="E195:E258" si="75">1*(1/(G195+0.01))^1.1</f>
        <v>4.0389434059526618E-3</v>
      </c>
      <c r="G195">
        <v>150</v>
      </c>
      <c r="H195" s="1">
        <f t="shared" ref="H195:H258" si="76">G195/($H$1-$I$1)</f>
        <v>0.48402710551790895</v>
      </c>
      <c r="R195" s="1" t="e">
        <f t="shared" ref="R195:R258" si="77">S195-T195-V195</f>
        <v>#VALUE!</v>
      </c>
      <c r="S195" s="1">
        <f>'Solar Availability and Gener GR'!F195</f>
        <v>0</v>
      </c>
      <c r="T195" s="1">
        <v>0.29596899224806206</v>
      </c>
      <c r="U195" s="1">
        <f t="shared" ref="U195:U258" si="78">S195-T195</f>
        <v>-0.29596899224806206</v>
      </c>
      <c r="V195" s="1" t="str">
        <f t="shared" ref="V195:V258" si="79">IF(U195&lt;0,"Buy from Grid","sell the surplus or charge")</f>
        <v>Buy from Grid</v>
      </c>
      <c r="W195" s="1">
        <f t="shared" ref="W195:W258" si="80">(1*(1/(G195+0.01))^1.1)*(LN(T195+1))</f>
        <v>1.0471311033442654E-3</v>
      </c>
      <c r="AA195" s="1" t="str">
        <f t="shared" si="74"/>
        <v>discharge</v>
      </c>
      <c r="AD195" s="1">
        <f t="shared" ref="AD195:AD258" si="81">(T195*G195)/1000</f>
        <v>4.439534883720931E-2</v>
      </c>
      <c r="AF195" s="1">
        <f t="shared" si="60"/>
        <v>67.645180402639696</v>
      </c>
    </row>
    <row r="196" spans="1:32" ht="15">
      <c r="A196" s="1">
        <v>195</v>
      </c>
      <c r="C196" s="1">
        <v>0</v>
      </c>
      <c r="D196" s="1">
        <f t="shared" ref="D196:D259" si="82">(D195)+(B196*0.8)-(C196/0.8)</f>
        <v>6.9635339430539789</v>
      </c>
      <c r="E196" s="1">
        <f t="shared" si="75"/>
        <v>4.008364410232384E-3</v>
      </c>
      <c r="G196">
        <v>151.04</v>
      </c>
      <c r="H196" s="1">
        <f t="shared" si="76"/>
        <v>0.48738302678283307</v>
      </c>
      <c r="R196" s="1" t="e">
        <f t="shared" si="77"/>
        <v>#VALUE!</v>
      </c>
      <c r="S196" s="1">
        <f>'Solar Availability and Gener GR'!F196</f>
        <v>0</v>
      </c>
      <c r="T196" s="1">
        <v>0.29596899224806206</v>
      </c>
      <c r="U196" s="1">
        <f t="shared" si="78"/>
        <v>-0.29596899224806206</v>
      </c>
      <c r="V196" s="1" t="str">
        <f t="shared" si="79"/>
        <v>Buy from Grid</v>
      </c>
      <c r="W196" s="1">
        <f t="shared" si="80"/>
        <v>1.039203233525505E-3</v>
      </c>
      <c r="AA196" s="1" t="str">
        <f t="shared" si="74"/>
        <v>discharge</v>
      </c>
      <c r="AD196" s="1">
        <f t="shared" si="81"/>
        <v>4.4703156589147294E-2</v>
      </c>
      <c r="AF196" s="1">
        <f t="shared" ref="AF196:AF259" si="83">U196+AF195</f>
        <v>67.349211410391632</v>
      </c>
    </row>
    <row r="197" spans="1:32" ht="15">
      <c r="A197" s="1">
        <v>196</v>
      </c>
      <c r="C197" s="1">
        <v>0</v>
      </c>
      <c r="D197" s="1">
        <f t="shared" si="82"/>
        <v>6.9635339430539789</v>
      </c>
      <c r="E197" s="1">
        <f t="shared" si="75"/>
        <v>6.30887946459104E-3</v>
      </c>
      <c r="G197">
        <v>100</v>
      </c>
      <c r="H197" s="1">
        <f t="shared" si="76"/>
        <v>0.32268473701193928</v>
      </c>
      <c r="R197" s="1" t="e">
        <f t="shared" si="77"/>
        <v>#VALUE!</v>
      </c>
      <c r="S197" s="1">
        <f>'Solar Availability and Gener GR'!F197</f>
        <v>0</v>
      </c>
      <c r="T197" s="1">
        <v>0.39891472868217059</v>
      </c>
      <c r="U197" s="1">
        <f t="shared" si="78"/>
        <v>-0.39891472868217059</v>
      </c>
      <c r="V197" s="1" t="str">
        <f t="shared" si="79"/>
        <v>Buy from Grid</v>
      </c>
      <c r="W197" s="1">
        <f t="shared" si="80"/>
        <v>2.1178702832252341E-3</v>
      </c>
      <c r="AA197" s="1" t="str">
        <f t="shared" si="74"/>
        <v>discharge</v>
      </c>
      <c r="AD197" s="1">
        <f t="shared" si="81"/>
        <v>3.9891472868217058E-2</v>
      </c>
      <c r="AF197" s="1">
        <f t="shared" si="83"/>
        <v>66.95029668170946</v>
      </c>
    </row>
    <row r="198" spans="1:32" ht="15">
      <c r="A198" s="1">
        <v>197</v>
      </c>
      <c r="C198" s="1">
        <v>0</v>
      </c>
      <c r="D198" s="1">
        <f t="shared" si="82"/>
        <v>6.9635339430539789</v>
      </c>
      <c r="E198" s="1">
        <f t="shared" si="75"/>
        <v>3.9698969525781402E-3</v>
      </c>
      <c r="G198">
        <v>152.37</v>
      </c>
      <c r="H198" s="1">
        <f t="shared" si="76"/>
        <v>0.49167473378509191</v>
      </c>
      <c r="R198" s="1" t="e">
        <f t="shared" si="77"/>
        <v>#VALUE!</v>
      </c>
      <c r="S198" s="1">
        <f>'Solar Availability and Gener GR'!F198</f>
        <v>0</v>
      </c>
      <c r="T198" s="1">
        <v>0.66914728682170543</v>
      </c>
      <c r="U198" s="1">
        <f t="shared" si="78"/>
        <v>-0.66914728682170543</v>
      </c>
      <c r="V198" s="1" t="str">
        <f t="shared" si="79"/>
        <v>Buy from Grid</v>
      </c>
      <c r="W198" s="1">
        <f t="shared" si="80"/>
        <v>2.0338293781219739E-3</v>
      </c>
      <c r="AA198" s="1" t="str">
        <f t="shared" si="74"/>
        <v>discharge</v>
      </c>
      <c r="AD198" s="1">
        <f t="shared" si="81"/>
        <v>0.10195797209302326</v>
      </c>
      <c r="AF198" s="1">
        <f t="shared" si="83"/>
        <v>66.281149394887748</v>
      </c>
    </row>
    <row r="199" spans="1:32" ht="15">
      <c r="A199" s="1">
        <v>198</v>
      </c>
      <c r="C199" s="1">
        <v>0</v>
      </c>
      <c r="D199" s="1">
        <f t="shared" si="82"/>
        <v>6.9635339430539789</v>
      </c>
      <c r="E199" s="1">
        <f t="shared" si="75"/>
        <v>2.0597152775653094E-3</v>
      </c>
      <c r="G199">
        <v>276.68</v>
      </c>
      <c r="H199" s="1">
        <f t="shared" si="76"/>
        <v>0.89280413036463369</v>
      </c>
      <c r="R199" s="1" t="e">
        <f t="shared" si="77"/>
        <v>#VALUE!</v>
      </c>
      <c r="S199" s="1">
        <f>'Solar Availability and Gener GR'!F199</f>
        <v>0</v>
      </c>
      <c r="T199" s="1">
        <v>0.65627906976744199</v>
      </c>
      <c r="U199" s="1">
        <f t="shared" si="78"/>
        <v>-0.65627906976744199</v>
      </c>
      <c r="V199" s="1" t="str">
        <f t="shared" si="79"/>
        <v>Buy from Grid</v>
      </c>
      <c r="W199" s="1">
        <f t="shared" si="80"/>
        <v>1.0392778746284054E-3</v>
      </c>
      <c r="AA199" s="1" t="str">
        <f t="shared" si="74"/>
        <v>discharge</v>
      </c>
      <c r="AD199" s="1">
        <f t="shared" si="81"/>
        <v>0.18157929302325584</v>
      </c>
      <c r="AF199" s="1">
        <f t="shared" si="83"/>
        <v>65.624870325120312</v>
      </c>
    </row>
    <row r="200" spans="1:32" ht="15">
      <c r="A200" s="1">
        <v>199</v>
      </c>
      <c r="C200" s="1">
        <v>0</v>
      </c>
      <c r="D200" s="1">
        <f t="shared" si="82"/>
        <v>6.9635339430539789</v>
      </c>
      <c r="E200" s="1">
        <f t="shared" si="75"/>
        <v>1.5849387417292348E-3</v>
      </c>
      <c r="G200">
        <v>351.1</v>
      </c>
      <c r="H200" s="1">
        <f t="shared" si="76"/>
        <v>1.132946111648919</v>
      </c>
      <c r="R200" s="1" t="e">
        <f t="shared" si="77"/>
        <v>#VALUE!</v>
      </c>
      <c r="S200" s="1">
        <f>'Solar Availability and Gener GR'!F200</f>
        <v>1.6611768895219918E-2</v>
      </c>
      <c r="T200" s="1">
        <v>0.65627906976744199</v>
      </c>
      <c r="U200" s="1">
        <f t="shared" si="78"/>
        <v>-0.63966730087222212</v>
      </c>
      <c r="V200" s="1" t="str">
        <f t="shared" si="79"/>
        <v>Buy from Grid</v>
      </c>
      <c r="W200" s="1">
        <f t="shared" si="80"/>
        <v>7.9971818671347849E-4</v>
      </c>
      <c r="AA200" s="1" t="str">
        <f t="shared" si="74"/>
        <v>discharge</v>
      </c>
      <c r="AD200" s="1">
        <f t="shared" si="81"/>
        <v>0.2304195813953489</v>
      </c>
      <c r="AF200" s="1">
        <f t="shared" si="83"/>
        <v>64.985203024248094</v>
      </c>
    </row>
    <row r="201" spans="1:32" ht="15">
      <c r="A201" s="1">
        <v>200</v>
      </c>
      <c r="C201" s="1">
        <v>0</v>
      </c>
      <c r="D201" s="1">
        <f t="shared" si="82"/>
        <v>6.9635339430539789</v>
      </c>
      <c r="E201" s="1">
        <f t="shared" si="75"/>
        <v>1.5841942524395893E-3</v>
      </c>
      <c r="G201">
        <v>351.25</v>
      </c>
      <c r="H201" s="1">
        <f t="shared" si="76"/>
        <v>1.1334301387544368</v>
      </c>
      <c r="R201" s="1" t="e">
        <f t="shared" si="77"/>
        <v>#VALUE!</v>
      </c>
      <c r="S201" s="1">
        <f>'Solar Availability and Gener GR'!F201</f>
        <v>7.3684679070595324E-2</v>
      </c>
      <c r="T201" s="1">
        <v>0.39891472868217059</v>
      </c>
      <c r="U201" s="1">
        <f t="shared" si="78"/>
        <v>-0.32523004961157526</v>
      </c>
      <c r="V201" s="1" t="str">
        <f t="shared" si="79"/>
        <v>Buy from Grid</v>
      </c>
      <c r="W201" s="1">
        <f t="shared" si="80"/>
        <v>5.3180884956335254E-4</v>
      </c>
      <c r="AA201" s="1" t="str">
        <f t="shared" si="74"/>
        <v>discharge</v>
      </c>
      <c r="AD201" s="1">
        <f t="shared" si="81"/>
        <v>0.14011879844961242</v>
      </c>
      <c r="AF201" s="1">
        <f t="shared" si="83"/>
        <v>64.659972974636517</v>
      </c>
    </row>
    <row r="202" spans="1:32" ht="15">
      <c r="A202" s="1">
        <v>201</v>
      </c>
      <c r="C202" s="1">
        <v>0</v>
      </c>
      <c r="D202" s="1">
        <f t="shared" si="82"/>
        <v>6.9635339430539789</v>
      </c>
      <c r="E202" s="1">
        <f t="shared" si="75"/>
        <v>2.0062908128291126E-3</v>
      </c>
      <c r="G202">
        <v>283.37</v>
      </c>
      <c r="H202" s="1">
        <f t="shared" si="76"/>
        <v>0.91439173927073236</v>
      </c>
      <c r="R202" s="1" t="e">
        <f t="shared" si="77"/>
        <v>#VALUE!</v>
      </c>
      <c r="S202" s="1">
        <f>'Solar Availability and Gener GR'!F202</f>
        <v>0.29347013264488564</v>
      </c>
      <c r="T202" s="1">
        <v>0.39891472868217059</v>
      </c>
      <c r="U202" s="1">
        <f t="shared" si="78"/>
        <v>-0.10544459603728495</v>
      </c>
      <c r="V202" s="1" t="str">
        <f t="shared" si="79"/>
        <v>Buy from Grid</v>
      </c>
      <c r="W202" s="1">
        <f t="shared" si="80"/>
        <v>6.7350528978191756E-4</v>
      </c>
      <c r="AA202" s="1" t="str">
        <f t="shared" si="74"/>
        <v>discharge</v>
      </c>
      <c r="AD202" s="1">
        <f t="shared" si="81"/>
        <v>0.11304046666666669</v>
      </c>
      <c r="AF202" s="1">
        <f t="shared" si="83"/>
        <v>64.55452837859923</v>
      </c>
    </row>
    <row r="203" spans="1:32" ht="15">
      <c r="A203" s="1">
        <v>202</v>
      </c>
      <c r="B203" s="1">
        <f>U203</f>
        <v>0.34412809157955548</v>
      </c>
      <c r="D203" s="1">
        <f t="shared" si="82"/>
        <v>7.2388364163176231</v>
      </c>
      <c r="E203" s="1">
        <f t="shared" si="75"/>
        <v>3.0542028865993285E-3</v>
      </c>
      <c r="G203">
        <v>193.39</v>
      </c>
      <c r="H203" s="1">
        <f t="shared" si="76"/>
        <v>0.62404001290738942</v>
      </c>
      <c r="R203" s="1" t="e">
        <f t="shared" si="77"/>
        <v>#VALUE!</v>
      </c>
      <c r="S203" s="1">
        <f>'Solar Availability and Gener GR'!F203</f>
        <v>0.74304282026172608</v>
      </c>
      <c r="T203" s="1">
        <v>0.39891472868217059</v>
      </c>
      <c r="U203" s="1">
        <f t="shared" si="78"/>
        <v>0.34412809157955548</v>
      </c>
      <c r="V203" s="1" t="str">
        <f t="shared" si="79"/>
        <v>sell the surplus or charge</v>
      </c>
      <c r="W203" s="1">
        <f t="shared" si="80"/>
        <v>1.0252859590635321E-3</v>
      </c>
      <c r="X203" s="1">
        <f t="shared" ref="X203:X211" si="84">(1*(1/(G203+0.01))^1.1)*(LN(S203+1))</f>
        <v>1.6970138760239056E-3</v>
      </c>
      <c r="Y203" s="1">
        <f t="shared" ref="Y203:Y211" si="85">X203/W203</f>
        <v>1.6551615293492474</v>
      </c>
      <c r="Z203" s="1" t="str">
        <f t="shared" ref="Z203:Z211" si="86">IF(Y203&gt;=2,"sell to the Grid","charge")</f>
        <v>charge</v>
      </c>
      <c r="AD203" s="1">
        <f t="shared" si="81"/>
        <v>7.714611937984496E-2</v>
      </c>
      <c r="AF203" s="1">
        <f t="shared" si="83"/>
        <v>64.898656470178778</v>
      </c>
    </row>
    <row r="204" spans="1:32" ht="15">
      <c r="A204" s="1">
        <v>203</v>
      </c>
      <c r="D204" s="1">
        <f t="shared" si="82"/>
        <v>7.2388364163176231</v>
      </c>
      <c r="E204" s="1">
        <f t="shared" si="75"/>
        <v>3.2889351415458503E-3</v>
      </c>
      <c r="G204">
        <v>180.8</v>
      </c>
      <c r="H204" s="1">
        <f t="shared" si="76"/>
        <v>0.58341400451758629</v>
      </c>
      <c r="R204" s="1" t="e">
        <f t="shared" si="77"/>
        <v>#VALUE!</v>
      </c>
      <c r="S204" s="1">
        <f>'Solar Availability and Gener GR'!F204</f>
        <v>1.7000890234131563</v>
      </c>
      <c r="T204" s="1">
        <v>0.39891472868217059</v>
      </c>
      <c r="U204" s="1">
        <f t="shared" si="78"/>
        <v>1.3011742947309857</v>
      </c>
      <c r="V204" s="1" t="str">
        <f t="shared" si="79"/>
        <v>sell the surplus or charge</v>
      </c>
      <c r="W204" s="1">
        <f t="shared" si="80"/>
        <v>1.1040848123394383E-3</v>
      </c>
      <c r="X204" s="1">
        <f t="shared" si="84"/>
        <v>3.2668491004359231E-3</v>
      </c>
      <c r="Y204" s="1">
        <f t="shared" si="85"/>
        <v>2.9588751370592785</v>
      </c>
      <c r="Z204" s="1" t="str">
        <f t="shared" si="86"/>
        <v>sell to the Grid</v>
      </c>
      <c r="AB204" s="1">
        <f t="shared" ref="AB204:AB209" si="87">(U204*G204)/1000</f>
        <v>0.23525231248736223</v>
      </c>
      <c r="AD204" s="1">
        <f t="shared" si="81"/>
        <v>7.2123782945736445E-2</v>
      </c>
      <c r="AF204" s="1">
        <f t="shared" si="83"/>
        <v>66.199830764909763</v>
      </c>
    </row>
    <row r="205" spans="1:32" ht="15">
      <c r="A205" s="1">
        <v>204</v>
      </c>
      <c r="D205" s="1">
        <f t="shared" si="82"/>
        <v>7.2388364163176231</v>
      </c>
      <c r="E205" s="1">
        <f t="shared" si="75"/>
        <v>3.3275809195577044E-3</v>
      </c>
      <c r="G205">
        <v>178.89</v>
      </c>
      <c r="H205" s="1">
        <f t="shared" si="76"/>
        <v>0.57725072604065819</v>
      </c>
      <c r="R205" s="1" t="e">
        <f t="shared" si="77"/>
        <v>#VALUE!</v>
      </c>
      <c r="S205" s="1">
        <f>'Solar Availability and Gener GR'!F205</f>
        <v>2.3315899581589932</v>
      </c>
      <c r="T205" s="1">
        <v>0.39891472868217059</v>
      </c>
      <c r="U205" s="1">
        <f t="shared" si="78"/>
        <v>1.9326752294768226</v>
      </c>
      <c r="V205" s="1" t="str">
        <f t="shared" si="79"/>
        <v>sell the surplus or charge</v>
      </c>
      <c r="W205" s="1">
        <f t="shared" si="80"/>
        <v>1.1170580741179832E-3</v>
      </c>
      <c r="X205" s="1">
        <f t="shared" si="84"/>
        <v>4.0045761094761011E-3</v>
      </c>
      <c r="Y205" s="1">
        <f t="shared" si="85"/>
        <v>3.5849309917374441</v>
      </c>
      <c r="Z205" s="1" t="str">
        <f t="shared" si="86"/>
        <v>sell to the Grid</v>
      </c>
      <c r="AB205" s="1">
        <f t="shared" si="87"/>
        <v>0.34573627180110877</v>
      </c>
      <c r="AD205" s="1">
        <f t="shared" si="81"/>
        <v>7.1361855813953504E-2</v>
      </c>
      <c r="AF205" s="1">
        <f t="shared" si="83"/>
        <v>68.132505994386591</v>
      </c>
    </row>
    <row r="206" spans="1:32" ht="15">
      <c r="A206" s="1">
        <v>205</v>
      </c>
      <c r="D206" s="1">
        <f t="shared" si="82"/>
        <v>7.2388364163176231</v>
      </c>
      <c r="E206" s="1">
        <f t="shared" si="75"/>
        <v>3.4488958313121832E-3</v>
      </c>
      <c r="G206">
        <v>173.16</v>
      </c>
      <c r="H206" s="1">
        <f t="shared" si="76"/>
        <v>0.55876089060987411</v>
      </c>
      <c r="R206" s="1" t="e">
        <f t="shared" si="77"/>
        <v>#VALUE!</v>
      </c>
      <c r="S206" s="1">
        <f>'Solar Availability and Gener GR'!F206</f>
        <v>2.5513754117332827</v>
      </c>
      <c r="T206" s="1">
        <v>0.39891472868217059</v>
      </c>
      <c r="U206" s="1">
        <f t="shared" si="78"/>
        <v>2.1524606830511122</v>
      </c>
      <c r="V206" s="1" t="str">
        <f t="shared" si="79"/>
        <v>sell the surplus or charge</v>
      </c>
      <c r="W206" s="1">
        <f t="shared" si="80"/>
        <v>1.1577830947748103E-3</v>
      </c>
      <c r="X206" s="1">
        <f t="shared" si="84"/>
        <v>4.3709062893106465E-3</v>
      </c>
      <c r="Y206" s="1">
        <f t="shared" si="85"/>
        <v>3.7752376149185278</v>
      </c>
      <c r="Z206" s="1" t="str">
        <f t="shared" si="86"/>
        <v>sell to the Grid</v>
      </c>
      <c r="AB206" s="1">
        <f t="shared" si="87"/>
        <v>0.37272009187713057</v>
      </c>
      <c r="AD206" s="1">
        <f t="shared" si="81"/>
        <v>6.9076074418604666E-2</v>
      </c>
      <c r="AF206" s="1">
        <f t="shared" si="83"/>
        <v>70.284966677437708</v>
      </c>
    </row>
    <row r="207" spans="1:32" ht="15">
      <c r="A207" s="1">
        <v>206</v>
      </c>
      <c r="D207" s="1">
        <f t="shared" si="82"/>
        <v>7.2388364163176231</v>
      </c>
      <c r="E207" s="1">
        <f t="shared" si="75"/>
        <v>3.4355812812532373E-3</v>
      </c>
      <c r="G207">
        <v>173.77</v>
      </c>
      <c r="H207" s="1">
        <f t="shared" si="76"/>
        <v>0.560729267505647</v>
      </c>
      <c r="R207" s="1" t="e">
        <f t="shared" si="77"/>
        <v>#VALUE!</v>
      </c>
      <c r="S207" s="1">
        <f>'Solar Availability and Gener GR'!F207</f>
        <v>2.598833793287632</v>
      </c>
      <c r="T207" s="1">
        <v>0.39891472868217059</v>
      </c>
      <c r="U207" s="1">
        <f t="shared" si="78"/>
        <v>2.1999190646054614</v>
      </c>
      <c r="V207" s="1" t="str">
        <f t="shared" si="79"/>
        <v>sell the surplus or charge</v>
      </c>
      <c r="W207" s="1">
        <f t="shared" si="80"/>
        <v>1.1533134436961009E-3</v>
      </c>
      <c r="X207" s="1">
        <f t="shared" si="84"/>
        <v>4.3996392178119233E-3</v>
      </c>
      <c r="Y207" s="1">
        <f t="shared" si="85"/>
        <v>3.8147818720573521</v>
      </c>
      <c r="Z207" s="1" t="str">
        <f t="shared" si="86"/>
        <v>sell to the Grid</v>
      </c>
      <c r="AB207" s="1">
        <f t="shared" si="87"/>
        <v>0.382279935856491</v>
      </c>
      <c r="AD207" s="1">
        <f t="shared" si="81"/>
        <v>6.9319412403100786E-2</v>
      </c>
      <c r="AF207" s="1">
        <f t="shared" si="83"/>
        <v>72.484885742043176</v>
      </c>
    </row>
    <row r="208" spans="1:32" ht="15">
      <c r="A208" s="1">
        <v>207</v>
      </c>
      <c r="D208" s="1">
        <f t="shared" si="82"/>
        <v>7.2388364163176231</v>
      </c>
      <c r="E208" s="1">
        <f t="shared" si="75"/>
        <v>3.3296281462650941E-3</v>
      </c>
      <c r="G208">
        <v>178.79</v>
      </c>
      <c r="H208" s="1">
        <f t="shared" si="76"/>
        <v>0.57692804130364628</v>
      </c>
      <c r="R208" s="1" t="e">
        <f t="shared" si="77"/>
        <v>#VALUE!</v>
      </c>
      <c r="S208" s="1">
        <f>'Solar Availability and Gener GR'!F208</f>
        <v>2.5218374432475708</v>
      </c>
      <c r="T208" s="1">
        <v>0.39891472868217059</v>
      </c>
      <c r="U208" s="1">
        <f t="shared" si="78"/>
        <v>2.1229227145654002</v>
      </c>
      <c r="V208" s="1" t="str">
        <f t="shared" si="79"/>
        <v>sell the surplus or charge</v>
      </c>
      <c r="W208" s="1">
        <f t="shared" si="80"/>
        <v>1.1177453214542084E-3</v>
      </c>
      <c r="X208" s="1">
        <f t="shared" si="84"/>
        <v>4.1919447474673853E-3</v>
      </c>
      <c r="Y208" s="1">
        <f t="shared" si="85"/>
        <v>3.7503576771975067</v>
      </c>
      <c r="Z208" s="1" t="str">
        <f t="shared" si="86"/>
        <v>sell to the Grid</v>
      </c>
      <c r="AB208" s="1">
        <f t="shared" si="87"/>
        <v>0.37955735213714786</v>
      </c>
      <c r="AD208" s="1">
        <f t="shared" si="81"/>
        <v>7.1321964341085273E-2</v>
      </c>
      <c r="AF208" s="1">
        <f t="shared" si="83"/>
        <v>74.607808456608581</v>
      </c>
    </row>
    <row r="209" spans="1:32" ht="15">
      <c r="A209" s="1">
        <v>208</v>
      </c>
      <c r="D209" s="1">
        <f t="shared" si="82"/>
        <v>7.2388364163176231</v>
      </c>
      <c r="E209" s="1">
        <f t="shared" si="75"/>
        <v>3.2409899817679366E-3</v>
      </c>
      <c r="G209">
        <v>183.23</v>
      </c>
      <c r="H209" s="1">
        <f t="shared" si="76"/>
        <v>0.59125524362697635</v>
      </c>
      <c r="R209" s="1" t="e">
        <f t="shared" si="77"/>
        <v>#VALUE!</v>
      </c>
      <c r="S209" s="1">
        <f>'Solar Availability and Gener GR'!F209</f>
        <v>2.13843140746016</v>
      </c>
      <c r="T209" s="1">
        <v>0.65627906976744199</v>
      </c>
      <c r="U209" s="1">
        <f t="shared" si="78"/>
        <v>1.4821523376927179</v>
      </c>
      <c r="V209" s="1" t="str">
        <f t="shared" si="79"/>
        <v>sell the surplus or charge</v>
      </c>
      <c r="W209" s="1">
        <f t="shared" si="80"/>
        <v>1.6353178600127822E-3</v>
      </c>
      <c r="X209" s="1">
        <f t="shared" si="84"/>
        <v>3.706795184655858E-3</v>
      </c>
      <c r="Y209" s="1">
        <f t="shared" si="85"/>
        <v>2.266712347058256</v>
      </c>
      <c r="Z209" s="1" t="str">
        <f t="shared" si="86"/>
        <v>sell to the Grid</v>
      </c>
      <c r="AB209" s="1">
        <f t="shared" si="87"/>
        <v>0.27157477283543668</v>
      </c>
      <c r="AD209" s="1">
        <f t="shared" si="81"/>
        <v>0.12025001395348839</v>
      </c>
      <c r="AF209" s="1">
        <f t="shared" si="83"/>
        <v>76.089960794301305</v>
      </c>
    </row>
    <row r="210" spans="1:32" ht="15">
      <c r="A210" s="1">
        <v>209</v>
      </c>
      <c r="B210" s="1">
        <f t="shared" ref="B210:B211" si="88">U210</f>
        <v>1.0093090471941397</v>
      </c>
      <c r="D210" s="1">
        <f t="shared" si="82"/>
        <v>8.0462836540729352</v>
      </c>
      <c r="E210" s="1">
        <f t="shared" si="75"/>
        <v>3.2276183215329077E-3</v>
      </c>
      <c r="G210">
        <v>183.92</v>
      </c>
      <c r="H210" s="1">
        <f t="shared" si="76"/>
        <v>0.59348176831235877</v>
      </c>
      <c r="R210" s="1" t="e">
        <f t="shared" si="77"/>
        <v>#VALUE!</v>
      </c>
      <c r="S210" s="1">
        <f>'Solar Availability and Gener GR'!F210</f>
        <v>1.6784563340158452</v>
      </c>
      <c r="T210" s="1">
        <v>0.66914728682170543</v>
      </c>
      <c r="U210" s="1">
        <f t="shared" si="78"/>
        <v>1.0093090471941397</v>
      </c>
      <c r="V210" s="1" t="str">
        <f t="shared" si="79"/>
        <v>sell the surplus or charge</v>
      </c>
      <c r="W210" s="1">
        <f t="shared" si="80"/>
        <v>1.6535504679624691E-3</v>
      </c>
      <c r="X210" s="1">
        <f t="shared" si="84"/>
        <v>3.1799807207839805E-3</v>
      </c>
      <c r="Y210" s="1">
        <f t="shared" si="85"/>
        <v>1.9231228694836286</v>
      </c>
      <c r="Z210" s="1" t="str">
        <f t="shared" si="86"/>
        <v>charge</v>
      </c>
      <c r="AD210" s="1">
        <f t="shared" si="81"/>
        <v>0.12306956899224805</v>
      </c>
      <c r="AF210" s="1">
        <f t="shared" si="83"/>
        <v>77.099269841495442</v>
      </c>
    </row>
    <row r="211" spans="1:32" ht="15">
      <c r="A211" s="1">
        <v>210</v>
      </c>
      <c r="B211" s="1">
        <f t="shared" si="88"/>
        <v>0.37067276856603881</v>
      </c>
      <c r="D211" s="1">
        <f t="shared" si="82"/>
        <v>8.3428218689257658</v>
      </c>
      <c r="E211" s="1">
        <f t="shared" si="75"/>
        <v>2.9570160671181303E-3</v>
      </c>
      <c r="G211">
        <v>199.16</v>
      </c>
      <c r="H211" s="1">
        <f t="shared" si="76"/>
        <v>0.64265892223297827</v>
      </c>
      <c r="R211" s="1" t="e">
        <f t="shared" si="77"/>
        <v>#VALUE!</v>
      </c>
      <c r="S211" s="1">
        <f>'Solar Availability and Gener GR'!F211</f>
        <v>1.0269518383334808</v>
      </c>
      <c r="T211" s="1">
        <v>0.65627906976744199</v>
      </c>
      <c r="U211" s="1">
        <f t="shared" si="78"/>
        <v>0.37067276856603881</v>
      </c>
      <c r="V211" s="1" t="str">
        <f t="shared" si="79"/>
        <v>sell the surplus or charge</v>
      </c>
      <c r="W211" s="1">
        <f t="shared" si="80"/>
        <v>1.4920321303385259E-3</v>
      </c>
      <c r="X211" s="1">
        <f t="shared" si="84"/>
        <v>2.0892297496908495E-3</v>
      </c>
      <c r="Y211" s="1">
        <f t="shared" si="85"/>
        <v>1.400257881321112</v>
      </c>
      <c r="Z211" s="1" t="str">
        <f t="shared" si="86"/>
        <v>charge</v>
      </c>
      <c r="AD211" s="1">
        <f t="shared" si="81"/>
        <v>0.13070453953488373</v>
      </c>
      <c r="AF211" s="1">
        <f t="shared" si="83"/>
        <v>77.46994261006148</v>
      </c>
    </row>
    <row r="212" spans="1:32" ht="15">
      <c r="A212" s="1">
        <v>211</v>
      </c>
      <c r="C212" s="1">
        <v>0</v>
      </c>
      <c r="D212" s="1">
        <f t="shared" si="82"/>
        <v>8.3428218689257658</v>
      </c>
      <c r="E212" s="1">
        <f t="shared" si="75"/>
        <v>3.2615422637456998E-3</v>
      </c>
      <c r="G212">
        <v>182.18</v>
      </c>
      <c r="H212" s="1">
        <f t="shared" si="76"/>
        <v>0.58786705388835103</v>
      </c>
      <c r="R212" s="1" t="e">
        <f t="shared" si="77"/>
        <v>#VALUE!</v>
      </c>
      <c r="S212" s="1">
        <f>'Solar Availability and Gener GR'!F212</f>
        <v>0.35632511350485152</v>
      </c>
      <c r="T212" s="1">
        <v>0.66914728682170543</v>
      </c>
      <c r="U212" s="1">
        <f t="shared" si="78"/>
        <v>-0.31282217331685391</v>
      </c>
      <c r="V212" s="1" t="str">
        <f t="shared" si="79"/>
        <v>Buy from Grid</v>
      </c>
      <c r="W212" s="1">
        <f t="shared" si="80"/>
        <v>1.6709301408150052E-3</v>
      </c>
      <c r="AA212" s="1" t="str">
        <f t="shared" ref="AA212:AA226" si="89">IF(D212+AF212&gt;0,"discharge","buy from the Grid")</f>
        <v>discharge</v>
      </c>
      <c r="AD212" s="1">
        <f t="shared" si="81"/>
        <v>0.1219052527131783</v>
      </c>
      <c r="AF212" s="1">
        <f t="shared" si="83"/>
        <v>77.15712043674462</v>
      </c>
    </row>
    <row r="213" spans="1:32" ht="15">
      <c r="A213" s="1">
        <v>212</v>
      </c>
      <c r="C213" s="1">
        <v>0</v>
      </c>
      <c r="D213" s="1">
        <f t="shared" si="82"/>
        <v>8.3428218689257658</v>
      </c>
      <c r="E213" s="1">
        <f t="shared" si="75"/>
        <v>3.2889351415458503E-3</v>
      </c>
      <c r="G213">
        <v>180.8</v>
      </c>
      <c r="H213" s="1">
        <f t="shared" si="76"/>
        <v>0.58341400451758629</v>
      </c>
      <c r="R213" s="1" t="e">
        <f t="shared" si="77"/>
        <v>#VALUE!</v>
      </c>
      <c r="S213" s="1">
        <f>'Solar Availability and Gener GR'!F213</f>
        <v>3.9953707825157996E-2</v>
      </c>
      <c r="T213" s="1">
        <v>0.39891472868217059</v>
      </c>
      <c r="U213" s="1">
        <f t="shared" si="78"/>
        <v>-0.35896102085701259</v>
      </c>
      <c r="V213" s="1" t="str">
        <f t="shared" si="79"/>
        <v>Buy from Grid</v>
      </c>
      <c r="W213" s="1">
        <f t="shared" si="80"/>
        <v>1.1040848123394383E-3</v>
      </c>
      <c r="AA213" s="1" t="str">
        <f t="shared" si="89"/>
        <v>discharge</v>
      </c>
      <c r="AD213" s="1">
        <f t="shared" si="81"/>
        <v>7.2123782945736445E-2</v>
      </c>
      <c r="AF213" s="1">
        <f t="shared" si="83"/>
        <v>76.798159415887611</v>
      </c>
    </row>
    <row r="214" spans="1:32" ht="15">
      <c r="A214" s="1">
        <v>213</v>
      </c>
      <c r="C214" s="1">
        <v>0</v>
      </c>
      <c r="D214" s="1">
        <f t="shared" si="82"/>
        <v>8.3428218689257658</v>
      </c>
      <c r="E214" s="1">
        <f t="shared" si="75"/>
        <v>3.519476631236322E-3</v>
      </c>
      <c r="G214">
        <v>170</v>
      </c>
      <c r="H214" s="1">
        <f t="shared" si="76"/>
        <v>0.54856405292029686</v>
      </c>
      <c r="R214" s="1" t="e">
        <f t="shared" si="77"/>
        <v>#VALUE!</v>
      </c>
      <c r="S214" s="1">
        <f>'Solar Availability and Gener GR'!F214</f>
        <v>0</v>
      </c>
      <c r="T214" s="1">
        <v>0.39891472868217059</v>
      </c>
      <c r="U214" s="1">
        <f t="shared" si="78"/>
        <v>-0.39891472868217059</v>
      </c>
      <c r="V214" s="1" t="str">
        <f t="shared" si="79"/>
        <v>Buy from Grid</v>
      </c>
      <c r="W214" s="1">
        <f t="shared" si="80"/>
        <v>1.1814768393715442E-3</v>
      </c>
      <c r="AA214" s="1" t="str">
        <f t="shared" si="89"/>
        <v>discharge</v>
      </c>
      <c r="AD214" s="1">
        <f t="shared" si="81"/>
        <v>6.7815503875969005E-2</v>
      </c>
      <c r="AF214" s="1">
        <f t="shared" si="83"/>
        <v>76.399244687205439</v>
      </c>
    </row>
    <row r="215" spans="1:32" ht="15">
      <c r="A215" s="1">
        <v>214</v>
      </c>
      <c r="C215" s="1">
        <v>0</v>
      </c>
      <c r="D215" s="1">
        <f t="shared" si="82"/>
        <v>8.3428218689257658</v>
      </c>
      <c r="E215" s="1">
        <f t="shared" si="75"/>
        <v>4.3700778715335103E-3</v>
      </c>
      <c r="G215">
        <v>139.63</v>
      </c>
      <c r="H215" s="1">
        <f t="shared" si="76"/>
        <v>0.4505646982897708</v>
      </c>
      <c r="R215" s="1" t="e">
        <f t="shared" si="77"/>
        <v>#VALUE!</v>
      </c>
      <c r="S215" s="1">
        <f>'Solar Availability and Gener GR'!F215</f>
        <v>0</v>
      </c>
      <c r="T215" s="1">
        <v>0.39891472868217059</v>
      </c>
      <c r="U215" s="1">
        <f t="shared" si="78"/>
        <v>-0.39891472868217059</v>
      </c>
      <c r="V215" s="1" t="str">
        <f t="shared" si="79"/>
        <v>Buy from Grid</v>
      </c>
      <c r="W215" s="1">
        <f t="shared" si="80"/>
        <v>1.4670209046545727E-3</v>
      </c>
      <c r="AA215" s="1" t="str">
        <f t="shared" si="89"/>
        <v>discharge</v>
      </c>
      <c r="AD215" s="1">
        <f t="shared" si="81"/>
        <v>5.5700463565891478E-2</v>
      </c>
      <c r="AF215" s="1">
        <f t="shared" si="83"/>
        <v>76.000329958523267</v>
      </c>
    </row>
    <row r="216" spans="1:32" ht="15">
      <c r="A216" s="1">
        <v>215</v>
      </c>
      <c r="C216" s="1">
        <v>0</v>
      </c>
      <c r="D216" s="1">
        <f t="shared" si="82"/>
        <v>8.3428218689257658</v>
      </c>
      <c r="E216" s="1">
        <f t="shared" si="75"/>
        <v>4.6487103356538098E-3</v>
      </c>
      <c r="G216">
        <v>132</v>
      </c>
      <c r="H216" s="1">
        <f t="shared" si="76"/>
        <v>0.42594385285575986</v>
      </c>
      <c r="R216" s="1" t="e">
        <f t="shared" si="77"/>
        <v>#VALUE!</v>
      </c>
      <c r="S216" s="1">
        <f>'Solar Availability and Gener GR'!F216</f>
        <v>0</v>
      </c>
      <c r="T216" s="1">
        <v>0.29596899224806206</v>
      </c>
      <c r="U216" s="1">
        <f t="shared" si="78"/>
        <v>-0.29596899224806206</v>
      </c>
      <c r="V216" s="1" t="str">
        <f t="shared" si="79"/>
        <v>Buy from Grid</v>
      </c>
      <c r="W216" s="1">
        <f t="shared" si="80"/>
        <v>1.2052184677128197E-3</v>
      </c>
      <c r="AA216" s="1" t="str">
        <f t="shared" si="89"/>
        <v>discharge</v>
      </c>
      <c r="AD216" s="1">
        <f t="shared" si="81"/>
        <v>3.9067906976744192E-2</v>
      </c>
      <c r="AF216" s="1">
        <f t="shared" si="83"/>
        <v>75.704360966275203</v>
      </c>
    </row>
    <row r="217" spans="1:32" ht="15">
      <c r="A217" s="1">
        <v>216</v>
      </c>
      <c r="C217" s="1">
        <v>0</v>
      </c>
      <c r="D217" s="1">
        <f t="shared" si="82"/>
        <v>8.3428218689257658</v>
      </c>
      <c r="E217" s="1">
        <f t="shared" si="75"/>
        <v>6.3472660086142541E-3</v>
      </c>
      <c r="G217">
        <v>99.45</v>
      </c>
      <c r="H217" s="1">
        <f t="shared" si="76"/>
        <v>0.32090997095837365</v>
      </c>
      <c r="R217" s="1" t="e">
        <f t="shared" si="77"/>
        <v>#VALUE!</v>
      </c>
      <c r="S217" s="1">
        <f>'Solar Availability and Gener GR'!F217</f>
        <v>0</v>
      </c>
      <c r="T217" s="1">
        <v>0.29596899224806206</v>
      </c>
      <c r="U217" s="1">
        <f t="shared" si="78"/>
        <v>-0.29596899224806206</v>
      </c>
      <c r="V217" s="1" t="str">
        <f t="shared" si="79"/>
        <v>Buy from Grid</v>
      </c>
      <c r="W217" s="1">
        <f t="shared" si="80"/>
        <v>1.6455837556486165E-3</v>
      </c>
      <c r="AA217" s="1" t="str">
        <f t="shared" si="89"/>
        <v>discharge</v>
      </c>
      <c r="AD217" s="1">
        <f t="shared" si="81"/>
        <v>2.9434116279069774E-2</v>
      </c>
      <c r="AF217" s="1">
        <f t="shared" si="83"/>
        <v>75.40839197402714</v>
      </c>
    </row>
    <row r="218" spans="1:32" ht="15">
      <c r="A218" s="1">
        <v>217</v>
      </c>
      <c r="C218" s="1">
        <v>0</v>
      </c>
      <c r="D218" s="1">
        <f t="shared" si="82"/>
        <v>8.3428218689257658</v>
      </c>
      <c r="E218" s="1">
        <f t="shared" si="75"/>
        <v>6.30887946459104E-3</v>
      </c>
      <c r="G218">
        <v>100</v>
      </c>
      <c r="H218" s="1">
        <f t="shared" si="76"/>
        <v>0.32268473701193928</v>
      </c>
      <c r="R218" s="1" t="e">
        <f t="shared" si="77"/>
        <v>#VALUE!</v>
      </c>
      <c r="S218" s="1">
        <f>'Solar Availability and Gener GR'!F218</f>
        <v>0</v>
      </c>
      <c r="T218" s="1">
        <v>0.29596899224806206</v>
      </c>
      <c r="U218" s="1">
        <f t="shared" si="78"/>
        <v>-0.29596899224806206</v>
      </c>
      <c r="V218" s="1" t="str">
        <f t="shared" si="79"/>
        <v>Buy from Grid</v>
      </c>
      <c r="W218" s="1">
        <f t="shared" si="80"/>
        <v>1.6356317112259688E-3</v>
      </c>
      <c r="AA218" s="1" t="str">
        <f t="shared" si="89"/>
        <v>discharge</v>
      </c>
      <c r="AD218" s="1">
        <f t="shared" si="81"/>
        <v>2.9596899224806204E-2</v>
      </c>
      <c r="AF218" s="1">
        <f t="shared" si="83"/>
        <v>75.112422981779076</v>
      </c>
    </row>
    <row r="219" spans="1:32" ht="15">
      <c r="A219" s="1">
        <v>218</v>
      </c>
      <c r="C219" s="1">
        <v>0</v>
      </c>
      <c r="D219" s="1">
        <f t="shared" si="82"/>
        <v>8.3428218689257658</v>
      </c>
      <c r="E219" s="1">
        <f t="shared" si="75"/>
        <v>7.4673065997109796E-3</v>
      </c>
      <c r="G219">
        <v>85.79</v>
      </c>
      <c r="H219" s="1">
        <f t="shared" si="76"/>
        <v>0.27683123588254277</v>
      </c>
      <c r="R219" s="1" t="e">
        <f t="shared" si="77"/>
        <v>#VALUE!</v>
      </c>
      <c r="S219" s="1">
        <f>'Solar Availability and Gener GR'!F219</f>
        <v>0</v>
      </c>
      <c r="T219" s="1">
        <v>0.29596899224806206</v>
      </c>
      <c r="U219" s="1">
        <f t="shared" si="78"/>
        <v>-0.29596899224806206</v>
      </c>
      <c r="V219" s="1" t="str">
        <f t="shared" si="79"/>
        <v>Buy from Grid</v>
      </c>
      <c r="W219" s="1">
        <f t="shared" si="80"/>
        <v>1.9359639917809035E-3</v>
      </c>
      <c r="AA219" s="1" t="str">
        <f t="shared" si="89"/>
        <v>discharge</v>
      </c>
      <c r="AD219" s="1">
        <f t="shared" si="81"/>
        <v>2.5391179844961247E-2</v>
      </c>
      <c r="AF219" s="1">
        <f t="shared" si="83"/>
        <v>74.816453989531013</v>
      </c>
    </row>
    <row r="220" spans="1:32" ht="15">
      <c r="A220" s="1">
        <v>219</v>
      </c>
      <c r="C220" s="1">
        <v>0</v>
      </c>
      <c r="D220" s="1">
        <f t="shared" si="82"/>
        <v>8.3428218689257658</v>
      </c>
      <c r="E220" s="1">
        <f t="shared" si="75"/>
        <v>9.1835508350390158E-3</v>
      </c>
      <c r="G220">
        <v>71.08</v>
      </c>
      <c r="H220" s="1">
        <f t="shared" si="76"/>
        <v>0.22936431106808644</v>
      </c>
      <c r="R220" s="1" t="e">
        <f t="shared" si="77"/>
        <v>#VALUE!</v>
      </c>
      <c r="S220" s="1">
        <f>'Solar Availability and Gener GR'!F220</f>
        <v>0</v>
      </c>
      <c r="T220" s="1">
        <v>0.29596899224806206</v>
      </c>
      <c r="U220" s="1">
        <f t="shared" si="78"/>
        <v>-0.29596899224806206</v>
      </c>
      <c r="V220" s="1" t="str">
        <f t="shared" si="79"/>
        <v>Buy from Grid</v>
      </c>
      <c r="W220" s="1">
        <f t="shared" si="80"/>
        <v>2.3809151929041076E-3</v>
      </c>
      <c r="AA220" s="1" t="str">
        <f t="shared" si="89"/>
        <v>discharge</v>
      </c>
      <c r="AD220" s="1">
        <f t="shared" si="81"/>
        <v>2.1037475968992251E-2</v>
      </c>
      <c r="AF220" s="1">
        <f t="shared" si="83"/>
        <v>74.520484997282949</v>
      </c>
    </row>
    <row r="221" spans="1:32" ht="15">
      <c r="A221" s="1">
        <v>220</v>
      </c>
      <c r="C221" s="1">
        <v>0</v>
      </c>
      <c r="D221" s="1">
        <f t="shared" si="82"/>
        <v>8.3428218689257658</v>
      </c>
      <c r="E221" s="1">
        <f t="shared" si="75"/>
        <v>1.1215044096607061E-2</v>
      </c>
      <c r="G221">
        <v>59.27</v>
      </c>
      <c r="H221" s="1">
        <f t="shared" si="76"/>
        <v>0.19125524362697643</v>
      </c>
      <c r="R221" s="1" t="e">
        <f t="shared" si="77"/>
        <v>#VALUE!</v>
      </c>
      <c r="S221" s="1">
        <f>'Solar Availability and Gener GR'!F221</f>
        <v>0</v>
      </c>
      <c r="T221" s="1">
        <v>0.39891472868217059</v>
      </c>
      <c r="U221" s="1">
        <f t="shared" si="78"/>
        <v>-0.39891472868217059</v>
      </c>
      <c r="V221" s="1" t="str">
        <f t="shared" si="79"/>
        <v>Buy from Grid</v>
      </c>
      <c r="W221" s="1">
        <f t="shared" si="80"/>
        <v>3.7648537669128473E-3</v>
      </c>
      <c r="AA221" s="1" t="str">
        <f t="shared" si="89"/>
        <v>discharge</v>
      </c>
      <c r="AD221" s="1">
        <f t="shared" si="81"/>
        <v>2.364367596899225E-2</v>
      </c>
      <c r="AF221" s="1">
        <f t="shared" si="83"/>
        <v>74.121570268600777</v>
      </c>
    </row>
    <row r="222" spans="1:32" ht="15">
      <c r="A222" s="1">
        <v>221</v>
      </c>
      <c r="C222" s="1">
        <v>0</v>
      </c>
      <c r="D222" s="1">
        <f t="shared" si="82"/>
        <v>8.3428218689257658</v>
      </c>
      <c r="E222" s="1">
        <f t="shared" si="75"/>
        <v>6.8339021570954063E-3</v>
      </c>
      <c r="G222">
        <v>92.99</v>
      </c>
      <c r="H222" s="1">
        <f t="shared" si="76"/>
        <v>0.30006453694740232</v>
      </c>
      <c r="R222" s="1" t="e">
        <f t="shared" si="77"/>
        <v>#VALUE!</v>
      </c>
      <c r="S222" s="1">
        <f>'Solar Availability and Gener GR'!F222</f>
        <v>0</v>
      </c>
      <c r="T222" s="1">
        <v>0.51472868217054268</v>
      </c>
      <c r="U222" s="1">
        <f t="shared" si="78"/>
        <v>-0.51472868217054268</v>
      </c>
      <c r="V222" s="1" t="str">
        <f t="shared" si="79"/>
        <v>Buy from Grid</v>
      </c>
      <c r="W222" s="1">
        <f t="shared" si="80"/>
        <v>2.8376844871489345E-3</v>
      </c>
      <c r="AA222" s="1" t="str">
        <f t="shared" si="89"/>
        <v>discharge</v>
      </c>
      <c r="AD222" s="1">
        <f t="shared" si="81"/>
        <v>4.7864620155038763E-2</v>
      </c>
      <c r="AF222" s="1">
        <f t="shared" si="83"/>
        <v>73.606841586430235</v>
      </c>
    </row>
    <row r="223" spans="1:32" ht="15">
      <c r="A223" s="1">
        <v>222</v>
      </c>
      <c r="C223" s="1">
        <v>0</v>
      </c>
      <c r="D223" s="1">
        <f t="shared" si="82"/>
        <v>8.3428218689257658</v>
      </c>
      <c r="E223" s="1">
        <f t="shared" si="75"/>
        <v>5.7610178612277005E-3</v>
      </c>
      <c r="G223">
        <v>108.61</v>
      </c>
      <c r="H223" s="1">
        <f t="shared" si="76"/>
        <v>0.35046789286866725</v>
      </c>
      <c r="R223" s="1" t="e">
        <f t="shared" si="77"/>
        <v>#VALUE!</v>
      </c>
      <c r="S223" s="1">
        <f>'Solar Availability and Gener GR'!F223</f>
        <v>0</v>
      </c>
      <c r="T223" s="1">
        <v>0.65627906976744199</v>
      </c>
      <c r="U223" s="1">
        <f t="shared" si="78"/>
        <v>-0.65627906976744199</v>
      </c>
      <c r="V223" s="1" t="str">
        <f t="shared" si="79"/>
        <v>Buy from Grid</v>
      </c>
      <c r="W223" s="1">
        <f t="shared" si="80"/>
        <v>2.9068573038844013E-3</v>
      </c>
      <c r="AA223" s="1" t="str">
        <f t="shared" si="89"/>
        <v>discharge</v>
      </c>
      <c r="AD223" s="1">
        <f t="shared" si="81"/>
        <v>7.1278469767441871E-2</v>
      </c>
      <c r="AF223" s="1">
        <f t="shared" si="83"/>
        <v>72.950562516662799</v>
      </c>
    </row>
    <row r="224" spans="1:32" ht="15">
      <c r="A224" s="1">
        <v>223</v>
      </c>
      <c r="C224" s="1">
        <v>0</v>
      </c>
      <c r="D224" s="1">
        <f t="shared" si="82"/>
        <v>8.3428218689257658</v>
      </c>
      <c r="E224" s="1">
        <f t="shared" si="75"/>
        <v>4.1705611473238993E-3</v>
      </c>
      <c r="G224">
        <v>145.69</v>
      </c>
      <c r="H224" s="1">
        <f t="shared" si="76"/>
        <v>0.47011939335269437</v>
      </c>
      <c r="R224" s="1" t="e">
        <f t="shared" si="77"/>
        <v>#VALUE!</v>
      </c>
      <c r="S224" s="1">
        <f>'Solar Availability and Gener GR'!F224</f>
        <v>1.6611768895219918E-2</v>
      </c>
      <c r="T224" s="1">
        <v>0.65627906976744199</v>
      </c>
      <c r="U224" s="1">
        <f t="shared" si="78"/>
        <v>-0.63966730087222212</v>
      </c>
      <c r="V224" s="1" t="str">
        <f t="shared" si="79"/>
        <v>Buy from Grid</v>
      </c>
      <c r="W224" s="1">
        <f t="shared" si="80"/>
        <v>2.1043548942949238E-3</v>
      </c>
      <c r="AA224" s="1" t="str">
        <f t="shared" si="89"/>
        <v>discharge</v>
      </c>
      <c r="AD224" s="1">
        <f t="shared" si="81"/>
        <v>9.5613297674418618E-2</v>
      </c>
      <c r="AF224" s="1">
        <f t="shared" si="83"/>
        <v>72.31089521579058</v>
      </c>
    </row>
    <row r="225" spans="1:32" ht="15">
      <c r="A225" s="1">
        <v>224</v>
      </c>
      <c r="C225" s="1">
        <v>0</v>
      </c>
      <c r="D225" s="1">
        <f t="shared" si="82"/>
        <v>8.3428218689257658</v>
      </c>
      <c r="E225" s="1">
        <f t="shared" si="75"/>
        <v>3.379914605991094E-3</v>
      </c>
      <c r="G225">
        <v>176.37</v>
      </c>
      <c r="H225" s="1">
        <f t="shared" si="76"/>
        <v>0.56911907066795731</v>
      </c>
      <c r="R225" s="1" t="e">
        <f t="shared" si="77"/>
        <v>#VALUE!</v>
      </c>
      <c r="S225" s="1">
        <f>'Solar Availability and Gener GR'!F225</f>
        <v>2.5785631621116648E-2</v>
      </c>
      <c r="T225" s="1">
        <v>0.39891472868217059</v>
      </c>
      <c r="U225" s="1">
        <f t="shared" si="78"/>
        <v>-0.37312909706105396</v>
      </c>
      <c r="V225" s="1" t="str">
        <f t="shared" si="79"/>
        <v>Buy from Grid</v>
      </c>
      <c r="W225" s="1">
        <f t="shared" si="80"/>
        <v>1.1346263221612334E-3</v>
      </c>
      <c r="AA225" s="1" t="str">
        <f t="shared" si="89"/>
        <v>discharge</v>
      </c>
      <c r="AD225" s="1">
        <f t="shared" si="81"/>
        <v>7.0356590697674429E-2</v>
      </c>
      <c r="AF225" s="1">
        <f t="shared" si="83"/>
        <v>71.937766118729527</v>
      </c>
    </row>
    <row r="226" spans="1:32" ht="15">
      <c r="A226" s="1">
        <v>225</v>
      </c>
      <c r="C226" s="1">
        <v>0</v>
      </c>
      <c r="D226" s="1">
        <f t="shared" si="82"/>
        <v>8.3428218689257658</v>
      </c>
      <c r="E226" s="1">
        <f t="shared" si="75"/>
        <v>3.2443007003922731E-3</v>
      </c>
      <c r="G226">
        <v>183.06</v>
      </c>
      <c r="H226" s="1">
        <f t="shared" si="76"/>
        <v>0.59070667957405609</v>
      </c>
      <c r="R226" s="1" t="e">
        <f t="shared" si="77"/>
        <v>#VALUE!</v>
      </c>
      <c r="S226" s="1">
        <f>'Solar Availability and Gener GR'!F226</f>
        <v>0.1881643372206887</v>
      </c>
      <c r="T226" s="1">
        <v>0.39891472868217059</v>
      </c>
      <c r="U226" s="1">
        <f t="shared" si="78"/>
        <v>-0.21075039146148189</v>
      </c>
      <c r="V226" s="1" t="str">
        <f t="shared" si="79"/>
        <v>Buy from Grid</v>
      </c>
      <c r="W226" s="1">
        <f t="shared" si="80"/>
        <v>1.089101175854056E-3</v>
      </c>
      <c r="AA226" s="1" t="str">
        <f t="shared" si="89"/>
        <v>discharge</v>
      </c>
      <c r="AD226" s="1">
        <f t="shared" si="81"/>
        <v>7.3025330232558153E-2</v>
      </c>
      <c r="AF226" s="1">
        <f t="shared" si="83"/>
        <v>71.727015727268039</v>
      </c>
    </row>
    <row r="227" spans="1:32" ht="15">
      <c r="A227" s="1">
        <v>226</v>
      </c>
      <c r="B227" s="1">
        <f>U227</f>
        <v>0.286694636580891</v>
      </c>
      <c r="D227" s="1">
        <f t="shared" si="82"/>
        <v>8.5721775781904785</v>
      </c>
      <c r="E227" s="1">
        <f t="shared" si="75"/>
        <v>3.5306686547840211E-3</v>
      </c>
      <c r="G227">
        <v>169.51</v>
      </c>
      <c r="H227" s="1">
        <f t="shared" si="76"/>
        <v>0.54698289770893826</v>
      </c>
      <c r="R227" s="1" t="e">
        <f t="shared" si="77"/>
        <v>#VALUE!</v>
      </c>
      <c r="S227" s="1">
        <f>'Solar Availability and Gener GR'!F227</f>
        <v>0.6856093652630616</v>
      </c>
      <c r="T227" s="1">
        <v>0.39891472868217059</v>
      </c>
      <c r="U227" s="1">
        <f t="shared" si="78"/>
        <v>0.286694636580891</v>
      </c>
      <c r="V227" s="1" t="str">
        <f t="shared" si="79"/>
        <v>sell the surplus or charge</v>
      </c>
      <c r="W227" s="1">
        <f t="shared" si="80"/>
        <v>1.1852339652151849E-3</v>
      </c>
      <c r="X227" s="1">
        <f t="shared" ref="X227:X234" si="90">(1*(1/(G227+0.01))^1.1)*(LN(S227+1))</f>
        <v>1.8434579253633816E-3</v>
      </c>
      <c r="Y227" s="1">
        <f t="shared" ref="Y227:Y234" si="91">X227/W227</f>
        <v>1.5553536090477234</v>
      </c>
      <c r="Z227" s="1" t="str">
        <f t="shared" ref="Z227:Z234" si="92">IF(Y227&gt;=2,"sell to the Grid","charge")</f>
        <v>charge</v>
      </c>
      <c r="AD227" s="1">
        <f t="shared" si="81"/>
        <v>6.7620035658914737E-2</v>
      </c>
      <c r="AF227" s="1">
        <f t="shared" si="83"/>
        <v>72.013710363848929</v>
      </c>
    </row>
    <row r="228" spans="1:32" ht="15">
      <c r="A228" s="1">
        <v>227</v>
      </c>
      <c r="D228" s="1">
        <f t="shared" si="82"/>
        <v>8.5721775781904785</v>
      </c>
      <c r="E228" s="1">
        <f t="shared" si="75"/>
        <v>3.7000561331455464E-3</v>
      </c>
      <c r="G228">
        <v>162.44</v>
      </c>
      <c r="H228" s="1">
        <f t="shared" si="76"/>
        <v>0.52416908680219421</v>
      </c>
      <c r="R228" s="1" t="e">
        <f t="shared" si="77"/>
        <v>#VALUE!</v>
      </c>
      <c r="S228" s="1">
        <f>'Solar Availability and Gener GR'!F228</f>
        <v>1.3745571085195381</v>
      </c>
      <c r="T228" s="1">
        <v>0.39891472868217059</v>
      </c>
      <c r="U228" s="1">
        <f t="shared" si="78"/>
        <v>0.97564237983736746</v>
      </c>
      <c r="V228" s="1" t="str">
        <f t="shared" si="79"/>
        <v>sell the surplus or charge</v>
      </c>
      <c r="W228" s="1">
        <f t="shared" si="80"/>
        <v>1.2420967898714151E-3</v>
      </c>
      <c r="X228" s="1">
        <f t="shared" si="90"/>
        <v>3.1998490206105773E-3</v>
      </c>
      <c r="Y228" s="1">
        <f t="shared" si="91"/>
        <v>2.5761672091124508</v>
      </c>
      <c r="Z228" s="1" t="str">
        <f t="shared" si="92"/>
        <v>sell to the Grid</v>
      </c>
      <c r="AB228" s="1">
        <f t="shared" ref="AB228:AB232" si="93">(U228*G228)/1000</f>
        <v>0.15848334818078197</v>
      </c>
      <c r="AD228" s="1">
        <f t="shared" si="81"/>
        <v>6.479970852713178E-2</v>
      </c>
      <c r="AF228" s="1">
        <f t="shared" si="83"/>
        <v>72.989352743686297</v>
      </c>
    </row>
    <row r="229" spans="1:32" ht="15">
      <c r="A229" s="1">
        <v>228</v>
      </c>
      <c r="D229" s="1">
        <f t="shared" si="82"/>
        <v>8.5721775781904785</v>
      </c>
      <c r="E229" s="1">
        <f t="shared" si="75"/>
        <v>3.7626851357276552E-3</v>
      </c>
      <c r="G229">
        <v>159.97999999999999</v>
      </c>
      <c r="H229" s="1">
        <f t="shared" si="76"/>
        <v>0.51623104227170047</v>
      </c>
      <c r="R229" s="1" t="e">
        <f t="shared" si="77"/>
        <v>#VALUE!</v>
      </c>
      <c r="S229" s="1">
        <f>'Solar Availability and Gener GR'!F229</f>
        <v>1.7953930383690888</v>
      </c>
      <c r="T229" s="1">
        <v>0.39891472868217059</v>
      </c>
      <c r="U229" s="1">
        <f t="shared" si="78"/>
        <v>1.3964783096869182</v>
      </c>
      <c r="V229" s="1" t="str">
        <f t="shared" si="79"/>
        <v>sell the surplus or charge</v>
      </c>
      <c r="W229" s="1">
        <f t="shared" si="80"/>
        <v>1.2631211420057577E-3</v>
      </c>
      <c r="X229" s="1">
        <f t="shared" si="90"/>
        <v>3.8679376685012332E-3</v>
      </c>
      <c r="Y229" s="1">
        <f t="shared" si="91"/>
        <v>3.0622064185856228</v>
      </c>
      <c r="Z229" s="1" t="str">
        <f t="shared" si="92"/>
        <v>sell to the Grid</v>
      </c>
      <c r="AB229" s="1">
        <f t="shared" si="93"/>
        <v>0.22340859998371318</v>
      </c>
      <c r="AD229" s="1">
        <f t="shared" si="81"/>
        <v>6.3818378294573652E-2</v>
      </c>
      <c r="AF229" s="1">
        <f t="shared" si="83"/>
        <v>74.385831053373209</v>
      </c>
    </row>
    <row r="230" spans="1:32" ht="15">
      <c r="A230" s="1">
        <v>229</v>
      </c>
      <c r="D230" s="1">
        <f t="shared" si="82"/>
        <v>8.5721775781904785</v>
      </c>
      <c r="E230" s="1">
        <f t="shared" si="75"/>
        <v>4.154874307448376E-3</v>
      </c>
      <c r="G230">
        <v>146.19</v>
      </c>
      <c r="H230" s="1">
        <f t="shared" si="76"/>
        <v>0.47173281703775405</v>
      </c>
      <c r="R230" s="1" t="e">
        <f t="shared" si="77"/>
        <v>#VALUE!</v>
      </c>
      <c r="S230" s="1">
        <f>'Solar Availability and Gener GR'!F230</f>
        <v>1.9768939731149291</v>
      </c>
      <c r="T230" s="1">
        <v>0.39891472868217059</v>
      </c>
      <c r="U230" s="1">
        <f t="shared" si="78"/>
        <v>1.5779792444327585</v>
      </c>
      <c r="V230" s="1" t="str">
        <f t="shared" si="79"/>
        <v>sell the surplus or charge</v>
      </c>
      <c r="W230" s="1">
        <f t="shared" si="80"/>
        <v>1.3947777692803565E-3</v>
      </c>
      <c r="X230" s="1">
        <f t="shared" si="90"/>
        <v>4.532471220902533E-3</v>
      </c>
      <c r="Y230" s="1">
        <f t="shared" si="91"/>
        <v>3.2496009907306505</v>
      </c>
      <c r="Z230" s="1" t="str">
        <f t="shared" si="92"/>
        <v>sell to the Grid</v>
      </c>
      <c r="AB230" s="1">
        <f t="shared" si="93"/>
        <v>0.23068478574362497</v>
      </c>
      <c r="AD230" s="1">
        <f t="shared" si="81"/>
        <v>5.8317344186046519E-2</v>
      </c>
      <c r="AF230" s="1">
        <f t="shared" si="83"/>
        <v>75.963810297805964</v>
      </c>
    </row>
    <row r="231" spans="1:32" ht="15">
      <c r="A231" s="1">
        <v>230</v>
      </c>
      <c r="D231" s="1">
        <f t="shared" si="82"/>
        <v>8.5721775781904785</v>
      </c>
      <c r="E231" s="1">
        <f t="shared" si="75"/>
        <v>4.188265162144311E-3</v>
      </c>
      <c r="G231">
        <v>145.13</v>
      </c>
      <c r="H231" s="1">
        <f t="shared" si="76"/>
        <v>0.46831235882542749</v>
      </c>
      <c r="R231" s="1" t="e">
        <f t="shared" si="77"/>
        <v>#VALUE!</v>
      </c>
      <c r="S231" s="1">
        <f>'Solar Availability and Gener GR'!F231</f>
        <v>1.9956423039259323</v>
      </c>
      <c r="T231" s="1">
        <v>0.39891472868217059</v>
      </c>
      <c r="U231" s="1">
        <f t="shared" si="78"/>
        <v>1.5967275752437617</v>
      </c>
      <c r="V231" s="1" t="str">
        <f t="shared" si="79"/>
        <v>sell the surplus or charge</v>
      </c>
      <c r="W231" s="1">
        <f t="shared" si="80"/>
        <v>1.4059869704212116E-3</v>
      </c>
      <c r="X231" s="1">
        <f t="shared" si="90"/>
        <v>4.5951914236571703E-3</v>
      </c>
      <c r="Y231" s="1">
        <f t="shared" si="91"/>
        <v>3.2683029930786081</v>
      </c>
      <c r="Z231" s="1" t="str">
        <f t="shared" si="92"/>
        <v>sell to the Grid</v>
      </c>
      <c r="AB231" s="1">
        <f t="shared" si="93"/>
        <v>0.23173307299512713</v>
      </c>
      <c r="AD231" s="1">
        <f t="shared" si="81"/>
        <v>5.7894494573643415E-2</v>
      </c>
      <c r="AF231" s="1">
        <f t="shared" si="83"/>
        <v>77.560537873049725</v>
      </c>
    </row>
    <row r="232" spans="1:32" ht="15">
      <c r="A232" s="1">
        <v>231</v>
      </c>
      <c r="D232" s="1">
        <f t="shared" si="82"/>
        <v>8.5721775781904785</v>
      </c>
      <c r="E232" s="1">
        <f t="shared" si="75"/>
        <v>3.699555113056377E-3</v>
      </c>
      <c r="G232">
        <v>162.46</v>
      </c>
      <c r="H232" s="1">
        <f t="shared" si="76"/>
        <v>0.52423362374959659</v>
      </c>
      <c r="R232" s="1" t="e">
        <f t="shared" si="77"/>
        <v>#VALUE!</v>
      </c>
      <c r="S232" s="1">
        <f>'Solar Availability and Gener GR'!F232</f>
        <v>1.8611857918632597</v>
      </c>
      <c r="T232" s="1">
        <v>0.4117829457364342</v>
      </c>
      <c r="U232" s="1">
        <f t="shared" si="78"/>
        <v>1.4494028461268256</v>
      </c>
      <c r="V232" s="1" t="str">
        <f t="shared" si="79"/>
        <v>sell the surplus or charge</v>
      </c>
      <c r="W232" s="1">
        <f t="shared" si="80"/>
        <v>1.2758041818103241E-3</v>
      </c>
      <c r="X232" s="1">
        <f t="shared" si="90"/>
        <v>3.8891060791018937E-3</v>
      </c>
      <c r="Y232" s="1">
        <f t="shared" si="91"/>
        <v>3.0483565852428702</v>
      </c>
      <c r="Z232" s="1" t="str">
        <f t="shared" si="92"/>
        <v>sell to the Grid</v>
      </c>
      <c r="AB232" s="1">
        <f t="shared" si="93"/>
        <v>0.23546998638176411</v>
      </c>
      <c r="AD232" s="1">
        <f t="shared" si="81"/>
        <v>6.6898257364341102E-2</v>
      </c>
      <c r="AF232" s="1">
        <f t="shared" si="83"/>
        <v>79.009940719176555</v>
      </c>
    </row>
    <row r="233" spans="1:32" ht="15">
      <c r="A233" s="1">
        <v>232</v>
      </c>
      <c r="B233" s="1">
        <f t="shared" ref="B233:B234" si="94">U233</f>
        <v>0.89481603553207334</v>
      </c>
      <c r="D233" s="1">
        <f t="shared" si="82"/>
        <v>9.2880304066161372</v>
      </c>
      <c r="E233" s="1">
        <f t="shared" si="75"/>
        <v>3.5442352426187877E-3</v>
      </c>
      <c r="G233">
        <v>168.92</v>
      </c>
      <c r="H233" s="1">
        <f t="shared" si="76"/>
        <v>0.54507905776056786</v>
      </c>
      <c r="R233" s="1" t="e">
        <f t="shared" si="77"/>
        <v>#VALUE!</v>
      </c>
      <c r="S233" s="1">
        <f>'Solar Availability and Gener GR'!F233</f>
        <v>1.5639633223537788</v>
      </c>
      <c r="T233" s="1">
        <v>0.66914728682170543</v>
      </c>
      <c r="U233" s="1">
        <f t="shared" si="78"/>
        <v>0.89481603553207334</v>
      </c>
      <c r="V233" s="1" t="str">
        <f t="shared" si="79"/>
        <v>sell the surplus or charge</v>
      </c>
      <c r="W233" s="1">
        <f t="shared" si="80"/>
        <v>1.8157573976150881E-3</v>
      </c>
      <c r="X233" s="1">
        <f t="shared" si="90"/>
        <v>3.3370896993408505E-3</v>
      </c>
      <c r="Y233" s="1">
        <f t="shared" si="91"/>
        <v>1.8378499813488085</v>
      </c>
      <c r="Z233" s="1" t="str">
        <f t="shared" si="92"/>
        <v>charge</v>
      </c>
      <c r="AD233" s="1">
        <f t="shared" si="81"/>
        <v>0.11303235968992248</v>
      </c>
      <c r="AF233" s="1">
        <f t="shared" si="83"/>
        <v>79.904756754708629</v>
      </c>
    </row>
    <row r="234" spans="1:32" ht="15">
      <c r="A234" s="1">
        <v>233</v>
      </c>
      <c r="B234" s="1">
        <f t="shared" si="94"/>
        <v>0.40941130680159399</v>
      </c>
      <c r="D234" s="1">
        <f t="shared" si="82"/>
        <v>9.615559452057413</v>
      </c>
      <c r="E234" s="1">
        <f t="shared" si="75"/>
        <v>3.6080881185039495E-3</v>
      </c>
      <c r="G234">
        <v>166.2</v>
      </c>
      <c r="H234" s="1">
        <f t="shared" si="76"/>
        <v>0.53630203291384304</v>
      </c>
      <c r="R234" s="1" t="e">
        <f t="shared" si="77"/>
        <v>#VALUE!</v>
      </c>
      <c r="S234" s="1">
        <f>'Solar Availability and Gener GR'!F234</f>
        <v>1.065690376569036</v>
      </c>
      <c r="T234" s="1">
        <v>0.65627906976744199</v>
      </c>
      <c r="U234" s="1">
        <f t="shared" si="78"/>
        <v>0.40941130680159399</v>
      </c>
      <c r="V234" s="1" t="str">
        <f t="shared" si="79"/>
        <v>sell the surplus or charge</v>
      </c>
      <c r="W234" s="1">
        <f t="shared" si="80"/>
        <v>1.820545874526528E-3</v>
      </c>
      <c r="X234" s="1">
        <f t="shared" si="90"/>
        <v>2.6175398187923879E-3</v>
      </c>
      <c r="Y234" s="1">
        <f t="shared" si="91"/>
        <v>1.4377774575293991</v>
      </c>
      <c r="Z234" s="1" t="str">
        <f t="shared" si="92"/>
        <v>charge</v>
      </c>
      <c r="AD234" s="1">
        <f t="shared" si="81"/>
        <v>0.10907358139534885</v>
      </c>
      <c r="AF234" s="1">
        <f t="shared" si="83"/>
        <v>80.314168061510216</v>
      </c>
    </row>
    <row r="235" spans="1:32" ht="15">
      <c r="A235" s="1">
        <v>234</v>
      </c>
      <c r="C235" s="1">
        <v>0</v>
      </c>
      <c r="D235" s="1">
        <f t="shared" si="82"/>
        <v>9.615559452057413</v>
      </c>
      <c r="E235" s="1">
        <f t="shared" si="75"/>
        <v>3.5033792849402971E-3</v>
      </c>
      <c r="G235">
        <v>170.71</v>
      </c>
      <c r="H235" s="1">
        <f t="shared" si="76"/>
        <v>0.55085511455308156</v>
      </c>
      <c r="R235" s="1" t="e">
        <f t="shared" si="77"/>
        <v>#VALUE!</v>
      </c>
      <c r="S235" s="1">
        <f>'Solar Availability and Gener GR'!F235</f>
        <v>0.46207157482417677</v>
      </c>
      <c r="T235" s="1">
        <v>0.66914728682170543</v>
      </c>
      <c r="U235" s="1">
        <f t="shared" si="78"/>
        <v>-0.20707571199752867</v>
      </c>
      <c r="V235" s="1" t="str">
        <f t="shared" si="79"/>
        <v>Buy from Grid</v>
      </c>
      <c r="W235" s="1">
        <f t="shared" si="80"/>
        <v>1.7948263638904321E-3</v>
      </c>
      <c r="AA235" s="1" t="str">
        <f t="shared" ref="AA235:AA251" si="95">IF(D235+AF235&gt;0,"discharge","buy from the Grid")</f>
        <v>discharge</v>
      </c>
      <c r="AD235" s="1">
        <f t="shared" si="81"/>
        <v>0.11423013333333334</v>
      </c>
      <c r="AF235" s="1">
        <f t="shared" si="83"/>
        <v>80.107092349512683</v>
      </c>
    </row>
    <row r="236" spans="1:32" ht="15">
      <c r="A236" s="1">
        <v>235</v>
      </c>
      <c r="C236" s="1">
        <v>0</v>
      </c>
      <c r="D236" s="1">
        <f t="shared" si="82"/>
        <v>9.615559452057413</v>
      </c>
      <c r="E236" s="1">
        <f t="shared" si="75"/>
        <v>3.5716691142868668E-3</v>
      </c>
      <c r="G236">
        <v>167.74</v>
      </c>
      <c r="H236" s="1">
        <f t="shared" si="76"/>
        <v>0.54127137786382706</v>
      </c>
      <c r="R236" s="1" t="e">
        <f t="shared" si="77"/>
        <v>#VALUE!</v>
      </c>
      <c r="S236" s="1">
        <f>'Solar Availability and Gener GR'!F236</f>
        <v>5.9503249354580651E-2</v>
      </c>
      <c r="T236" s="1">
        <v>0.66914728682170543</v>
      </c>
      <c r="U236" s="1">
        <f t="shared" si="78"/>
        <v>-0.60964403746712481</v>
      </c>
      <c r="V236" s="1" t="str">
        <f t="shared" si="79"/>
        <v>Buy from Grid</v>
      </c>
      <c r="W236" s="1">
        <f t="shared" si="80"/>
        <v>1.8298121236748999E-3</v>
      </c>
      <c r="AA236" s="1" t="str">
        <f t="shared" si="95"/>
        <v>discharge</v>
      </c>
      <c r="AD236" s="1">
        <f t="shared" si="81"/>
        <v>0.11224276589147288</v>
      </c>
      <c r="AF236" s="1">
        <f t="shared" si="83"/>
        <v>79.497448312045563</v>
      </c>
    </row>
    <row r="237" spans="1:32" ht="15">
      <c r="A237" s="1">
        <v>236</v>
      </c>
      <c r="C237" s="1">
        <v>0</v>
      </c>
      <c r="D237" s="1">
        <f t="shared" si="82"/>
        <v>9.615559452057413</v>
      </c>
      <c r="E237" s="1">
        <f t="shared" si="75"/>
        <v>2.7005978358793791E-3</v>
      </c>
      <c r="G237">
        <v>216.28</v>
      </c>
      <c r="H237" s="1">
        <f t="shared" si="76"/>
        <v>0.6979025492094223</v>
      </c>
      <c r="R237" s="1" t="e">
        <f t="shared" si="77"/>
        <v>#VALUE!</v>
      </c>
      <c r="S237" s="1">
        <f>'Solar Availability and Gener GR'!F237</f>
        <v>0</v>
      </c>
      <c r="T237" s="1">
        <v>0.39891472868217059</v>
      </c>
      <c r="U237" s="1">
        <f t="shared" si="78"/>
        <v>-0.39891472868217059</v>
      </c>
      <c r="V237" s="1" t="str">
        <f t="shared" si="79"/>
        <v>Buy from Grid</v>
      </c>
      <c r="W237" s="1">
        <f t="shared" si="80"/>
        <v>9.065818955097235E-4</v>
      </c>
      <c r="AA237" s="1" t="str">
        <f t="shared" si="95"/>
        <v>discharge</v>
      </c>
      <c r="AD237" s="1">
        <f t="shared" si="81"/>
        <v>8.6277277519379844E-2</v>
      </c>
      <c r="AF237" s="1">
        <f t="shared" si="83"/>
        <v>79.098533583363391</v>
      </c>
    </row>
    <row r="238" spans="1:32" ht="15">
      <c r="A238" s="1">
        <v>237</v>
      </c>
      <c r="C238" s="1">
        <v>0</v>
      </c>
      <c r="D238" s="1">
        <f t="shared" si="82"/>
        <v>9.615559452057413</v>
      </c>
      <c r="E238" s="1">
        <f t="shared" si="75"/>
        <v>2.5392343648028178E-3</v>
      </c>
      <c r="G238">
        <v>228.74</v>
      </c>
      <c r="H238" s="1">
        <f t="shared" si="76"/>
        <v>0.73810906744110993</v>
      </c>
      <c r="R238" s="1" t="e">
        <f t="shared" si="77"/>
        <v>#VALUE!</v>
      </c>
      <c r="S238" s="1">
        <f>'Solar Availability and Gener GR'!F238</f>
        <v>0</v>
      </c>
      <c r="T238" s="1">
        <v>0.39891472868217059</v>
      </c>
      <c r="U238" s="1">
        <f t="shared" si="78"/>
        <v>-0.39891472868217059</v>
      </c>
      <c r="V238" s="1" t="str">
        <f t="shared" si="79"/>
        <v>Buy from Grid</v>
      </c>
      <c r="W238" s="1">
        <f t="shared" si="80"/>
        <v>8.5241270395848231E-4</v>
      </c>
      <c r="AA238" s="1" t="str">
        <f t="shared" si="95"/>
        <v>discharge</v>
      </c>
      <c r="AD238" s="1">
        <f t="shared" si="81"/>
        <v>9.1247755038759704E-2</v>
      </c>
      <c r="AF238" s="1">
        <f t="shared" si="83"/>
        <v>78.699618854681219</v>
      </c>
    </row>
    <row r="239" spans="1:32" ht="15">
      <c r="A239" s="1">
        <v>238</v>
      </c>
      <c r="C239" s="1">
        <v>0</v>
      </c>
      <c r="D239" s="1">
        <f t="shared" si="82"/>
        <v>9.615559452057413</v>
      </c>
      <c r="E239" s="1">
        <f t="shared" si="75"/>
        <v>3.636961546348128E-3</v>
      </c>
      <c r="G239">
        <v>165</v>
      </c>
      <c r="H239" s="1">
        <f t="shared" si="76"/>
        <v>0.53242981606969986</v>
      </c>
      <c r="R239" s="1" t="e">
        <f t="shared" si="77"/>
        <v>#VALUE!</v>
      </c>
      <c r="S239" s="1">
        <f>'Solar Availability and Gener GR'!F239</f>
        <v>0</v>
      </c>
      <c r="T239" s="1">
        <v>0.25736434108527134</v>
      </c>
      <c r="U239" s="1">
        <f t="shared" si="78"/>
        <v>-0.25736434108527134</v>
      </c>
      <c r="V239" s="1" t="str">
        <f t="shared" si="79"/>
        <v>Buy from Grid</v>
      </c>
      <c r="W239" s="1">
        <f t="shared" si="80"/>
        <v>8.3292870406318875E-4</v>
      </c>
      <c r="AA239" s="1" t="str">
        <f t="shared" si="95"/>
        <v>discharge</v>
      </c>
      <c r="AD239" s="1">
        <f t="shared" si="81"/>
        <v>4.2465116279069771E-2</v>
      </c>
      <c r="AF239" s="1">
        <f t="shared" si="83"/>
        <v>78.442254513595941</v>
      </c>
    </row>
    <row r="240" spans="1:32" ht="15">
      <c r="A240" s="1">
        <v>239</v>
      </c>
      <c r="C240" s="1">
        <v>0</v>
      </c>
      <c r="D240" s="1">
        <f t="shared" si="82"/>
        <v>9.615559452057413</v>
      </c>
      <c r="E240" s="1">
        <f t="shared" si="75"/>
        <v>3.8958687036537661E-3</v>
      </c>
      <c r="G240">
        <v>155</v>
      </c>
      <c r="H240" s="1">
        <f t="shared" si="76"/>
        <v>0.50016134236850596</v>
      </c>
      <c r="R240" s="1" t="e">
        <f t="shared" si="77"/>
        <v>#VALUE!</v>
      </c>
      <c r="S240" s="1">
        <f>'Solar Availability and Gener GR'!F240</f>
        <v>0</v>
      </c>
      <c r="T240" s="1">
        <v>0.25736434108527134</v>
      </c>
      <c r="U240" s="1">
        <f t="shared" si="78"/>
        <v>-0.25736434108527134</v>
      </c>
      <c r="V240" s="1" t="str">
        <f t="shared" si="79"/>
        <v>Buy from Grid</v>
      </c>
      <c r="W240" s="1">
        <f t="shared" si="80"/>
        <v>8.922230354051862E-4</v>
      </c>
      <c r="AA240" s="1" t="str">
        <f t="shared" si="95"/>
        <v>discharge</v>
      </c>
      <c r="AD240" s="1">
        <f t="shared" si="81"/>
        <v>3.9891472868217058E-2</v>
      </c>
      <c r="AF240" s="1">
        <f t="shared" si="83"/>
        <v>78.184890172510663</v>
      </c>
    </row>
    <row r="241" spans="1:32" ht="15">
      <c r="A241" s="1">
        <v>240</v>
      </c>
      <c r="C241" s="1">
        <v>0</v>
      </c>
      <c r="D241" s="1">
        <f t="shared" si="82"/>
        <v>9.615559452057413</v>
      </c>
      <c r="E241" s="1">
        <f t="shared" si="75"/>
        <v>2.5421681229073683E-3</v>
      </c>
      <c r="G241">
        <v>228.5</v>
      </c>
      <c r="H241" s="1">
        <f t="shared" si="76"/>
        <v>0.73733462407228134</v>
      </c>
      <c r="R241" s="1" t="e">
        <f t="shared" si="77"/>
        <v>#VALUE!</v>
      </c>
      <c r="S241" s="1">
        <f>'Solar Availability and Gener GR'!F241</f>
        <v>0</v>
      </c>
      <c r="T241" s="1">
        <v>0.19302325581395352</v>
      </c>
      <c r="U241" s="1">
        <f t="shared" si="78"/>
        <v>-0.19302325581395352</v>
      </c>
      <c r="V241" s="1" t="str">
        <f t="shared" si="79"/>
        <v>Buy from Grid</v>
      </c>
      <c r="W241" s="1">
        <f t="shared" si="80"/>
        <v>4.4866887005912527E-4</v>
      </c>
      <c r="AA241" s="1" t="str">
        <f t="shared" si="95"/>
        <v>discharge</v>
      </c>
      <c r="AD241" s="1">
        <f t="shared" si="81"/>
        <v>4.4105813953488379E-2</v>
      </c>
      <c r="AF241" s="1">
        <f t="shared" si="83"/>
        <v>77.991866916696708</v>
      </c>
    </row>
    <row r="242" spans="1:32" ht="15">
      <c r="A242" s="1">
        <v>241</v>
      </c>
      <c r="C242" s="1">
        <v>0</v>
      </c>
      <c r="D242" s="1">
        <f t="shared" si="82"/>
        <v>9.615559452057413</v>
      </c>
      <c r="E242" s="1">
        <f t="shared" si="75"/>
        <v>2.123448230864129E-3</v>
      </c>
      <c r="G242">
        <v>269.12</v>
      </c>
      <c r="H242" s="1">
        <f t="shared" si="76"/>
        <v>0.86840916424653103</v>
      </c>
      <c r="R242" s="1" t="e">
        <f t="shared" si="77"/>
        <v>#VALUE!</v>
      </c>
      <c r="S242" s="1">
        <f>'Solar Availability and Gener GR'!F242</f>
        <v>0</v>
      </c>
      <c r="T242" s="1">
        <v>0.19302325581395352</v>
      </c>
      <c r="U242" s="1">
        <f t="shared" si="78"/>
        <v>-0.19302325581395352</v>
      </c>
      <c r="V242" s="1" t="str">
        <f t="shared" si="79"/>
        <v>Buy from Grid</v>
      </c>
      <c r="W242" s="1">
        <f t="shared" si="80"/>
        <v>3.7476872980425331E-4</v>
      </c>
      <c r="AA242" s="1" t="str">
        <f t="shared" si="95"/>
        <v>discharge</v>
      </c>
      <c r="AD242" s="1">
        <f t="shared" si="81"/>
        <v>5.1946418604651171E-2</v>
      </c>
      <c r="AF242" s="1">
        <f t="shared" si="83"/>
        <v>77.798843660882753</v>
      </c>
    </row>
    <row r="243" spans="1:32" ht="15">
      <c r="A243" s="1">
        <v>242</v>
      </c>
      <c r="C243" s="1">
        <v>0</v>
      </c>
      <c r="D243" s="1">
        <f t="shared" si="82"/>
        <v>9.615559452057413</v>
      </c>
      <c r="E243" s="1">
        <f t="shared" si="75"/>
        <v>2.2926611614464028E-3</v>
      </c>
      <c r="G243">
        <v>251</v>
      </c>
      <c r="H243" s="1">
        <f t="shared" si="76"/>
        <v>0.80993868989996765</v>
      </c>
      <c r="R243" s="1" t="e">
        <f t="shared" si="77"/>
        <v>#VALUE!</v>
      </c>
      <c r="S243" s="1">
        <f>'Solar Availability and Gener GR'!F243</f>
        <v>0</v>
      </c>
      <c r="T243" s="1">
        <v>0.19302325581395352</v>
      </c>
      <c r="U243" s="1">
        <f t="shared" si="78"/>
        <v>-0.19302325581395352</v>
      </c>
      <c r="V243" s="1" t="str">
        <f t="shared" si="79"/>
        <v>Buy from Grid</v>
      </c>
      <c r="W243" s="1">
        <f t="shared" si="80"/>
        <v>4.0463322762389982E-4</v>
      </c>
      <c r="AA243" s="1" t="str">
        <f t="shared" si="95"/>
        <v>discharge</v>
      </c>
      <c r="AD243" s="1">
        <f t="shared" si="81"/>
        <v>4.8448837209302334E-2</v>
      </c>
      <c r="AF243" s="1">
        <f t="shared" si="83"/>
        <v>77.605820405068798</v>
      </c>
    </row>
    <row r="244" spans="1:32" ht="15">
      <c r="A244" s="1">
        <v>243</v>
      </c>
      <c r="C244" s="1">
        <v>0</v>
      </c>
      <c r="D244" s="1">
        <f t="shared" si="82"/>
        <v>9.615559452057413</v>
      </c>
      <c r="E244" s="1">
        <f t="shared" si="75"/>
        <v>2.2926611614464028E-3</v>
      </c>
      <c r="G244">
        <v>251</v>
      </c>
      <c r="H244" s="1">
        <f t="shared" si="76"/>
        <v>0.80993868989996765</v>
      </c>
      <c r="R244" s="1" t="e">
        <f t="shared" si="77"/>
        <v>#VALUE!</v>
      </c>
      <c r="S244" s="1">
        <f>'Solar Availability and Gener GR'!F244</f>
        <v>0</v>
      </c>
      <c r="T244" s="1">
        <v>0.19302325581395352</v>
      </c>
      <c r="U244" s="1">
        <f t="shared" si="78"/>
        <v>-0.19302325581395352</v>
      </c>
      <c r="V244" s="1" t="str">
        <f t="shared" si="79"/>
        <v>Buy from Grid</v>
      </c>
      <c r="W244" s="1">
        <f t="shared" si="80"/>
        <v>4.0463322762389982E-4</v>
      </c>
      <c r="AA244" s="1" t="str">
        <f t="shared" si="95"/>
        <v>discharge</v>
      </c>
      <c r="AD244" s="1">
        <f t="shared" si="81"/>
        <v>4.8448837209302334E-2</v>
      </c>
      <c r="AF244" s="1">
        <f t="shared" si="83"/>
        <v>77.412797149254843</v>
      </c>
    </row>
    <row r="245" spans="1:32" ht="15">
      <c r="A245" s="1">
        <v>244</v>
      </c>
      <c r="C245" s="1">
        <v>0</v>
      </c>
      <c r="D245" s="1">
        <f t="shared" si="82"/>
        <v>9.615559452057413</v>
      </c>
      <c r="E245" s="1">
        <f t="shared" si="75"/>
        <v>4.5743284737661209E-3</v>
      </c>
      <c r="G245">
        <v>133.94999999999999</v>
      </c>
      <c r="H245" s="1">
        <f t="shared" si="76"/>
        <v>0.43223620522749268</v>
      </c>
      <c r="R245" s="1" t="e">
        <f t="shared" si="77"/>
        <v>#VALUE!</v>
      </c>
      <c r="S245" s="1">
        <f>'Solar Availability and Gener GR'!F245</f>
        <v>0</v>
      </c>
      <c r="T245" s="1">
        <v>0.19302325581395352</v>
      </c>
      <c r="U245" s="1">
        <f t="shared" si="78"/>
        <v>-0.19302325581395352</v>
      </c>
      <c r="V245" s="1" t="str">
        <f t="shared" si="79"/>
        <v>Buy from Grid</v>
      </c>
      <c r="W245" s="1">
        <f t="shared" si="80"/>
        <v>8.0732614381803119E-4</v>
      </c>
      <c r="AA245" s="1" t="str">
        <f t="shared" si="95"/>
        <v>discharge</v>
      </c>
      <c r="AD245" s="1">
        <f t="shared" si="81"/>
        <v>2.5855465116279071E-2</v>
      </c>
      <c r="AF245" s="1">
        <f t="shared" si="83"/>
        <v>77.219773893440887</v>
      </c>
    </row>
    <row r="246" spans="1:32" ht="15">
      <c r="A246" s="1">
        <v>245</v>
      </c>
      <c r="C246" s="1">
        <v>0</v>
      </c>
      <c r="D246" s="1">
        <f t="shared" si="82"/>
        <v>9.615559452057413</v>
      </c>
      <c r="E246" s="1">
        <f t="shared" si="75"/>
        <v>2.11084859176641E-3</v>
      </c>
      <c r="G246">
        <v>270.58</v>
      </c>
      <c r="H246" s="1">
        <f t="shared" si="76"/>
        <v>0.8731203614069053</v>
      </c>
      <c r="R246" s="1" t="e">
        <f t="shared" si="77"/>
        <v>#VALUE!</v>
      </c>
      <c r="S246" s="1">
        <f>'Solar Availability and Gener GR'!F246</f>
        <v>0</v>
      </c>
      <c r="T246" s="1">
        <v>0.19302325581395352</v>
      </c>
      <c r="U246" s="1">
        <f t="shared" si="78"/>
        <v>-0.19302325581395352</v>
      </c>
      <c r="V246" s="1" t="str">
        <f t="shared" si="79"/>
        <v>Buy from Grid</v>
      </c>
      <c r="W246" s="1">
        <f t="shared" si="80"/>
        <v>3.7254501148043873E-4</v>
      </c>
      <c r="AA246" s="1" t="str">
        <f t="shared" si="95"/>
        <v>discharge</v>
      </c>
      <c r="AD246" s="1">
        <f t="shared" si="81"/>
        <v>5.2228232558139541E-2</v>
      </c>
      <c r="AF246" s="1">
        <f t="shared" si="83"/>
        <v>77.026750637626932</v>
      </c>
    </row>
    <row r="247" spans="1:32" ht="15">
      <c r="A247" s="1">
        <v>246</v>
      </c>
      <c r="C247" s="1">
        <v>0</v>
      </c>
      <c r="D247" s="1">
        <f t="shared" si="82"/>
        <v>9.615559452057413</v>
      </c>
      <c r="E247" s="1">
        <f t="shared" si="75"/>
        <v>2.1133398859246848E-3</v>
      </c>
      <c r="G247">
        <v>270.29000000000002</v>
      </c>
      <c r="H247" s="1">
        <f t="shared" si="76"/>
        <v>0.87218457566957075</v>
      </c>
      <c r="R247" s="1" t="e">
        <f t="shared" si="77"/>
        <v>#VALUE!</v>
      </c>
      <c r="S247" s="1">
        <f>'Solar Availability and Gener GR'!F247</f>
        <v>0</v>
      </c>
      <c r="T247" s="1">
        <v>0.25736434108527134</v>
      </c>
      <c r="U247" s="1">
        <f t="shared" si="78"/>
        <v>-0.25736434108527134</v>
      </c>
      <c r="V247" s="1" t="str">
        <f t="shared" si="79"/>
        <v>Buy from Grid</v>
      </c>
      <c r="W247" s="1">
        <f t="shared" si="80"/>
        <v>4.8399231886181828E-4</v>
      </c>
      <c r="AA247" s="1" t="str">
        <f t="shared" si="95"/>
        <v>discharge</v>
      </c>
      <c r="AD247" s="1">
        <f t="shared" si="81"/>
        <v>6.9563007751938008E-2</v>
      </c>
      <c r="AF247" s="1">
        <f t="shared" si="83"/>
        <v>76.769386296541654</v>
      </c>
    </row>
    <row r="248" spans="1:32" ht="15">
      <c r="A248" s="1">
        <v>247</v>
      </c>
      <c r="C248" s="1">
        <v>0</v>
      </c>
      <c r="D248" s="1">
        <f t="shared" si="82"/>
        <v>9.615559452057413</v>
      </c>
      <c r="E248" s="1">
        <f t="shared" si="75"/>
        <v>2.1148029111038341E-3</v>
      </c>
      <c r="G248">
        <v>270.12</v>
      </c>
      <c r="H248" s="1">
        <f t="shared" si="76"/>
        <v>0.8716360116166505</v>
      </c>
      <c r="R248" s="1" t="e">
        <f t="shared" si="77"/>
        <v>#VALUE!</v>
      </c>
      <c r="S248" s="1">
        <f>'Solar Availability and Gener GR'!F248</f>
        <v>1.6611768895219918E-2</v>
      </c>
      <c r="T248" s="1">
        <v>0.66914728682170543</v>
      </c>
      <c r="U248" s="1">
        <f t="shared" si="78"/>
        <v>-0.65253551792648556</v>
      </c>
      <c r="V248" s="1" t="str">
        <f t="shared" si="79"/>
        <v>Buy from Grid</v>
      </c>
      <c r="W248" s="1">
        <f t="shared" si="80"/>
        <v>1.0834407897533937E-3</v>
      </c>
      <c r="AA248" s="1" t="str">
        <f t="shared" si="95"/>
        <v>discharge</v>
      </c>
      <c r="AD248" s="1">
        <f t="shared" si="81"/>
        <v>0.18075006511627909</v>
      </c>
      <c r="AF248" s="1">
        <f t="shared" si="83"/>
        <v>76.116850778615174</v>
      </c>
    </row>
    <row r="249" spans="1:32" ht="15">
      <c r="A249" s="1">
        <v>248</v>
      </c>
      <c r="C249" s="1">
        <v>0</v>
      </c>
      <c r="D249" s="1">
        <f t="shared" si="82"/>
        <v>9.615559452057413</v>
      </c>
      <c r="E249" s="1">
        <f t="shared" si="75"/>
        <v>2.0989001049596936E-3</v>
      </c>
      <c r="G249">
        <v>271.98</v>
      </c>
      <c r="H249" s="1">
        <f t="shared" si="76"/>
        <v>0.87763794772507253</v>
      </c>
      <c r="R249" s="1" t="e">
        <f t="shared" si="77"/>
        <v>#VALUE!</v>
      </c>
      <c r="S249" s="1">
        <f>'Solar Availability and Gener GR'!F249</f>
        <v>2.5785631621116648E-2</v>
      </c>
      <c r="T249" s="1">
        <v>0.39891472868217059</v>
      </c>
      <c r="U249" s="1">
        <f t="shared" si="78"/>
        <v>-0.37312909706105396</v>
      </c>
      <c r="V249" s="1" t="str">
        <f t="shared" si="79"/>
        <v>Buy from Grid</v>
      </c>
      <c r="W249" s="1">
        <f t="shared" si="80"/>
        <v>7.0459392744803536E-4</v>
      </c>
      <c r="AA249" s="1" t="str">
        <f t="shared" si="95"/>
        <v>discharge</v>
      </c>
      <c r="AD249" s="1">
        <f t="shared" si="81"/>
        <v>0.10849682790697676</v>
      </c>
      <c r="AF249" s="1">
        <f t="shared" si="83"/>
        <v>75.743721681554121</v>
      </c>
    </row>
    <row r="250" spans="1:32" ht="15">
      <c r="A250" s="1">
        <v>249</v>
      </c>
      <c r="C250" s="1">
        <v>0</v>
      </c>
      <c r="D250" s="1">
        <f t="shared" si="82"/>
        <v>9.615559452057413</v>
      </c>
      <c r="E250" s="1">
        <f t="shared" si="75"/>
        <v>2.0994095336181527E-3</v>
      </c>
      <c r="G250">
        <v>271.92</v>
      </c>
      <c r="H250" s="1">
        <f t="shared" si="76"/>
        <v>0.87744433688286538</v>
      </c>
      <c r="R250" s="1" t="e">
        <f t="shared" si="77"/>
        <v>#VALUE!</v>
      </c>
      <c r="S250" s="1">
        <f>'Solar Availability and Gener GR'!F250</f>
        <v>7.3257366687438957E-2</v>
      </c>
      <c r="T250" s="1">
        <v>0.39891472868217059</v>
      </c>
      <c r="U250" s="1">
        <f t="shared" si="78"/>
        <v>-0.32565736199473161</v>
      </c>
      <c r="V250" s="1" t="str">
        <f t="shared" si="79"/>
        <v>Buy from Grid</v>
      </c>
      <c r="W250" s="1">
        <f t="shared" si="80"/>
        <v>7.0476494098906583E-4</v>
      </c>
      <c r="AA250" s="1" t="str">
        <f t="shared" si="95"/>
        <v>discharge</v>
      </c>
      <c r="AD250" s="1">
        <f t="shared" si="81"/>
        <v>0.10847289302325583</v>
      </c>
      <c r="AF250" s="1">
        <f t="shared" si="83"/>
        <v>75.418064319559392</v>
      </c>
    </row>
    <row r="251" spans="1:32" ht="15">
      <c r="A251" s="1">
        <v>250</v>
      </c>
      <c r="C251" s="1">
        <v>0</v>
      </c>
      <c r="D251" s="1">
        <f t="shared" si="82"/>
        <v>9.615559452057413</v>
      </c>
      <c r="E251" s="1">
        <f t="shared" si="75"/>
        <v>2.2607395018531037E-3</v>
      </c>
      <c r="G251">
        <v>254.22</v>
      </c>
      <c r="H251" s="1">
        <f t="shared" si="76"/>
        <v>0.82032913843175204</v>
      </c>
      <c r="R251" s="1" t="e">
        <f t="shared" si="77"/>
        <v>#VALUE!</v>
      </c>
      <c r="S251" s="1">
        <f>'Solar Availability and Gener GR'!F251</f>
        <v>0.36966527196652443</v>
      </c>
      <c r="T251" s="1">
        <v>0.39891472868217059</v>
      </c>
      <c r="U251" s="1">
        <f t="shared" si="78"/>
        <v>-2.924945671564616E-2</v>
      </c>
      <c r="V251" s="1" t="str">
        <f t="shared" si="79"/>
        <v>Buy from Grid</v>
      </c>
      <c r="W251" s="1">
        <f t="shared" si="80"/>
        <v>7.5892288574552378E-4</v>
      </c>
      <c r="AA251" s="1" t="str">
        <f t="shared" si="95"/>
        <v>discharge</v>
      </c>
      <c r="AD251" s="1">
        <f t="shared" si="81"/>
        <v>0.1014121023255814</v>
      </c>
      <c r="AF251" s="1">
        <f t="shared" si="83"/>
        <v>75.388814862843745</v>
      </c>
    </row>
    <row r="252" spans="1:32" ht="15">
      <c r="A252" s="1">
        <v>251</v>
      </c>
      <c r="B252" s="1">
        <f>U252</f>
        <v>0.39162653366982647</v>
      </c>
      <c r="D252" s="1">
        <f t="shared" si="82"/>
        <v>9.9288606789932743</v>
      </c>
      <c r="E252" s="1">
        <f t="shared" si="75"/>
        <v>3.1746077886813276E-3</v>
      </c>
      <c r="G252">
        <v>186.71</v>
      </c>
      <c r="H252" s="1">
        <f t="shared" si="76"/>
        <v>0.60248467247499193</v>
      </c>
      <c r="R252" s="1" t="e">
        <f t="shared" si="77"/>
        <v>#VALUE!</v>
      </c>
      <c r="S252" s="1">
        <f>'Solar Availability and Gener GR'!F252</f>
        <v>0.79054126235199706</v>
      </c>
      <c r="T252" s="1">
        <v>0.39891472868217059</v>
      </c>
      <c r="U252" s="1">
        <f t="shared" si="78"/>
        <v>0.39162653366982647</v>
      </c>
      <c r="V252" s="1" t="str">
        <f t="shared" si="79"/>
        <v>sell the surplus or charge</v>
      </c>
      <c r="W252" s="1">
        <f t="shared" si="80"/>
        <v>1.065705492437933E-3</v>
      </c>
      <c r="X252" s="1">
        <f t="shared" ref="X252:X257" si="96">(1*(1/(G252+0.01))^1.1)*(LN(S252+1))</f>
        <v>1.8492660380910377E-3</v>
      </c>
      <c r="Y252" s="1">
        <f t="shared" ref="Y252:Y257" si="97">X252/W252</f>
        <v>1.7352505464343748</v>
      </c>
      <c r="Z252" s="1" t="str">
        <f t="shared" ref="Z252:Z257" si="98">IF(Y252&gt;=2,"sell to the Grid","charge")</f>
        <v>charge</v>
      </c>
      <c r="AD252" s="1">
        <f t="shared" si="81"/>
        <v>7.4481368992248081E-2</v>
      </c>
      <c r="AF252" s="1">
        <f t="shared" si="83"/>
        <v>75.780441396513567</v>
      </c>
    </row>
    <row r="253" spans="1:32" ht="15">
      <c r="A253" s="1">
        <v>252</v>
      </c>
      <c r="D253" s="1">
        <f t="shared" si="82"/>
        <v>9.9288606789932743</v>
      </c>
      <c r="E253" s="1">
        <f t="shared" si="75"/>
        <v>3.4212854797006703E-3</v>
      </c>
      <c r="G253">
        <v>174.43</v>
      </c>
      <c r="H253" s="1">
        <f t="shared" si="76"/>
        <v>0.56285898676992574</v>
      </c>
      <c r="R253" s="1" t="e">
        <f t="shared" si="77"/>
        <v>#VALUE!</v>
      </c>
      <c r="S253" s="1">
        <f>'Solar Availability and Gener GR'!F253</f>
        <v>1.3741431496483572</v>
      </c>
      <c r="T253" s="1">
        <v>0.39891472868217059</v>
      </c>
      <c r="U253" s="1">
        <f t="shared" si="78"/>
        <v>0.97522842096618656</v>
      </c>
      <c r="V253" s="1" t="str">
        <f t="shared" si="79"/>
        <v>sell the surplus or charge</v>
      </c>
      <c r="W253" s="1">
        <f t="shared" si="80"/>
        <v>1.1485143896876996E-3</v>
      </c>
      <c r="X253" s="1">
        <f t="shared" si="96"/>
        <v>2.9581686218571501E-3</v>
      </c>
      <c r="Y253" s="1">
        <f t="shared" si="97"/>
        <v>2.5756478529289701</v>
      </c>
      <c r="Z253" s="1" t="str">
        <f t="shared" si="98"/>
        <v>sell to the Grid</v>
      </c>
      <c r="AB253" s="1">
        <f t="shared" ref="AB253:AB256" si="99">(U253*G253)/1000</f>
        <v>0.17010909346913192</v>
      </c>
      <c r="AD253" s="1">
        <f t="shared" si="81"/>
        <v>6.9582696124031021E-2</v>
      </c>
      <c r="AF253" s="1">
        <f t="shared" si="83"/>
        <v>76.755669817479756</v>
      </c>
    </row>
    <row r="254" spans="1:32" ht="15">
      <c r="A254" s="1">
        <v>253</v>
      </c>
      <c r="D254" s="1">
        <f t="shared" si="82"/>
        <v>9.9288606789932743</v>
      </c>
      <c r="E254" s="1">
        <f t="shared" si="75"/>
        <v>3.3572947791483164E-3</v>
      </c>
      <c r="G254">
        <v>177.45</v>
      </c>
      <c r="H254" s="1">
        <f t="shared" si="76"/>
        <v>0.5726040658276863</v>
      </c>
      <c r="R254" s="1" t="e">
        <f t="shared" si="77"/>
        <v>#VALUE!</v>
      </c>
      <c r="S254" s="1">
        <f>'Solar Availability and Gener GR'!F254</f>
        <v>1.5444</v>
      </c>
      <c r="T254" s="1">
        <v>0.39891472868217059</v>
      </c>
      <c r="U254" s="1">
        <f t="shared" si="78"/>
        <v>1.1454852713178294</v>
      </c>
      <c r="V254" s="1" t="str">
        <f t="shared" si="79"/>
        <v>sell the surplus or charge</v>
      </c>
      <c r="W254" s="1">
        <f t="shared" si="80"/>
        <v>1.1270329199808791E-3</v>
      </c>
      <c r="X254" s="1">
        <f t="shared" si="96"/>
        <v>3.1353603572993375E-3</v>
      </c>
      <c r="Y254" s="1">
        <f t="shared" si="97"/>
        <v>2.7819598715470808</v>
      </c>
      <c r="Z254" s="1" t="str">
        <f t="shared" si="98"/>
        <v>sell to the Grid</v>
      </c>
      <c r="AB254" s="1">
        <f t="shared" si="99"/>
        <v>0.20326636139534882</v>
      </c>
      <c r="AD254" s="1">
        <f t="shared" si="81"/>
        <v>7.0787418604651167E-2</v>
      </c>
      <c r="AF254" s="1">
        <f t="shared" si="83"/>
        <v>77.90115508879758</v>
      </c>
    </row>
    <row r="255" spans="1:32" ht="15">
      <c r="A255" s="1">
        <v>254</v>
      </c>
      <c r="D255" s="1">
        <f t="shared" si="82"/>
        <v>9.9288606789932743</v>
      </c>
      <c r="E255" s="1">
        <f t="shared" si="75"/>
        <v>3.3216575288803024E-3</v>
      </c>
      <c r="G255">
        <v>179.18</v>
      </c>
      <c r="H255" s="1">
        <f t="shared" si="76"/>
        <v>0.57818651177799285</v>
      </c>
      <c r="R255" s="1" t="e">
        <f t="shared" si="77"/>
        <v>#VALUE!</v>
      </c>
      <c r="S255" s="1">
        <f>'Solar Availability and Gener GR'!F255</f>
        <v>1.5456423039259319</v>
      </c>
      <c r="T255" s="1">
        <v>0.39891472868217059</v>
      </c>
      <c r="U255" s="1">
        <f t="shared" si="78"/>
        <v>1.1467275752437613</v>
      </c>
      <c r="V255" s="1" t="str">
        <f t="shared" si="79"/>
        <v>sell the surplus or charge</v>
      </c>
      <c r="W255" s="1">
        <f t="shared" si="80"/>
        <v>1.1150696111647737E-3</v>
      </c>
      <c r="X255" s="1">
        <f t="shared" si="96"/>
        <v>3.1037003165542984E-3</v>
      </c>
      <c r="Y255" s="1">
        <f t="shared" si="97"/>
        <v>2.7834139550375254</v>
      </c>
      <c r="Z255" s="1" t="str">
        <f t="shared" si="98"/>
        <v>sell to the Grid</v>
      </c>
      <c r="AB255" s="1">
        <f t="shared" si="99"/>
        <v>0.20547064693217718</v>
      </c>
      <c r="AD255" s="1">
        <f t="shared" si="81"/>
        <v>7.1477541085271323E-2</v>
      </c>
      <c r="AF255" s="1">
        <f t="shared" si="83"/>
        <v>79.047882664041339</v>
      </c>
    </row>
    <row r="256" spans="1:32" ht="15">
      <c r="A256" s="1">
        <v>255</v>
      </c>
      <c r="D256" s="1">
        <f t="shared" si="82"/>
        <v>9.9288606789932743</v>
      </c>
      <c r="E256" s="1">
        <f t="shared" si="75"/>
        <v>2.7750234585449379E-3</v>
      </c>
      <c r="G256">
        <v>211</v>
      </c>
      <c r="H256" s="1">
        <f t="shared" si="76"/>
        <v>0.68086479509519193</v>
      </c>
      <c r="R256" s="1" t="e">
        <f t="shared" si="77"/>
        <v>#VALUE!</v>
      </c>
      <c r="S256" s="1">
        <f>'Solar Availability and Gener GR'!F256</f>
        <v>1.4303347280334719</v>
      </c>
      <c r="T256" s="1">
        <v>0.39891472868217059</v>
      </c>
      <c r="U256" s="1">
        <f t="shared" si="78"/>
        <v>1.0314199993513014</v>
      </c>
      <c r="V256" s="1" t="str">
        <f t="shared" si="79"/>
        <v>sell the surplus or charge</v>
      </c>
      <c r="W256" s="1">
        <f t="shared" si="80"/>
        <v>9.3156633457510654E-4</v>
      </c>
      <c r="X256" s="1">
        <f t="shared" si="96"/>
        <v>2.4643012958457341E-3</v>
      </c>
      <c r="Y256" s="1">
        <f t="shared" si="97"/>
        <v>2.6453309918823096</v>
      </c>
      <c r="Z256" s="1" t="str">
        <f t="shared" si="98"/>
        <v>sell to the Grid</v>
      </c>
      <c r="AB256" s="1">
        <f t="shared" si="99"/>
        <v>0.2176296198631246</v>
      </c>
      <c r="AD256" s="1">
        <f t="shared" si="81"/>
        <v>8.417100775193799E-2</v>
      </c>
      <c r="AF256" s="1">
        <f t="shared" si="83"/>
        <v>80.079302663392639</v>
      </c>
    </row>
    <row r="257" spans="1:32" ht="15">
      <c r="A257" s="1">
        <v>256</v>
      </c>
      <c r="B257" s="1">
        <f>U257</f>
        <v>0.45437715010520408</v>
      </c>
      <c r="D257" s="1">
        <f t="shared" si="82"/>
        <v>10.292362399077437</v>
      </c>
      <c r="E257" s="1">
        <f t="shared" si="75"/>
        <v>2.1204147053407582E-3</v>
      </c>
      <c r="G257">
        <v>269.47000000000003</v>
      </c>
      <c r="H257" s="1">
        <f t="shared" si="76"/>
        <v>0.86953856082607295</v>
      </c>
      <c r="R257" s="1" t="e">
        <f t="shared" si="77"/>
        <v>#VALUE!</v>
      </c>
      <c r="S257" s="1">
        <f>'Solar Availability and Gener GR'!F257</f>
        <v>1.1235244369269095</v>
      </c>
      <c r="T257" s="1">
        <v>0.66914728682170543</v>
      </c>
      <c r="U257" s="1">
        <f t="shared" si="78"/>
        <v>0.45437715010520408</v>
      </c>
      <c r="V257" s="1" t="str">
        <f t="shared" si="79"/>
        <v>sell the surplus or charge</v>
      </c>
      <c r="W257" s="1">
        <f t="shared" si="80"/>
        <v>1.0863157842732438E-3</v>
      </c>
      <c r="X257" s="1">
        <f t="shared" si="96"/>
        <v>1.5968359236719183E-3</v>
      </c>
      <c r="Y257" s="1">
        <f t="shared" si="97"/>
        <v>1.4699555569287963</v>
      </c>
      <c r="Z257" s="1" t="str">
        <f t="shared" si="98"/>
        <v>charge</v>
      </c>
      <c r="AD257" s="1">
        <f t="shared" si="81"/>
        <v>0.18031511937984498</v>
      </c>
      <c r="AF257" s="1">
        <f t="shared" si="83"/>
        <v>80.533679813497841</v>
      </c>
    </row>
    <row r="258" spans="1:32" ht="15">
      <c r="A258" s="1">
        <v>257</v>
      </c>
      <c r="C258" s="1">
        <v>0</v>
      </c>
      <c r="D258" s="1">
        <f t="shared" si="82"/>
        <v>10.292362399077437</v>
      </c>
      <c r="E258" s="1">
        <f t="shared" si="75"/>
        <v>2.1283191412274356E-3</v>
      </c>
      <c r="G258">
        <v>268.56</v>
      </c>
      <c r="H258" s="1">
        <f t="shared" si="76"/>
        <v>0.8666021297192642</v>
      </c>
      <c r="R258" s="1" t="e">
        <f t="shared" si="77"/>
        <v>#VALUE!</v>
      </c>
      <c r="S258" s="1">
        <f>'Solar Availability and Gener GR'!F258</f>
        <v>0.64438707380040716</v>
      </c>
      <c r="T258" s="1">
        <v>0.66914728682170543</v>
      </c>
      <c r="U258" s="1">
        <f t="shared" si="78"/>
        <v>-2.4760213021298272E-2</v>
      </c>
      <c r="V258" s="1" t="str">
        <f t="shared" si="79"/>
        <v>Buy from Grid</v>
      </c>
      <c r="W258" s="1">
        <f t="shared" si="80"/>
        <v>1.0903653286608798E-3</v>
      </c>
      <c r="AA258" s="1" t="str">
        <f t="shared" ref="AA258:AA275" si="100">IF(D258+AF258&gt;0,"discharge","buy from the Grid")</f>
        <v>discharge</v>
      </c>
      <c r="AD258" s="1">
        <f t="shared" si="81"/>
        <v>0.17970619534883722</v>
      </c>
      <c r="AF258" s="1">
        <f t="shared" si="83"/>
        <v>80.508919600476545</v>
      </c>
    </row>
    <row r="259" spans="1:32" ht="15">
      <c r="A259" s="1">
        <v>258</v>
      </c>
      <c r="C259" s="1">
        <v>0</v>
      </c>
      <c r="D259" s="1">
        <f t="shared" si="82"/>
        <v>10.292362399077437</v>
      </c>
      <c r="E259" s="1">
        <f t="shared" ref="E259:E289" si="101">1*(1/(G259+0.01))^1.1</f>
        <v>2.0328676475449754E-3</v>
      </c>
      <c r="G259">
        <v>280</v>
      </c>
      <c r="H259" s="1">
        <f t="shared" ref="H259:H289" si="102">G259/($H$1-$I$1)</f>
        <v>0.90351726363342999</v>
      </c>
      <c r="R259" s="1" t="e">
        <f t="shared" ref="R259:R289" si="103">S259-T259-V259</f>
        <v>#VALUE!</v>
      </c>
      <c r="S259" s="1">
        <f>'Solar Availability and Gener GR'!F259</f>
        <v>0.20354758301433276</v>
      </c>
      <c r="T259" s="1">
        <v>0.66914728682170543</v>
      </c>
      <c r="U259" s="1">
        <f t="shared" ref="U259:U289" si="104">S259-T259</f>
        <v>-0.4655997038073727</v>
      </c>
      <c r="V259" s="1" t="str">
        <f t="shared" ref="V259:V289" si="105">IF(U259&lt;0,"Buy from Grid","sell the surplus or charge")</f>
        <v>Buy from Grid</v>
      </c>
      <c r="W259" s="1">
        <f t="shared" ref="W259:W289" si="106">(1*(1/(G259+0.01))^1.1)*(LN(T259+1))</f>
        <v>1.041464298141451E-3</v>
      </c>
      <c r="AA259" s="1" t="str">
        <f t="shared" si="100"/>
        <v>discharge</v>
      </c>
      <c r="AD259" s="1">
        <f t="shared" ref="AD259:AD289" si="107">(T259*G259)/1000</f>
        <v>0.18736124031007753</v>
      </c>
      <c r="AF259" s="1">
        <f t="shared" si="83"/>
        <v>80.043319896669175</v>
      </c>
    </row>
    <row r="260" spans="1:32" ht="15">
      <c r="A260" s="1">
        <v>259</v>
      </c>
      <c r="C260" s="1">
        <v>0</v>
      </c>
      <c r="D260" s="1">
        <f t="shared" ref="D260:D289" si="108">(D259)+(B260*0.8)-(C260/0.8)</f>
        <v>10.292362399077437</v>
      </c>
      <c r="E260" s="1">
        <f t="shared" si="101"/>
        <v>2.0328676475449754E-3</v>
      </c>
      <c r="G260">
        <v>280</v>
      </c>
      <c r="H260" s="1">
        <f t="shared" si="102"/>
        <v>0.90351726363342999</v>
      </c>
      <c r="R260" s="1" t="e">
        <f t="shared" si="103"/>
        <v>#VALUE!</v>
      </c>
      <c r="S260" s="1">
        <f>'Solar Availability and Gener GR'!F260</f>
        <v>2.1205377014155053E-2</v>
      </c>
      <c r="T260" s="1">
        <v>0.66914728682170543</v>
      </c>
      <c r="U260" s="1">
        <f t="shared" si="104"/>
        <v>-0.6479419098075504</v>
      </c>
      <c r="V260" s="1" t="str">
        <f t="shared" si="105"/>
        <v>Buy from Grid</v>
      </c>
      <c r="W260" s="1">
        <f t="shared" si="106"/>
        <v>1.041464298141451E-3</v>
      </c>
      <c r="AA260" s="1" t="str">
        <f t="shared" si="100"/>
        <v>discharge</v>
      </c>
      <c r="AD260" s="1">
        <f t="shared" si="107"/>
        <v>0.18736124031007753</v>
      </c>
      <c r="AF260" s="1">
        <f t="shared" ref="AF260:AF289" si="109">U260+AF259</f>
        <v>79.395377986861618</v>
      </c>
    </row>
    <row r="261" spans="1:32" ht="15">
      <c r="A261" s="1">
        <v>260</v>
      </c>
      <c r="C261" s="1">
        <v>0</v>
      </c>
      <c r="D261" s="1">
        <f t="shared" si="108"/>
        <v>10.292362399077437</v>
      </c>
      <c r="E261" s="1">
        <f t="shared" si="101"/>
        <v>2.1153197346772878E-3</v>
      </c>
      <c r="G261">
        <v>270.06</v>
      </c>
      <c r="H261" s="1">
        <f t="shared" si="102"/>
        <v>0.87144240077444324</v>
      </c>
      <c r="R261" s="1" t="e">
        <f t="shared" si="103"/>
        <v>#VALUE!</v>
      </c>
      <c r="S261" s="1">
        <f>'Solar Availability and Gener GR'!F261</f>
        <v>0</v>
      </c>
      <c r="T261" s="1">
        <v>0.39891472868217059</v>
      </c>
      <c r="U261" s="1">
        <f t="shared" si="104"/>
        <v>-0.39891472868217059</v>
      </c>
      <c r="V261" s="1" t="str">
        <f t="shared" si="105"/>
        <v>Buy from Grid</v>
      </c>
      <c r="W261" s="1">
        <f t="shared" si="106"/>
        <v>7.10105943652439E-4</v>
      </c>
      <c r="AA261" s="1" t="str">
        <f t="shared" si="100"/>
        <v>discharge</v>
      </c>
      <c r="AD261" s="1">
        <f t="shared" si="107"/>
        <v>0.10773091162790699</v>
      </c>
      <c r="AF261" s="1">
        <f t="shared" si="109"/>
        <v>78.996463258179446</v>
      </c>
    </row>
    <row r="262" spans="1:32" ht="15">
      <c r="A262" s="1">
        <v>261</v>
      </c>
      <c r="C262" s="1">
        <v>0</v>
      </c>
      <c r="D262" s="1">
        <f t="shared" si="108"/>
        <v>10.292362399077437</v>
      </c>
      <c r="E262" s="1">
        <f t="shared" si="101"/>
        <v>2.3429219089950077E-3</v>
      </c>
      <c r="G262">
        <v>246.1</v>
      </c>
      <c r="H262" s="1">
        <f t="shared" si="102"/>
        <v>0.79412713778638255</v>
      </c>
      <c r="R262" s="1" t="e">
        <f t="shared" si="103"/>
        <v>#VALUE!</v>
      </c>
      <c r="S262" s="1">
        <f>'Solar Availability and Gener GR'!F262</f>
        <v>0</v>
      </c>
      <c r="T262" s="1">
        <v>0.39891472868217059</v>
      </c>
      <c r="U262" s="1">
        <f t="shared" si="104"/>
        <v>-0.39891472868217059</v>
      </c>
      <c r="V262" s="1" t="str">
        <f t="shared" si="105"/>
        <v>Buy from Grid</v>
      </c>
      <c r="W262" s="1">
        <f t="shared" si="106"/>
        <v>7.8651125208959978E-4</v>
      </c>
      <c r="AA262" s="1" t="str">
        <f t="shared" si="100"/>
        <v>discharge</v>
      </c>
      <c r="AD262" s="1">
        <f t="shared" si="107"/>
        <v>9.8172914728682184E-2</v>
      </c>
      <c r="AF262" s="1">
        <f t="shared" si="109"/>
        <v>78.597548529497274</v>
      </c>
    </row>
    <row r="263" spans="1:32" ht="15">
      <c r="A263" s="1">
        <v>262</v>
      </c>
      <c r="C263" s="1">
        <v>0</v>
      </c>
      <c r="D263" s="1">
        <f t="shared" si="108"/>
        <v>10.292362399077437</v>
      </c>
      <c r="E263" s="1">
        <f t="shared" si="101"/>
        <v>2.864490919078208E-3</v>
      </c>
      <c r="G263">
        <v>205</v>
      </c>
      <c r="H263" s="1">
        <f t="shared" si="102"/>
        <v>0.66150371087447557</v>
      </c>
      <c r="R263" s="1" t="e">
        <f t="shared" si="103"/>
        <v>#VALUE!</v>
      </c>
      <c r="S263" s="1">
        <f>'Solar Availability and Gener GR'!F263</f>
        <v>0</v>
      </c>
      <c r="T263" s="1">
        <v>0.39891472868217059</v>
      </c>
      <c r="U263" s="1">
        <f t="shared" si="104"/>
        <v>-0.39891472868217059</v>
      </c>
      <c r="V263" s="1" t="str">
        <f t="shared" si="105"/>
        <v>Buy from Grid</v>
      </c>
      <c r="W263" s="1">
        <f t="shared" si="106"/>
        <v>9.6160026960945136E-4</v>
      </c>
      <c r="AA263" s="1" t="str">
        <f t="shared" si="100"/>
        <v>discharge</v>
      </c>
      <c r="AD263" s="1">
        <f t="shared" si="107"/>
        <v>8.1777519379844982E-2</v>
      </c>
      <c r="AF263" s="1">
        <f t="shared" si="109"/>
        <v>78.198633800815102</v>
      </c>
    </row>
    <row r="264" spans="1:32" ht="15">
      <c r="A264" s="1">
        <v>263</v>
      </c>
      <c r="C264" s="1">
        <v>0</v>
      </c>
      <c r="D264" s="1">
        <f t="shared" si="108"/>
        <v>10.292362399077437</v>
      </c>
      <c r="E264" s="1">
        <f t="shared" si="101"/>
        <v>2.1243164747255924E-3</v>
      </c>
      <c r="G264">
        <v>269.02</v>
      </c>
      <c r="H264" s="1">
        <f t="shared" si="102"/>
        <v>0.868086479509519</v>
      </c>
      <c r="R264" s="1" t="e">
        <f t="shared" si="103"/>
        <v>#VALUE!</v>
      </c>
      <c r="S264" s="1">
        <f>'Solar Availability and Gener GR'!F264</f>
        <v>0</v>
      </c>
      <c r="T264" s="1">
        <v>0.2831007751937985</v>
      </c>
      <c r="U264" s="1">
        <f t="shared" si="104"/>
        <v>-0.2831007751937985</v>
      </c>
      <c r="V264" s="1" t="str">
        <f t="shared" si="105"/>
        <v>Buy from Grid</v>
      </c>
      <c r="W264" s="1">
        <f t="shared" si="106"/>
        <v>5.2954882285881496E-4</v>
      </c>
      <c r="AA264" s="1" t="str">
        <f t="shared" si="100"/>
        <v>discharge</v>
      </c>
      <c r="AD264" s="1">
        <f t="shared" si="107"/>
        <v>7.6159770542635674E-2</v>
      </c>
      <c r="AF264" s="1">
        <f t="shared" si="109"/>
        <v>77.915533025621301</v>
      </c>
    </row>
    <row r="265" spans="1:32" ht="15">
      <c r="A265" s="1">
        <v>264</v>
      </c>
      <c r="C265" s="1">
        <v>0</v>
      </c>
      <c r="D265" s="1">
        <f t="shared" si="108"/>
        <v>10.292362399077437</v>
      </c>
      <c r="E265" s="1">
        <f t="shared" si="101"/>
        <v>3.1777901992862605E-3</v>
      </c>
      <c r="G265">
        <v>186.54</v>
      </c>
      <c r="H265" s="1">
        <f t="shared" si="102"/>
        <v>0.60193610842207157</v>
      </c>
      <c r="R265" s="1" t="e">
        <f t="shared" si="103"/>
        <v>#VALUE!</v>
      </c>
      <c r="S265" s="1">
        <f>'Solar Availability and Gener GR'!F265</f>
        <v>0</v>
      </c>
      <c r="T265" s="1">
        <v>0.29596899224806206</v>
      </c>
      <c r="U265" s="1">
        <f t="shared" si="104"/>
        <v>-0.29596899224806206</v>
      </c>
      <c r="V265" s="1" t="str">
        <f t="shared" si="105"/>
        <v>Buy from Grid</v>
      </c>
      <c r="W265" s="1">
        <f t="shared" si="106"/>
        <v>8.2386966667346651E-4</v>
      </c>
      <c r="AA265" s="1" t="str">
        <f t="shared" si="100"/>
        <v>discharge</v>
      </c>
      <c r="AD265" s="1">
        <f t="shared" si="107"/>
        <v>5.5210055813953496E-2</v>
      </c>
      <c r="AF265" s="1">
        <f t="shared" si="109"/>
        <v>77.619564033373237</v>
      </c>
    </row>
    <row r="266" spans="1:32" ht="15">
      <c r="A266" s="1">
        <v>265</v>
      </c>
      <c r="C266" s="1">
        <v>0</v>
      </c>
      <c r="D266" s="1">
        <f t="shared" si="108"/>
        <v>10.292362399077437</v>
      </c>
      <c r="E266" s="1">
        <f t="shared" si="101"/>
        <v>3.7436338095102896E-3</v>
      </c>
      <c r="G266">
        <v>160.72</v>
      </c>
      <c r="H266" s="1">
        <f t="shared" si="102"/>
        <v>0.51861890932558885</v>
      </c>
      <c r="R266" s="1" t="e">
        <f t="shared" si="103"/>
        <v>#VALUE!</v>
      </c>
      <c r="S266" s="1">
        <f>'Solar Availability and Gener GR'!F266</f>
        <v>0</v>
      </c>
      <c r="T266" s="1">
        <v>0.2831007751937985</v>
      </c>
      <c r="U266" s="1">
        <f t="shared" si="104"/>
        <v>-0.2831007751937985</v>
      </c>
      <c r="V266" s="1" t="str">
        <f t="shared" si="105"/>
        <v>Buy from Grid</v>
      </c>
      <c r="W266" s="1">
        <f t="shared" si="106"/>
        <v>9.332116474296588E-4</v>
      </c>
      <c r="AA266" s="1" t="str">
        <f t="shared" si="100"/>
        <v>discharge</v>
      </c>
      <c r="AD266" s="1">
        <f t="shared" si="107"/>
        <v>4.5499956589147295E-2</v>
      </c>
      <c r="AF266" s="1">
        <f t="shared" si="109"/>
        <v>77.336463258179435</v>
      </c>
    </row>
    <row r="267" spans="1:32" ht="15">
      <c r="A267" s="1">
        <v>266</v>
      </c>
      <c r="C267" s="1">
        <v>0</v>
      </c>
      <c r="D267" s="1">
        <f t="shared" si="108"/>
        <v>10.292362399077437</v>
      </c>
      <c r="E267" s="1">
        <f t="shared" si="101"/>
        <v>4.0365753764647645E-3</v>
      </c>
      <c r="G267">
        <v>150.08000000000001</v>
      </c>
      <c r="H267" s="1">
        <f t="shared" si="102"/>
        <v>0.48428525330751854</v>
      </c>
      <c r="R267" s="1" t="e">
        <f t="shared" si="103"/>
        <v>#VALUE!</v>
      </c>
      <c r="S267" s="1">
        <f>'Solar Availability and Gener GR'!F267</f>
        <v>0</v>
      </c>
      <c r="T267" s="1">
        <v>0.19302325581395352</v>
      </c>
      <c r="U267" s="1">
        <f t="shared" si="104"/>
        <v>-0.19302325581395352</v>
      </c>
      <c r="V267" s="1" t="str">
        <f t="shared" si="105"/>
        <v>Buy from Grid</v>
      </c>
      <c r="W267" s="1">
        <f t="shared" si="106"/>
        <v>7.1241775740452334E-4</v>
      </c>
      <c r="AA267" s="1" t="str">
        <f t="shared" si="100"/>
        <v>discharge</v>
      </c>
      <c r="AD267" s="1">
        <f t="shared" si="107"/>
        <v>2.8968930232558147E-2</v>
      </c>
      <c r="AF267" s="1">
        <f t="shared" si="109"/>
        <v>77.14344000236548</v>
      </c>
    </row>
    <row r="268" spans="1:32" ht="15">
      <c r="A268" s="1">
        <v>267</v>
      </c>
      <c r="C268" s="1">
        <v>0</v>
      </c>
      <c r="D268" s="1">
        <f t="shared" si="108"/>
        <v>10.292362399077437</v>
      </c>
      <c r="E268" s="1">
        <f t="shared" si="101"/>
        <v>4.6877571909779581E-3</v>
      </c>
      <c r="G268">
        <v>131</v>
      </c>
      <c r="H268" s="1">
        <f t="shared" si="102"/>
        <v>0.42271700548564051</v>
      </c>
      <c r="R268" s="1" t="e">
        <f t="shared" si="103"/>
        <v>#VALUE!</v>
      </c>
      <c r="S268" s="1">
        <f>'Solar Availability and Gener GR'!F268</f>
        <v>0</v>
      </c>
      <c r="T268" s="1">
        <v>0.19302325581395352</v>
      </c>
      <c r="U268" s="1">
        <f t="shared" si="104"/>
        <v>-0.19302325581395352</v>
      </c>
      <c r="V268" s="1" t="str">
        <f t="shared" si="105"/>
        <v>Buy from Grid</v>
      </c>
      <c r="W268" s="1">
        <f t="shared" si="106"/>
        <v>8.2734525031421689E-4</v>
      </c>
      <c r="AA268" s="1" t="str">
        <f t="shared" si="100"/>
        <v>discharge</v>
      </c>
      <c r="AD268" s="1">
        <f t="shared" si="107"/>
        <v>2.5286046511627913E-2</v>
      </c>
      <c r="AF268" s="1">
        <f t="shared" si="109"/>
        <v>76.950416746551525</v>
      </c>
    </row>
    <row r="269" spans="1:32" ht="15">
      <c r="A269" s="1">
        <v>268</v>
      </c>
      <c r="C269" s="1">
        <v>0</v>
      </c>
      <c r="D269" s="1">
        <f t="shared" si="108"/>
        <v>10.292362399077437</v>
      </c>
      <c r="E269" s="1">
        <f t="shared" si="101"/>
        <v>4.75964170082662E-3</v>
      </c>
      <c r="G269">
        <v>129.19999999999999</v>
      </c>
      <c r="H269" s="1">
        <f t="shared" si="102"/>
        <v>0.41690868021942556</v>
      </c>
      <c r="R269" s="1" t="e">
        <f t="shared" si="103"/>
        <v>#VALUE!</v>
      </c>
      <c r="S269" s="1">
        <f>'Solar Availability and Gener GR'!F269</f>
        <v>0</v>
      </c>
      <c r="T269" s="1">
        <v>0.19302325581395352</v>
      </c>
      <c r="U269" s="1">
        <f t="shared" si="104"/>
        <v>-0.19302325581395352</v>
      </c>
      <c r="V269" s="1" t="str">
        <f t="shared" si="105"/>
        <v>Buy from Grid</v>
      </c>
      <c r="W269" s="1">
        <f t="shared" si="106"/>
        <v>8.4003219321068735E-4</v>
      </c>
      <c r="AA269" s="1" t="str">
        <f t="shared" si="100"/>
        <v>discharge</v>
      </c>
      <c r="AD269" s="1">
        <f t="shared" si="107"/>
        <v>2.493860465116279E-2</v>
      </c>
      <c r="AF269" s="1">
        <f t="shared" si="109"/>
        <v>76.75739349073757</v>
      </c>
    </row>
    <row r="270" spans="1:32" ht="15">
      <c r="A270" s="1">
        <v>269</v>
      </c>
      <c r="C270" s="1">
        <v>0</v>
      </c>
      <c r="D270" s="1">
        <f t="shared" si="108"/>
        <v>10.292362399077437</v>
      </c>
      <c r="E270" s="1">
        <f t="shared" si="101"/>
        <v>4.5912910518729451E-3</v>
      </c>
      <c r="G270">
        <v>133.5</v>
      </c>
      <c r="H270" s="1">
        <f t="shared" si="102"/>
        <v>0.43078412391093895</v>
      </c>
      <c r="R270" s="1" t="e">
        <f t="shared" si="103"/>
        <v>#VALUE!</v>
      </c>
      <c r="S270" s="1">
        <f>'Solar Availability and Gener GR'!F270</f>
        <v>0</v>
      </c>
      <c r="T270" s="1">
        <v>0.19302325581395352</v>
      </c>
      <c r="U270" s="1">
        <f t="shared" si="104"/>
        <v>-0.19302325581395352</v>
      </c>
      <c r="V270" s="1" t="str">
        <f t="shared" si="105"/>
        <v>Buy from Grid</v>
      </c>
      <c r="W270" s="1">
        <f t="shared" si="106"/>
        <v>8.1031988002449999E-4</v>
      </c>
      <c r="AA270" s="1" t="str">
        <f t="shared" si="100"/>
        <v>discharge</v>
      </c>
      <c r="AD270" s="1">
        <f t="shared" si="107"/>
        <v>2.5768604651162798E-2</v>
      </c>
      <c r="AF270" s="1">
        <f t="shared" si="109"/>
        <v>76.564370234923615</v>
      </c>
    </row>
    <row r="271" spans="1:32" ht="15">
      <c r="A271" s="1">
        <v>270</v>
      </c>
      <c r="C271" s="1">
        <v>0</v>
      </c>
      <c r="D271" s="1">
        <f t="shared" si="108"/>
        <v>10.292362399077437</v>
      </c>
      <c r="E271" s="1">
        <f t="shared" si="101"/>
        <v>3.6905588484456627E-3</v>
      </c>
      <c r="G271">
        <v>162.82</v>
      </c>
      <c r="H271" s="1">
        <f t="shared" si="102"/>
        <v>0.52539528880283959</v>
      </c>
      <c r="R271" s="1" t="e">
        <f t="shared" si="103"/>
        <v>#VALUE!</v>
      </c>
      <c r="S271" s="1">
        <f>'Solar Availability and Gener GR'!F271</f>
        <v>0</v>
      </c>
      <c r="T271" s="1">
        <v>0.64341085271317833</v>
      </c>
      <c r="U271" s="1">
        <f t="shared" si="104"/>
        <v>-0.64341085271317833</v>
      </c>
      <c r="V271" s="1" t="str">
        <f t="shared" si="105"/>
        <v>Buy from Grid</v>
      </c>
      <c r="W271" s="1">
        <f t="shared" si="106"/>
        <v>1.8333732027504249E-3</v>
      </c>
      <c r="AA271" s="1" t="str">
        <f t="shared" si="100"/>
        <v>discharge</v>
      </c>
      <c r="AD271" s="1">
        <f t="shared" si="107"/>
        <v>0.1047601550387597</v>
      </c>
      <c r="AF271" s="1">
        <f t="shared" si="109"/>
        <v>75.920959382210441</v>
      </c>
    </row>
    <row r="272" spans="1:32" ht="15">
      <c r="A272" s="1">
        <v>271</v>
      </c>
      <c r="C272" s="1">
        <v>0</v>
      </c>
      <c r="D272" s="1">
        <f t="shared" si="108"/>
        <v>10.292362399077437</v>
      </c>
      <c r="E272" s="1">
        <f t="shared" si="101"/>
        <v>1.6799524802784736E-3</v>
      </c>
      <c r="G272">
        <v>333</v>
      </c>
      <c r="H272" s="1">
        <f t="shared" si="102"/>
        <v>1.0745401742497578</v>
      </c>
      <c r="R272" s="1" t="e">
        <f t="shared" si="103"/>
        <v>#VALUE!</v>
      </c>
      <c r="S272" s="1">
        <f>'Solar Availability and Gener GR'!F272</f>
        <v>3.5999999999999997E-2</v>
      </c>
      <c r="T272" s="1">
        <v>0.64341085271317833</v>
      </c>
      <c r="U272" s="1">
        <f t="shared" si="104"/>
        <v>-0.6074108527131783</v>
      </c>
      <c r="V272" s="1" t="str">
        <f t="shared" si="105"/>
        <v>Buy from Grid</v>
      </c>
      <c r="W272" s="1">
        <f t="shared" si="106"/>
        <v>8.3455649556539305E-4</v>
      </c>
      <c r="AA272" s="1" t="str">
        <f t="shared" si="100"/>
        <v>discharge</v>
      </c>
      <c r="AD272" s="1">
        <f t="shared" si="107"/>
        <v>0.21425581395348836</v>
      </c>
      <c r="AF272" s="1">
        <f t="shared" si="109"/>
        <v>75.313548529497268</v>
      </c>
    </row>
    <row r="273" spans="1:32" ht="15">
      <c r="A273" s="1">
        <v>272</v>
      </c>
      <c r="C273" s="1">
        <v>0</v>
      </c>
      <c r="D273" s="1">
        <f t="shared" si="108"/>
        <v>10.292362399077437</v>
      </c>
      <c r="E273" s="1">
        <f t="shared" si="101"/>
        <v>1.6799524802784736E-3</v>
      </c>
      <c r="G273">
        <v>333</v>
      </c>
      <c r="H273" s="1">
        <f t="shared" si="102"/>
        <v>1.0745401742497578</v>
      </c>
      <c r="R273" s="1" t="e">
        <f t="shared" si="103"/>
        <v>#VALUE!</v>
      </c>
      <c r="S273" s="1">
        <f>'Solar Availability and Gener GR'!F273</f>
        <v>7.1999999999999995E-2</v>
      </c>
      <c r="T273" s="1">
        <v>0.38604651162790704</v>
      </c>
      <c r="U273" s="1">
        <f t="shared" si="104"/>
        <v>-0.31404651162790703</v>
      </c>
      <c r="V273" s="1" t="str">
        <f t="shared" si="105"/>
        <v>Buy from Grid</v>
      </c>
      <c r="W273" s="1">
        <f t="shared" si="106"/>
        <v>5.4842965700213316E-4</v>
      </c>
      <c r="AA273" s="1" t="str">
        <f t="shared" si="100"/>
        <v>discharge</v>
      </c>
      <c r="AD273" s="1">
        <f t="shared" si="107"/>
        <v>0.12855348837209304</v>
      </c>
      <c r="AF273" s="1">
        <f t="shared" si="109"/>
        <v>74.999502017869361</v>
      </c>
    </row>
    <row r="274" spans="1:32" ht="15">
      <c r="A274" s="1">
        <v>273</v>
      </c>
      <c r="C274" s="1">
        <v>0</v>
      </c>
      <c r="D274" s="1">
        <f t="shared" si="108"/>
        <v>10.292362399077437</v>
      </c>
      <c r="E274" s="1">
        <f t="shared" si="101"/>
        <v>2.6046655882251044E-3</v>
      </c>
      <c r="G274">
        <v>223.51</v>
      </c>
      <c r="H274" s="1">
        <f t="shared" si="102"/>
        <v>0.72123265569538553</v>
      </c>
      <c r="R274" s="1" t="e">
        <f t="shared" si="103"/>
        <v>#VALUE!</v>
      </c>
      <c r="S274" s="1">
        <f>'Solar Availability and Gener GR'!F274</f>
        <v>0.108</v>
      </c>
      <c r="T274" s="1">
        <v>0.38604651162790704</v>
      </c>
      <c r="U274" s="1">
        <f t="shared" si="104"/>
        <v>-0.27804651162790706</v>
      </c>
      <c r="V274" s="1" t="str">
        <f t="shared" si="105"/>
        <v>Buy from Grid</v>
      </c>
      <c r="W274" s="1">
        <f t="shared" si="106"/>
        <v>8.5030729852475669E-4</v>
      </c>
      <c r="AA274" s="1" t="str">
        <f t="shared" si="100"/>
        <v>discharge</v>
      </c>
      <c r="AD274" s="1">
        <f t="shared" si="107"/>
        <v>8.6285255813953493E-2</v>
      </c>
      <c r="AF274" s="1">
        <f t="shared" si="109"/>
        <v>74.721455506241455</v>
      </c>
    </row>
    <row r="275" spans="1:32" ht="15">
      <c r="A275" s="1">
        <v>274</v>
      </c>
      <c r="C275" s="1">
        <v>0</v>
      </c>
      <c r="D275" s="1">
        <f t="shared" si="108"/>
        <v>10.292362399077437</v>
      </c>
      <c r="E275" s="1">
        <f t="shared" si="101"/>
        <v>2.8196762026419455E-3</v>
      </c>
      <c r="G275">
        <v>207.96</v>
      </c>
      <c r="H275" s="1">
        <f t="shared" si="102"/>
        <v>0.67105517909002899</v>
      </c>
      <c r="R275" s="1" t="e">
        <f t="shared" si="103"/>
        <v>#VALUE!</v>
      </c>
      <c r="S275" s="1">
        <f>'Solar Availability and Gener GR'!F275</f>
        <v>0.17817591026439972</v>
      </c>
      <c r="T275" s="1">
        <v>0.38604651162790704</v>
      </c>
      <c r="U275" s="1">
        <f t="shared" si="104"/>
        <v>-0.20787060136350732</v>
      </c>
      <c r="V275" s="1" t="str">
        <f t="shared" si="105"/>
        <v>Buy from Grid</v>
      </c>
      <c r="W275" s="1">
        <f t="shared" si="106"/>
        <v>9.2049868721028635E-4</v>
      </c>
      <c r="AA275" s="1" t="str">
        <f t="shared" si="100"/>
        <v>discharge</v>
      </c>
      <c r="AD275" s="1">
        <f t="shared" si="107"/>
        <v>8.0282232558139557E-2</v>
      </c>
      <c r="AF275" s="1">
        <f t="shared" si="109"/>
        <v>74.513584904877945</v>
      </c>
    </row>
    <row r="276" spans="1:32" ht="15">
      <c r="A276" s="1">
        <v>275</v>
      </c>
      <c r="B276" s="1">
        <f>U276</f>
        <v>0.22256650359509378</v>
      </c>
      <c r="D276" s="1">
        <f t="shared" si="108"/>
        <v>10.470415601953512</v>
      </c>
      <c r="E276" s="1">
        <f t="shared" si="101"/>
        <v>3.0252828010276364E-3</v>
      </c>
      <c r="G276">
        <v>195.07</v>
      </c>
      <c r="H276" s="1">
        <f t="shared" si="102"/>
        <v>0.62946111648919001</v>
      </c>
      <c r="R276" s="1" t="e">
        <f t="shared" si="103"/>
        <v>#VALUE!</v>
      </c>
      <c r="S276" s="1">
        <f>'Solar Availability and Gener GR'!F276</f>
        <v>0.60861301522300082</v>
      </c>
      <c r="T276" s="1">
        <v>0.38604651162790704</v>
      </c>
      <c r="U276" s="1">
        <f t="shared" si="104"/>
        <v>0.22256650359509378</v>
      </c>
      <c r="V276" s="1" t="str">
        <f t="shared" si="105"/>
        <v>sell the surplus or charge</v>
      </c>
      <c r="W276" s="1">
        <f t="shared" si="106"/>
        <v>9.8762008353177528E-4</v>
      </c>
      <c r="X276" s="1">
        <f t="shared" ref="X276:X281" si="110">(1*(1/(G276+0.01))^1.1)*(LN(S276+1))</f>
        <v>1.4381357233850883E-3</v>
      </c>
      <c r="Y276" s="1">
        <f t="shared" ref="Y276:Y281" si="111">X276/W276</f>
        <v>1.456162898431802</v>
      </c>
      <c r="Z276" s="1" t="str">
        <f t="shared" ref="Z276:Z281" si="112">IF(Y276&gt;=2,"sell to the Grid","charge")</f>
        <v>charge</v>
      </c>
      <c r="AD276" s="1">
        <f t="shared" si="107"/>
        <v>7.5306093023255832E-2</v>
      </c>
      <c r="AF276" s="1">
        <f t="shared" si="109"/>
        <v>74.736151408473035</v>
      </c>
    </row>
    <row r="277" spans="1:32" ht="15">
      <c r="A277" s="1">
        <v>276</v>
      </c>
      <c r="D277" s="1">
        <f t="shared" si="108"/>
        <v>10.470415601953512</v>
      </c>
      <c r="E277" s="1">
        <f t="shared" si="101"/>
        <v>3.2795565070025436E-3</v>
      </c>
      <c r="G277">
        <v>181.27</v>
      </c>
      <c r="H277" s="1">
        <f t="shared" si="102"/>
        <v>0.5849306227815424</v>
      </c>
      <c r="R277" s="1" t="e">
        <f t="shared" si="103"/>
        <v>#VALUE!</v>
      </c>
      <c r="S277" s="1">
        <f>'Solar Availability and Gener GR'!F277</f>
        <v>1.0103000089023395</v>
      </c>
      <c r="T277" s="1">
        <v>0.38604651162790704</v>
      </c>
      <c r="U277" s="1">
        <f t="shared" si="104"/>
        <v>0.62425349727443247</v>
      </c>
      <c r="V277" s="1" t="str">
        <f t="shared" si="105"/>
        <v>sell the surplus or charge</v>
      </c>
      <c r="W277" s="1">
        <f t="shared" si="106"/>
        <v>1.0706291227692208E-3</v>
      </c>
      <c r="X277" s="1">
        <f t="shared" si="110"/>
        <v>2.2900617345760236E-3</v>
      </c>
      <c r="Y277" s="1">
        <f t="shared" si="111"/>
        <v>2.1389869618460371</v>
      </c>
      <c r="Z277" s="1" t="str">
        <f t="shared" si="112"/>
        <v>sell to the Grid</v>
      </c>
      <c r="AB277" s="1">
        <f t="shared" ref="AB277:AB280" si="113">(U277*G277)/1000</f>
        <v>0.11315843145093638</v>
      </c>
      <c r="AD277" s="1">
        <f t="shared" si="107"/>
        <v>6.9978651162790714E-2</v>
      </c>
      <c r="AF277" s="1">
        <f t="shared" si="109"/>
        <v>75.360404905747473</v>
      </c>
    </row>
    <row r="278" spans="1:32" ht="15">
      <c r="A278" s="1">
        <v>277</v>
      </c>
      <c r="D278" s="1">
        <f t="shared" si="108"/>
        <v>10.470415601953512</v>
      </c>
      <c r="E278" s="1">
        <f t="shared" si="101"/>
        <v>3.4103162819083773E-3</v>
      </c>
      <c r="G278">
        <v>174.94</v>
      </c>
      <c r="H278" s="1">
        <f t="shared" si="102"/>
        <v>0.56450467892868661</v>
      </c>
      <c r="R278" s="1" t="e">
        <f t="shared" si="103"/>
        <v>#VALUE!</v>
      </c>
      <c r="S278" s="1">
        <f>'Solar Availability and Gener GR'!F278</f>
        <v>1.2588222202439221</v>
      </c>
      <c r="T278" s="1">
        <v>0.38604651162790704</v>
      </c>
      <c r="U278" s="1">
        <f t="shared" si="104"/>
        <v>0.87277570861601506</v>
      </c>
      <c r="V278" s="1" t="str">
        <f t="shared" si="105"/>
        <v>sell the surplus or charge</v>
      </c>
      <c r="W278" s="1">
        <f t="shared" si="106"/>
        <v>1.113316365023475E-3</v>
      </c>
      <c r="X278" s="1">
        <f t="shared" si="110"/>
        <v>2.7788741778846235E-3</v>
      </c>
      <c r="Y278" s="1">
        <f t="shared" si="111"/>
        <v>2.4960328125833566</v>
      </c>
      <c r="Z278" s="1" t="str">
        <f t="shared" si="112"/>
        <v>sell to the Grid</v>
      </c>
      <c r="AB278" s="1">
        <f t="shared" si="113"/>
        <v>0.15268338246528565</v>
      </c>
      <c r="AD278" s="1">
        <f t="shared" si="107"/>
        <v>6.7534976744186057E-2</v>
      </c>
      <c r="AF278" s="1">
        <f t="shared" si="109"/>
        <v>76.233180614363491</v>
      </c>
    </row>
    <row r="279" spans="1:32" ht="15">
      <c r="A279" s="1">
        <v>278</v>
      </c>
      <c r="D279" s="1">
        <f t="shared" si="108"/>
        <v>10.470415601953512</v>
      </c>
      <c r="E279" s="1">
        <f t="shared" si="101"/>
        <v>3.1438493591037868E-3</v>
      </c>
      <c r="G279">
        <v>188.37</v>
      </c>
      <c r="H279" s="1">
        <f t="shared" si="102"/>
        <v>0.60784123910939003</v>
      </c>
      <c r="R279" s="1" t="e">
        <f t="shared" si="103"/>
        <v>#VALUE!</v>
      </c>
      <c r="S279" s="1">
        <f>'Solar Availability and Gener GR'!F279</f>
        <v>1.2775571975429532</v>
      </c>
      <c r="T279" s="1">
        <v>0.38604651162790704</v>
      </c>
      <c r="U279" s="1">
        <f t="shared" si="104"/>
        <v>0.89151068591504612</v>
      </c>
      <c r="V279" s="1" t="str">
        <f t="shared" si="105"/>
        <v>sell the surplus or charge</v>
      </c>
      <c r="W279" s="1">
        <f t="shared" si="106"/>
        <v>1.0263267835967963E-3</v>
      </c>
      <c r="X279" s="1">
        <f t="shared" si="110"/>
        <v>2.5877132978220038E-3</v>
      </c>
      <c r="Y279" s="1">
        <f t="shared" si="111"/>
        <v>2.5213346657029416</v>
      </c>
      <c r="Z279" s="1" t="str">
        <f t="shared" si="112"/>
        <v>sell to the Grid</v>
      </c>
      <c r="AB279" s="1">
        <f t="shared" si="113"/>
        <v>0.16793386790581724</v>
      </c>
      <c r="AD279" s="1">
        <f t="shared" si="107"/>
        <v>7.2719581395348856E-2</v>
      </c>
      <c r="AF279" s="1">
        <f t="shared" si="109"/>
        <v>77.124691300278542</v>
      </c>
    </row>
    <row r="280" spans="1:32" ht="15">
      <c r="A280" s="1">
        <v>279</v>
      </c>
      <c r="D280" s="1">
        <f t="shared" si="108"/>
        <v>10.470415601953512</v>
      </c>
      <c r="E280" s="1">
        <f t="shared" si="101"/>
        <v>2.8422177441090727E-3</v>
      </c>
      <c r="G280">
        <v>206.46</v>
      </c>
      <c r="H280" s="1">
        <f t="shared" si="102"/>
        <v>0.66621490803484995</v>
      </c>
      <c r="R280" s="1" t="e">
        <f t="shared" si="103"/>
        <v>#VALUE!</v>
      </c>
      <c r="S280" s="1">
        <f>'Solar Availability and Gener GR'!F280</f>
        <v>1.1909730259058111</v>
      </c>
      <c r="T280" s="1">
        <v>0.38604651162790704</v>
      </c>
      <c r="U280" s="1">
        <f t="shared" si="104"/>
        <v>0.80492651427790407</v>
      </c>
      <c r="V280" s="1" t="str">
        <f t="shared" si="105"/>
        <v>sell the surplus or charge</v>
      </c>
      <c r="W280" s="1">
        <f t="shared" si="106"/>
        <v>9.2785749646247825E-4</v>
      </c>
      <c r="X280" s="1">
        <f>(1*(1/(G280+0.01))^1.1)*(LN(S280+1))</f>
        <v>2.2292814059529185E-3</v>
      </c>
      <c r="Y280" s="1">
        <f t="shared" si="111"/>
        <v>2.4026118390509428</v>
      </c>
      <c r="Z280" s="1" t="str">
        <f t="shared" si="112"/>
        <v>sell to the Grid</v>
      </c>
      <c r="AB280" s="1">
        <f t="shared" si="113"/>
        <v>0.16618512813781611</v>
      </c>
      <c r="AD280" s="1">
        <f t="shared" si="107"/>
        <v>7.9703162790697696E-2</v>
      </c>
      <c r="AF280" s="1">
        <f t="shared" si="109"/>
        <v>77.929617814556451</v>
      </c>
    </row>
    <row r="281" spans="1:32" ht="15">
      <c r="A281" s="1">
        <v>280</v>
      </c>
      <c r="B281" s="1">
        <f>U281</f>
        <v>0.27904975442649804</v>
      </c>
      <c r="D281" s="1">
        <f t="shared" si="108"/>
        <v>10.693655405494709</v>
      </c>
      <c r="E281" s="1">
        <f t="shared" si="101"/>
        <v>2.0986454791178059E-3</v>
      </c>
      <c r="G281">
        <v>272.01</v>
      </c>
      <c r="H281" s="1">
        <f t="shared" si="102"/>
        <v>0.87773475314617611</v>
      </c>
      <c r="R281" s="1" t="e">
        <f t="shared" si="103"/>
        <v>#VALUE!</v>
      </c>
      <c r="S281" s="1">
        <f>'Solar Availability and Gener GR'!F281</f>
        <v>0.92246060713967637</v>
      </c>
      <c r="T281" s="1">
        <v>0.64341085271317833</v>
      </c>
      <c r="U281" s="1">
        <f t="shared" si="104"/>
        <v>0.27904975442649804</v>
      </c>
      <c r="V281" s="1" t="str">
        <f t="shared" si="105"/>
        <v>sell the surplus or charge</v>
      </c>
      <c r="W281" s="1">
        <f t="shared" si="106"/>
        <v>1.0425522370706511E-3</v>
      </c>
      <c r="X281" s="1">
        <f t="shared" si="110"/>
        <v>1.3716871337985006E-3</v>
      </c>
      <c r="Y281" s="1">
        <f t="shared" si="111"/>
        <v>1.315701108323021</v>
      </c>
      <c r="Z281" s="1" t="str">
        <f t="shared" si="112"/>
        <v>charge</v>
      </c>
      <c r="AD281" s="1">
        <f t="shared" si="107"/>
        <v>0.17501418604651164</v>
      </c>
      <c r="AF281" s="1">
        <f t="shared" si="109"/>
        <v>78.208667568982946</v>
      </c>
    </row>
    <row r="282" spans="1:32" ht="15">
      <c r="A282" s="1">
        <v>281</v>
      </c>
      <c r="C282" s="1">
        <v>0</v>
      </c>
      <c r="D282" s="1">
        <f t="shared" si="108"/>
        <v>10.693655405494709</v>
      </c>
      <c r="E282" s="1">
        <f t="shared" si="101"/>
        <v>1.9052493452067368E-3</v>
      </c>
      <c r="G282">
        <v>297</v>
      </c>
      <c r="H282" s="1">
        <f t="shared" si="102"/>
        <v>0.95837366892545972</v>
      </c>
      <c r="R282" s="1" t="e">
        <f t="shared" si="103"/>
        <v>#VALUE!</v>
      </c>
      <c r="S282" s="1">
        <f>'Solar Availability and Gener GR'!F282</f>
        <v>0.54864239294934358</v>
      </c>
      <c r="T282" s="1">
        <v>0.64341085271317833</v>
      </c>
      <c r="U282" s="1">
        <f t="shared" si="104"/>
        <v>-9.4768459763834745E-2</v>
      </c>
      <c r="V282" s="1" t="str">
        <f t="shared" si="105"/>
        <v>Buy from Grid</v>
      </c>
      <c r="W282" s="1">
        <f t="shared" si="106"/>
        <v>9.4647809112459241E-4</v>
      </c>
      <c r="AA282" s="1" t="str">
        <f t="shared" ref="AA282:AA289" si="114">IF(D282+AF282&gt;0,"discharge","buy from the Grid")</f>
        <v>discharge</v>
      </c>
      <c r="AD282" s="1">
        <f t="shared" si="107"/>
        <v>0.19109302325581395</v>
      </c>
      <c r="AF282" s="1">
        <f t="shared" si="109"/>
        <v>78.113899109219105</v>
      </c>
    </row>
    <row r="283" spans="1:32" ht="15">
      <c r="A283" s="1">
        <v>282</v>
      </c>
      <c r="C283" s="1">
        <v>0</v>
      </c>
      <c r="D283" s="1">
        <f t="shared" si="108"/>
        <v>10.693655405494709</v>
      </c>
      <c r="E283" s="1">
        <f t="shared" si="101"/>
        <v>1.9913670042460449E-3</v>
      </c>
      <c r="G283">
        <v>285.3</v>
      </c>
      <c r="H283" s="1">
        <f t="shared" si="102"/>
        <v>0.92061955469506285</v>
      </c>
      <c r="R283" s="1" t="e">
        <f t="shared" si="103"/>
        <v>#VALUE!</v>
      </c>
      <c r="S283" s="1">
        <f>'Solar Availability and Gener GR'!F283</f>
        <v>0.13652630641858823</v>
      </c>
      <c r="T283" s="1">
        <v>0.64341085271317833</v>
      </c>
      <c r="U283" s="1">
        <f t="shared" si="104"/>
        <v>-0.50688454629459012</v>
      </c>
      <c r="V283" s="1" t="str">
        <f t="shared" si="105"/>
        <v>Buy from Grid</v>
      </c>
      <c r="W283" s="1">
        <f t="shared" si="106"/>
        <v>9.8925909390761577E-4</v>
      </c>
      <c r="AA283" s="1" t="str">
        <f t="shared" si="114"/>
        <v>discharge</v>
      </c>
      <c r="AD283" s="1">
        <f t="shared" si="107"/>
        <v>0.1835651162790698</v>
      </c>
      <c r="AF283" s="1">
        <f t="shared" si="109"/>
        <v>77.607014562924519</v>
      </c>
    </row>
    <row r="284" spans="1:32" ht="15">
      <c r="A284" s="1">
        <v>283</v>
      </c>
      <c r="C284" s="1">
        <v>0</v>
      </c>
      <c r="D284" s="1">
        <f t="shared" si="108"/>
        <v>10.693655405494709</v>
      </c>
      <c r="E284" s="1">
        <f t="shared" si="101"/>
        <v>2.229084290887889E-3</v>
      </c>
      <c r="G284">
        <v>257.5</v>
      </c>
      <c r="H284" s="1">
        <f t="shared" si="102"/>
        <v>0.83091319780574369</v>
      </c>
      <c r="R284" s="1" t="e">
        <f t="shared" si="103"/>
        <v>#VALUE!</v>
      </c>
      <c r="S284" s="1">
        <f>'Solar Availability and Gener GR'!F284</f>
        <v>0</v>
      </c>
      <c r="T284" s="1">
        <v>0.64341085271317833</v>
      </c>
      <c r="U284" s="1">
        <f t="shared" si="104"/>
        <v>-0.64341085271317833</v>
      </c>
      <c r="V284" s="1" t="str">
        <f t="shared" si="105"/>
        <v>Buy from Grid</v>
      </c>
      <c r="W284" s="1">
        <f t="shared" si="106"/>
        <v>1.1073508304323572E-3</v>
      </c>
      <c r="AA284" s="1" t="str">
        <f t="shared" si="114"/>
        <v>discharge</v>
      </c>
      <c r="AD284" s="1">
        <f t="shared" si="107"/>
        <v>0.16567829457364341</v>
      </c>
      <c r="AF284" s="1">
        <f t="shared" si="109"/>
        <v>76.963603710211345</v>
      </c>
    </row>
    <row r="285" spans="1:32" ht="15">
      <c r="A285" s="1">
        <v>284</v>
      </c>
      <c r="C285" s="1">
        <v>0</v>
      </c>
      <c r="D285" s="1">
        <f t="shared" si="108"/>
        <v>10.693655405494709</v>
      </c>
      <c r="E285" s="1">
        <f t="shared" si="101"/>
        <v>2.0514764331967797E-3</v>
      </c>
      <c r="G285">
        <v>277.69</v>
      </c>
      <c r="H285" s="1">
        <f t="shared" si="102"/>
        <v>0.89606324620845423</v>
      </c>
      <c r="R285" s="1" t="e">
        <f t="shared" si="103"/>
        <v>#VALUE!</v>
      </c>
      <c r="S285" s="1">
        <f>'Solar Availability and Gener GR'!F285</f>
        <v>0</v>
      </c>
      <c r="T285" s="1">
        <v>0.64341085271317833</v>
      </c>
      <c r="U285" s="1">
        <f t="shared" si="104"/>
        <v>-0.64341085271317833</v>
      </c>
      <c r="V285" s="1" t="str">
        <f t="shared" si="105"/>
        <v>Buy from Grid</v>
      </c>
      <c r="W285" s="1">
        <f t="shared" si="106"/>
        <v>1.0191198875696167E-3</v>
      </c>
      <c r="AA285" s="1" t="str">
        <f t="shared" si="114"/>
        <v>discharge</v>
      </c>
      <c r="AD285" s="1">
        <f t="shared" si="107"/>
        <v>0.17866875968992249</v>
      </c>
      <c r="AF285" s="1">
        <f t="shared" si="109"/>
        <v>76.320192857498171</v>
      </c>
    </row>
    <row r="286" spans="1:32" ht="15">
      <c r="A286" s="1">
        <v>285</v>
      </c>
      <c r="C286" s="1">
        <v>0</v>
      </c>
      <c r="D286" s="1">
        <f t="shared" si="108"/>
        <v>10.693655405494709</v>
      </c>
      <c r="E286" s="1">
        <f t="shared" si="101"/>
        <v>2.1223205261709168E-3</v>
      </c>
      <c r="G286">
        <v>269.25</v>
      </c>
      <c r="H286" s="1">
        <f t="shared" si="102"/>
        <v>0.86882865440464652</v>
      </c>
      <c r="R286" s="1" t="e">
        <f t="shared" si="103"/>
        <v>#VALUE!</v>
      </c>
      <c r="S286" s="1">
        <f>'Solar Availability and Gener GR'!F286</f>
        <v>0</v>
      </c>
      <c r="T286" s="1">
        <v>0.64341085271317833</v>
      </c>
      <c r="U286" s="1">
        <f t="shared" si="104"/>
        <v>-0.64341085271317833</v>
      </c>
      <c r="V286" s="1" t="str">
        <f t="shared" si="105"/>
        <v>Buy from Grid</v>
      </c>
      <c r="W286" s="1">
        <f t="shared" si="106"/>
        <v>1.0543133818250044E-3</v>
      </c>
      <c r="AA286" s="1" t="str">
        <f t="shared" si="114"/>
        <v>discharge</v>
      </c>
      <c r="AD286" s="1">
        <f t="shared" si="107"/>
        <v>0.17323837209302326</v>
      </c>
      <c r="AF286" s="1">
        <f t="shared" si="109"/>
        <v>75.676782004784997</v>
      </c>
    </row>
    <row r="287" spans="1:32" ht="15">
      <c r="A287" s="1">
        <v>286</v>
      </c>
      <c r="C287" s="1">
        <v>0</v>
      </c>
      <c r="D287" s="1">
        <f t="shared" si="108"/>
        <v>10.693655405494709</v>
      </c>
      <c r="E287" s="1">
        <f t="shared" si="101"/>
        <v>3.2773688764670961E-3</v>
      </c>
      <c r="G287">
        <v>181.38</v>
      </c>
      <c r="H287" s="1">
        <f t="shared" si="102"/>
        <v>0.5852855759922555</v>
      </c>
      <c r="R287" s="1" t="e">
        <f t="shared" si="103"/>
        <v>#VALUE!</v>
      </c>
      <c r="S287" s="1">
        <f>'Solar Availability and Gener GR'!F287</f>
        <v>0</v>
      </c>
      <c r="T287" s="1">
        <v>0.64341085271317833</v>
      </c>
      <c r="U287" s="1">
        <f t="shared" si="104"/>
        <v>-0.64341085271317833</v>
      </c>
      <c r="V287" s="1" t="str">
        <f t="shared" si="105"/>
        <v>Buy from Grid</v>
      </c>
      <c r="W287" s="1">
        <f t="shared" si="106"/>
        <v>1.6281112211972112E-3</v>
      </c>
      <c r="AA287" s="1" t="str">
        <f t="shared" si="114"/>
        <v>discharge</v>
      </c>
      <c r="AD287" s="1">
        <f t="shared" si="107"/>
        <v>0.11670186046511628</v>
      </c>
      <c r="AF287" s="1">
        <f t="shared" si="109"/>
        <v>75.033371152071823</v>
      </c>
    </row>
    <row r="288" spans="1:32" ht="15">
      <c r="A288" s="1">
        <v>287</v>
      </c>
      <c r="C288" s="1">
        <v>0</v>
      </c>
      <c r="D288" s="1">
        <f t="shared" si="108"/>
        <v>10.693655405494709</v>
      </c>
      <c r="E288" s="1">
        <f t="shared" si="101"/>
        <v>2.7463760832450146E-3</v>
      </c>
      <c r="G288">
        <v>213</v>
      </c>
      <c r="H288" s="1">
        <f t="shared" si="102"/>
        <v>0.68731848983543076</v>
      </c>
      <c r="R288" s="1" t="e">
        <f t="shared" si="103"/>
        <v>#VALUE!</v>
      </c>
      <c r="S288" s="1">
        <f>'Solar Availability and Gener GR'!F288</f>
        <v>0</v>
      </c>
      <c r="T288" s="1">
        <v>0.25736434108527134</v>
      </c>
      <c r="U288" s="1">
        <f t="shared" si="104"/>
        <v>-0.25736434108527134</v>
      </c>
      <c r="V288" s="1" t="str">
        <f t="shared" si="105"/>
        <v>Buy from Grid</v>
      </c>
      <c r="W288" s="1">
        <f t="shared" si="106"/>
        <v>6.2896883641354957E-4</v>
      </c>
      <c r="AA288" s="1" t="str">
        <f t="shared" si="114"/>
        <v>discharge</v>
      </c>
      <c r="AD288" s="1">
        <f t="shared" si="107"/>
        <v>5.481860465116279E-2</v>
      </c>
      <c r="AF288" s="1">
        <f t="shared" si="109"/>
        <v>74.776006810986544</v>
      </c>
    </row>
    <row r="289" spans="1:32" ht="15">
      <c r="A289" s="1">
        <v>288</v>
      </c>
      <c r="C289" s="1">
        <v>0</v>
      </c>
      <c r="D289" s="1">
        <f t="shared" si="108"/>
        <v>10.693655405494709</v>
      </c>
      <c r="E289" s="1">
        <f t="shared" si="101"/>
        <v>3.4634131161284574E-3</v>
      </c>
      <c r="G289">
        <v>172.5</v>
      </c>
      <c r="H289" s="1">
        <f t="shared" si="102"/>
        <v>0.55663117134559525</v>
      </c>
      <c r="R289" s="1" t="e">
        <f t="shared" si="103"/>
        <v>#VALUE!</v>
      </c>
      <c r="S289" s="1">
        <f>'Solar Availability and Gener GR'!F289</f>
        <v>0</v>
      </c>
      <c r="T289" s="1">
        <v>0.25736434108527134</v>
      </c>
      <c r="U289" s="1">
        <f t="shared" si="104"/>
        <v>-0.25736434108527134</v>
      </c>
      <c r="V289" s="1" t="str">
        <f t="shared" si="105"/>
        <v>Buy from Grid</v>
      </c>
      <c r="W289" s="1">
        <f t="shared" si="106"/>
        <v>7.9318303525890423E-4</v>
      </c>
      <c r="AA289" s="1" t="str">
        <f t="shared" si="114"/>
        <v>discharge</v>
      </c>
      <c r="AD289" s="1">
        <f t="shared" si="107"/>
        <v>4.4395348837209303E-2</v>
      </c>
      <c r="AF289" s="1">
        <f t="shared" si="109"/>
        <v>74.518642469901266</v>
      </c>
    </row>
    <row r="290" spans="1:32">
      <c r="AB290" s="1">
        <f>SUM(AB2:AB289)</f>
        <v>25.433229360625692</v>
      </c>
      <c r="AC290" s="1">
        <f>SUM(AC2:AC289)</f>
        <v>-3.9450975469928911</v>
      </c>
      <c r="AD290" s="1">
        <f>SUM(AD2:AD289)</f>
        <v>29.742582720294571</v>
      </c>
    </row>
    <row r="291" spans="1:32" ht="15">
      <c r="AA291" s="1" t="s">
        <v>351</v>
      </c>
      <c r="AB291" s="1">
        <f>(AB290+AC290)*30</f>
        <v>644.64395440898409</v>
      </c>
      <c r="AD291" s="1">
        <f>AD290*30</f>
        <v>892.27748160883709</v>
      </c>
    </row>
    <row r="293" spans="1:32" ht="30">
      <c r="D293" s="1">
        <f>10.7/12</f>
        <v>0.89166666666666661</v>
      </c>
      <c r="AA293" s="1" t="s">
        <v>352</v>
      </c>
      <c r="AB293" s="1">
        <f>AD291</f>
        <v>892.27748160883709</v>
      </c>
    </row>
    <row r="295" spans="1:32" ht="30">
      <c r="AA295" s="1" t="s">
        <v>354</v>
      </c>
      <c r="AB295" s="1">
        <f>AB291+AB293</f>
        <v>1536.9214360178212</v>
      </c>
    </row>
    <row r="296" spans="1:32" ht="45">
      <c r="AA296" s="1" t="s">
        <v>357</v>
      </c>
      <c r="AB296" s="1" t="s">
        <v>356</v>
      </c>
      <c r="AC296" s="1" t="s">
        <v>355</v>
      </c>
      <c r="AD296" s="1" t="s">
        <v>358</v>
      </c>
      <c r="AF296" s="1" t="s">
        <v>359</v>
      </c>
    </row>
    <row r="297" spans="1:32">
      <c r="AA297" s="1">
        <v>2030</v>
      </c>
      <c r="AB297" s="1">
        <v>860000</v>
      </c>
      <c r="AC297" s="11">
        <f>$AB$295*AB297</f>
        <v>1321752434.9753263</v>
      </c>
      <c r="AF297" s="11">
        <f>$AB$291*AB297</f>
        <v>554393800.79172635</v>
      </c>
    </row>
    <row r="298" spans="1:32">
      <c r="AA298" s="1">
        <v>2035</v>
      </c>
      <c r="AB298" s="1">
        <v>1720000</v>
      </c>
      <c r="AC298" s="11">
        <f t="shared" ref="AC298:AC301" si="115">$AB$295*AB298</f>
        <v>2643504869.9506526</v>
      </c>
      <c r="AF298" s="11">
        <f t="shared" ref="AF298:AF301" si="116">$AB$291*AB298</f>
        <v>1108787601.5834527</v>
      </c>
    </row>
    <row r="299" spans="1:32">
      <c r="AA299" s="1">
        <v>2040</v>
      </c>
      <c r="AB299" s="1">
        <v>2580000</v>
      </c>
      <c r="AC299" s="11">
        <f t="shared" si="115"/>
        <v>3965257304.9259787</v>
      </c>
      <c r="AF299" s="11">
        <f t="shared" si="116"/>
        <v>1663181402.3751791</v>
      </c>
    </row>
    <row r="300" spans="1:32">
      <c r="AA300" s="1">
        <v>2045</v>
      </c>
      <c r="AB300" s="1">
        <v>3440000</v>
      </c>
      <c r="AC300" s="11">
        <f t="shared" si="115"/>
        <v>5287009739.9013052</v>
      </c>
      <c r="AF300" s="11">
        <f t="shared" si="116"/>
        <v>2217575203.1669054</v>
      </c>
    </row>
    <row r="301" spans="1:32">
      <c r="AA301" s="1">
        <v>2050</v>
      </c>
      <c r="AB301" s="1">
        <v>4300000</v>
      </c>
      <c r="AC301" s="11">
        <f t="shared" si="115"/>
        <v>6608762174.8766308</v>
      </c>
      <c r="AF301" s="11">
        <f t="shared" si="116"/>
        <v>2771969003.9586315</v>
      </c>
    </row>
  </sheetData>
  <autoFilter ref="A1:AA289" xr:uid="{341E820E-40E6-49AC-8FF5-E40C9CA07058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9CFA-0296-4E5D-AD50-BE20BBFC995A}">
  <dimension ref="A1:A182"/>
  <sheetViews>
    <sheetView workbookViewId="0"/>
  </sheetViews>
  <sheetFormatPr baseColWidth="10" defaultColWidth="8.83203125" defaultRowHeight="14"/>
  <sheetData>
    <row r="1" spans="1:1">
      <c r="A1">
        <f>MAX(A3:A182)</f>
        <v>3.7648537669128473E-3</v>
      </c>
    </row>
    <row r="3" spans="1:1">
      <c r="A3">
        <v>6.539671448154374E-4</v>
      </c>
    </row>
    <row r="4" spans="1:1">
      <c r="A4">
        <v>5.5262259909351677E-4</v>
      </c>
    </row>
    <row r="5" spans="1:1">
      <c r="A5">
        <v>6.5566956823429469E-4</v>
      </c>
    </row>
    <row r="6" spans="1:1">
      <c r="A6">
        <v>6.3613652429755408E-4</v>
      </c>
    </row>
    <row r="7" spans="1:1">
      <c r="A7">
        <v>6.4121572503185041E-4</v>
      </c>
    </row>
    <row r="8" spans="1:1">
      <c r="A8">
        <v>8.1740187305009212E-4</v>
      </c>
    </row>
    <row r="9" spans="1:1">
      <c r="A9">
        <v>1.2358342838394288E-3</v>
      </c>
    </row>
    <row r="10" spans="1:1">
      <c r="A10">
        <v>1.2815190305616652E-3</v>
      </c>
    </row>
    <row r="11" spans="1:1">
      <c r="A11">
        <v>1.6040910095697438E-3</v>
      </c>
    </row>
    <row r="12" spans="1:1">
      <c r="A12">
        <v>1.0672143102611147E-3</v>
      </c>
    </row>
    <row r="13" spans="1:1">
      <c r="A13">
        <v>8.9202051073327055E-4</v>
      </c>
    </row>
    <row r="14" spans="1:1">
      <c r="A14">
        <v>9.4505044713093494E-4</v>
      </c>
    </row>
    <row r="15" spans="1:1">
      <c r="A15">
        <v>8.0680136351474196E-4</v>
      </c>
    </row>
    <row r="16" spans="1:1">
      <c r="A16">
        <v>7.8239753643675656E-4</v>
      </c>
    </row>
    <row r="17" spans="1:1">
      <c r="A17">
        <v>6.7300891185453524E-4</v>
      </c>
    </row>
    <row r="18" spans="1:1">
      <c r="A18">
        <v>8.1611736824711595E-4</v>
      </c>
    </row>
    <row r="19" spans="1:1">
      <c r="A19">
        <v>8.4489335291030167E-4</v>
      </c>
    </row>
    <row r="20" spans="1:1">
      <c r="A20">
        <v>8.2033785198481958E-4</v>
      </c>
    </row>
    <row r="21" spans="1:1">
      <c r="A21">
        <v>8.2067526555992744E-4</v>
      </c>
    </row>
    <row r="22" spans="1:1">
      <c r="A22">
        <v>8.5685433226203645E-4</v>
      </c>
    </row>
    <row r="23" spans="1:1">
      <c r="A23">
        <v>8.5685433226203645E-4</v>
      </c>
    </row>
    <row r="24" spans="1:1">
      <c r="A24">
        <v>8.2703894955423048E-4</v>
      </c>
    </row>
    <row r="25" spans="1:1">
      <c r="A25">
        <v>7.0490751281546355E-4</v>
      </c>
    </row>
    <row r="26" spans="1:1">
      <c r="A26">
        <v>8.1795338081347391E-4</v>
      </c>
    </row>
    <row r="27" spans="1:1">
      <c r="A27">
        <v>7.9308162166238255E-4</v>
      </c>
    </row>
    <row r="28" spans="1:1">
      <c r="A28">
        <v>1.2674494088664753E-3</v>
      </c>
    </row>
    <row r="29" spans="1:1">
      <c r="A29">
        <v>9.6683851457831087E-4</v>
      </c>
    </row>
    <row r="30" spans="1:1">
      <c r="A30">
        <v>7.8093085430591203E-4</v>
      </c>
    </row>
    <row r="31" spans="1:1">
      <c r="A31">
        <v>9.6098259364910522E-4</v>
      </c>
    </row>
    <row r="32" spans="1:1">
      <c r="A32">
        <v>7.9308162166238255E-4</v>
      </c>
    </row>
    <row r="33" spans="1:1">
      <c r="A33">
        <v>7.9291061943405155E-4</v>
      </c>
    </row>
    <row r="34" spans="1:1">
      <c r="A34">
        <v>6.7048561817723766E-4</v>
      </c>
    </row>
    <row r="35" spans="1:1">
      <c r="A35">
        <v>7.1417728629876494E-4</v>
      </c>
    </row>
    <row r="36" spans="1:1">
      <c r="A36">
        <v>7.3113201830595268E-4</v>
      </c>
    </row>
    <row r="37" spans="1:1">
      <c r="A37">
        <v>4.1340811299680607E-4</v>
      </c>
    </row>
    <row r="38" spans="1:1">
      <c r="A38">
        <v>5.3953040522921214E-4</v>
      </c>
    </row>
    <row r="39" spans="1:1">
      <c r="A39">
        <v>5.4576911932289628E-4</v>
      </c>
    </row>
    <row r="40" spans="1:1">
      <c r="A40">
        <v>8.9631946282739405E-4</v>
      </c>
    </row>
    <row r="41" spans="1:1">
      <c r="A41">
        <v>5.4224983643842088E-4</v>
      </c>
    </row>
    <row r="42" spans="1:1">
      <c r="A42">
        <v>5.2698795585135664E-4</v>
      </c>
    </row>
    <row r="43" spans="1:1">
      <c r="A43">
        <v>7.9193934809503367E-4</v>
      </c>
    </row>
    <row r="44" spans="1:1">
      <c r="A44">
        <v>8.1692274083842021E-4</v>
      </c>
    </row>
    <row r="45" spans="1:1">
      <c r="A45">
        <v>1.0840146259098421E-3</v>
      </c>
    </row>
    <row r="46" spans="1:1">
      <c r="A46">
        <v>8.2911212555336242E-4</v>
      </c>
    </row>
    <row r="47" spans="1:1">
      <c r="A47">
        <v>8.0458178182738773E-4</v>
      </c>
    </row>
    <row r="48" spans="1:1">
      <c r="A48">
        <v>8.3310132044519809E-4</v>
      </c>
    </row>
    <row r="49" spans="1:1">
      <c r="A49">
        <v>7.0808684683891347E-4</v>
      </c>
    </row>
    <row r="50" spans="1:1">
      <c r="A50">
        <v>7.9460496450302126E-4</v>
      </c>
    </row>
    <row r="51" spans="1:1">
      <c r="A51">
        <v>1.3559595734026629E-3</v>
      </c>
    </row>
    <row r="52" spans="1:1">
      <c r="A52">
        <v>1.0343812640809839E-3</v>
      </c>
    </row>
    <row r="53" spans="1:1">
      <c r="A53">
        <v>7.0011780186650407E-4</v>
      </c>
    </row>
    <row r="54" spans="1:1">
      <c r="A54">
        <v>1.0087491586868054E-3</v>
      </c>
    </row>
    <row r="55" spans="1:1">
      <c r="A55">
        <v>1.225628518698489E-3</v>
      </c>
    </row>
    <row r="56" spans="1:1">
      <c r="A56">
        <v>1.046133812393008E-3</v>
      </c>
    </row>
    <row r="57" spans="1:1">
      <c r="A57">
        <v>7.4890413692343439E-4</v>
      </c>
    </row>
    <row r="58" spans="1:1">
      <c r="A58">
        <v>1.1091394319586465E-3</v>
      </c>
    </row>
    <row r="59" spans="1:1">
      <c r="A59">
        <v>1.1073178259384505E-3</v>
      </c>
    </row>
    <row r="60" spans="1:1">
      <c r="A60">
        <v>1.3527401848290885E-3</v>
      </c>
    </row>
    <row r="61" spans="1:1">
      <c r="A61">
        <v>1.1355004420970864E-3</v>
      </c>
    </row>
    <row r="62" spans="1:1">
      <c r="A62">
        <v>1.1329616820872771E-3</v>
      </c>
    </row>
    <row r="63" spans="1:1">
      <c r="A63">
        <v>1.0450623320741594E-3</v>
      </c>
    </row>
    <row r="64" spans="1:1">
      <c r="A64">
        <v>1.109551260178457E-3</v>
      </c>
    </row>
    <row r="65" spans="1:1">
      <c r="A65">
        <v>1.4872767618678963E-3</v>
      </c>
    </row>
    <row r="66" spans="1:1">
      <c r="A66">
        <v>1.079279228611814E-3</v>
      </c>
    </row>
    <row r="67" spans="1:1">
      <c r="A67">
        <v>1.3025632818375401E-3</v>
      </c>
    </row>
    <row r="68" spans="1:1">
      <c r="A68">
        <v>1.5183311130023158E-3</v>
      </c>
    </row>
    <row r="69" spans="1:1">
      <c r="A69">
        <v>1.6356317112259688E-3</v>
      </c>
    </row>
    <row r="70" spans="1:1">
      <c r="A70">
        <v>9.7537462786949196E-4</v>
      </c>
    </row>
    <row r="71" spans="1:1">
      <c r="A71">
        <v>7.3076523803313593E-4</v>
      </c>
    </row>
    <row r="72" spans="1:1">
      <c r="A72">
        <v>7.9960075102172878E-4</v>
      </c>
    </row>
    <row r="73" spans="1:1">
      <c r="A73">
        <v>7.8742862459452601E-4</v>
      </c>
    </row>
    <row r="74" spans="1:1">
      <c r="A74">
        <v>1.1214209780360319E-3</v>
      </c>
    </row>
    <row r="75" spans="1:1">
      <c r="A75">
        <v>1.3834103655840245E-3</v>
      </c>
    </row>
    <row r="76" spans="1:1">
      <c r="A76">
        <v>9.6160026960945136E-4</v>
      </c>
    </row>
    <row r="77" spans="1:1">
      <c r="A77">
        <v>1.0766095438040611E-3</v>
      </c>
    </row>
    <row r="78" spans="1:1">
      <c r="A78">
        <v>9.6964044893194947E-4</v>
      </c>
    </row>
    <row r="79" spans="1:1">
      <c r="A79">
        <v>8.9432657791921203E-4</v>
      </c>
    </row>
    <row r="80" spans="1:1">
      <c r="A80">
        <v>9.4253201836021195E-4</v>
      </c>
    </row>
    <row r="81" spans="1:1">
      <c r="A81">
        <v>1.0125465185767861E-3</v>
      </c>
    </row>
    <row r="82" spans="1:1">
      <c r="A82">
        <v>1.0870376600841537E-3</v>
      </c>
    </row>
    <row r="83" spans="1:1">
      <c r="A83">
        <v>1.3352838110424316E-3</v>
      </c>
    </row>
    <row r="84" spans="1:1">
      <c r="A84">
        <v>1.8972469626329406E-3</v>
      </c>
    </row>
    <row r="85" spans="1:1">
      <c r="A85">
        <v>1.1176167365636379E-3</v>
      </c>
    </row>
    <row r="86" spans="1:1">
      <c r="A86">
        <v>1.4598306132123332E-3</v>
      </c>
    </row>
    <row r="87" spans="1:1">
      <c r="A87">
        <v>9.6559321475215502E-4</v>
      </c>
    </row>
    <row r="88" spans="1:1">
      <c r="A88">
        <v>6.4476593436933196E-4</v>
      </c>
    </row>
    <row r="89" spans="1:1">
      <c r="A89">
        <v>7.2449312557455682E-4</v>
      </c>
    </row>
    <row r="90" spans="1:1">
      <c r="A90">
        <v>6.5465081430214319E-4</v>
      </c>
    </row>
    <row r="91" spans="1:1">
      <c r="A91">
        <v>5.6363965045832241E-4</v>
      </c>
    </row>
    <row r="92" spans="1:1">
      <c r="A92">
        <v>5.4284067313438845E-4</v>
      </c>
    </row>
    <row r="93" spans="1:1">
      <c r="A93">
        <v>4.6954963077704923E-4</v>
      </c>
    </row>
    <row r="94" spans="1:1">
      <c r="A94">
        <v>9.2324665269226847E-4</v>
      </c>
    </row>
    <row r="95" spans="1:1">
      <c r="A95">
        <v>8.9478134827425621E-4</v>
      </c>
    </row>
    <row r="96" spans="1:1">
      <c r="A96">
        <v>1.1587399209438364E-3</v>
      </c>
    </row>
    <row r="97" spans="1:1">
      <c r="A97">
        <v>1.1089736464209158E-3</v>
      </c>
    </row>
    <row r="98" spans="1:1">
      <c r="A98">
        <v>8.436467269177959E-4</v>
      </c>
    </row>
    <row r="99" spans="1:1">
      <c r="A99">
        <v>8.3017234040012172E-4</v>
      </c>
    </row>
    <row r="100" spans="1:1">
      <c r="A100">
        <v>7.3110143986060059E-4</v>
      </c>
    </row>
    <row r="101" spans="1:1">
      <c r="A101">
        <v>9.3644689545481876E-4</v>
      </c>
    </row>
    <row r="102" spans="1:1">
      <c r="A102">
        <v>8.3844262194243506E-4</v>
      </c>
    </row>
    <row r="103" spans="1:1">
      <c r="A103">
        <v>7.2321815467964504E-4</v>
      </c>
    </row>
    <row r="104" spans="1:1">
      <c r="A104">
        <v>9.428509671792223E-4</v>
      </c>
    </row>
    <row r="105" spans="1:1">
      <c r="A105">
        <v>1.0048311840926553E-3</v>
      </c>
    </row>
    <row r="106" spans="1:1">
      <c r="A106">
        <v>1.3558601433273931E-3</v>
      </c>
    </row>
    <row r="107" spans="1:1">
      <c r="A107">
        <v>1.6982872883825428E-3</v>
      </c>
    </row>
    <row r="108" spans="1:1">
      <c r="A108">
        <v>1.3835510802206385E-3</v>
      </c>
    </row>
    <row r="109" spans="1:1">
      <c r="A109">
        <v>1.362511681089591E-3</v>
      </c>
    </row>
    <row r="110" spans="1:1">
      <c r="A110">
        <v>7.0808684683891347E-4</v>
      </c>
    </row>
    <row r="111" spans="1:1">
      <c r="A111">
        <v>7.2905823122612796E-4</v>
      </c>
    </row>
    <row r="112" spans="1:1">
      <c r="A112">
        <v>6.1001624755732491E-4</v>
      </c>
    </row>
    <row r="113" spans="1:1">
      <c r="A113">
        <v>7.0999027066675688E-4</v>
      </c>
    </row>
    <row r="114" spans="1:1">
      <c r="A114">
        <v>5.6038620096688328E-4</v>
      </c>
    </row>
    <row r="115" spans="1:1">
      <c r="A115">
        <v>7.4504171664129698E-4</v>
      </c>
    </row>
    <row r="116" spans="1:1">
      <c r="A116">
        <v>9.4499246973562536E-4</v>
      </c>
    </row>
    <row r="117" spans="1:1">
      <c r="A117">
        <v>1.0471311033442654E-3</v>
      </c>
    </row>
    <row r="118" spans="1:1">
      <c r="A118">
        <v>1.039203233525505E-3</v>
      </c>
    </row>
    <row r="119" spans="1:1">
      <c r="A119">
        <v>2.1178702832252341E-3</v>
      </c>
    </row>
    <row r="120" spans="1:1">
      <c r="A120">
        <v>2.0338293781219739E-3</v>
      </c>
    </row>
    <row r="121" spans="1:1">
      <c r="A121">
        <v>1.0392778746284054E-3</v>
      </c>
    </row>
    <row r="122" spans="1:1">
      <c r="A122">
        <v>7.9971818671347849E-4</v>
      </c>
    </row>
    <row r="123" spans="1:1">
      <c r="A123">
        <v>5.3180884956335254E-4</v>
      </c>
    </row>
    <row r="124" spans="1:1">
      <c r="A124">
        <v>6.7350528978191756E-4</v>
      </c>
    </row>
    <row r="125" spans="1:1">
      <c r="A125">
        <v>1.6709301408150052E-3</v>
      </c>
    </row>
    <row r="126" spans="1:1">
      <c r="A126">
        <v>1.1040848123394383E-3</v>
      </c>
    </row>
    <row r="127" spans="1:1">
      <c r="A127">
        <v>1.1814768393715442E-3</v>
      </c>
    </row>
    <row r="128" spans="1:1">
      <c r="A128">
        <v>1.4670209046545727E-3</v>
      </c>
    </row>
    <row r="129" spans="1:1">
      <c r="A129">
        <v>1.2052184677128197E-3</v>
      </c>
    </row>
    <row r="130" spans="1:1">
      <c r="A130">
        <v>1.6455837556486165E-3</v>
      </c>
    </row>
    <row r="131" spans="1:1">
      <c r="A131">
        <v>1.6356317112259688E-3</v>
      </c>
    </row>
    <row r="132" spans="1:1">
      <c r="A132">
        <v>1.9359639917809035E-3</v>
      </c>
    </row>
    <row r="133" spans="1:1">
      <c r="A133">
        <v>2.3809151929041076E-3</v>
      </c>
    </row>
    <row r="134" spans="1:1">
      <c r="A134">
        <v>3.7648537669128473E-3</v>
      </c>
    </row>
    <row r="135" spans="1:1">
      <c r="A135">
        <v>2.8376844871489345E-3</v>
      </c>
    </row>
    <row r="136" spans="1:1">
      <c r="A136">
        <v>2.9068573038844013E-3</v>
      </c>
    </row>
    <row r="137" spans="1:1">
      <c r="A137">
        <v>2.1043548942949238E-3</v>
      </c>
    </row>
    <row r="138" spans="1:1">
      <c r="A138">
        <v>1.1346263221612334E-3</v>
      </c>
    </row>
    <row r="139" spans="1:1">
      <c r="A139">
        <v>1.089101175854056E-3</v>
      </c>
    </row>
    <row r="140" spans="1:1">
      <c r="A140">
        <v>1.7948263638904321E-3</v>
      </c>
    </row>
    <row r="141" spans="1:1">
      <c r="A141">
        <v>1.8298121236748999E-3</v>
      </c>
    </row>
    <row r="142" spans="1:1">
      <c r="A142">
        <v>9.065818955097235E-4</v>
      </c>
    </row>
    <row r="143" spans="1:1">
      <c r="A143">
        <v>8.5241270395848231E-4</v>
      </c>
    </row>
    <row r="144" spans="1:1">
      <c r="A144">
        <v>8.3292870406318875E-4</v>
      </c>
    </row>
    <row r="145" spans="1:1">
      <c r="A145">
        <v>8.922230354051862E-4</v>
      </c>
    </row>
    <row r="146" spans="1:1">
      <c r="A146">
        <v>4.4866887005912527E-4</v>
      </c>
    </row>
    <row r="147" spans="1:1">
      <c r="A147">
        <v>3.7476872980425331E-4</v>
      </c>
    </row>
    <row r="148" spans="1:1">
      <c r="A148">
        <v>4.0463322762389982E-4</v>
      </c>
    </row>
    <row r="149" spans="1:1">
      <c r="A149">
        <v>4.0463322762389982E-4</v>
      </c>
    </row>
    <row r="150" spans="1:1">
      <c r="A150">
        <v>8.0732614381803119E-4</v>
      </c>
    </row>
    <row r="151" spans="1:1">
      <c r="A151">
        <v>3.7254501148043873E-4</v>
      </c>
    </row>
    <row r="152" spans="1:1">
      <c r="A152">
        <v>4.8399231886181828E-4</v>
      </c>
    </row>
    <row r="153" spans="1:1">
      <c r="A153">
        <v>1.0834407897533937E-3</v>
      </c>
    </row>
    <row r="154" spans="1:1">
      <c r="A154">
        <v>7.0459392744803536E-4</v>
      </c>
    </row>
    <row r="155" spans="1:1">
      <c r="A155">
        <v>7.0476494098906583E-4</v>
      </c>
    </row>
    <row r="156" spans="1:1">
      <c r="A156">
        <v>7.5892288574552378E-4</v>
      </c>
    </row>
    <row r="157" spans="1:1">
      <c r="A157">
        <v>1.0903653286608798E-3</v>
      </c>
    </row>
    <row r="158" spans="1:1">
      <c r="A158">
        <v>1.041464298141451E-3</v>
      </c>
    </row>
    <row r="159" spans="1:1">
      <c r="A159">
        <v>1.041464298141451E-3</v>
      </c>
    </row>
    <row r="160" spans="1:1">
      <c r="A160">
        <v>7.10105943652439E-4</v>
      </c>
    </row>
    <row r="161" spans="1:1">
      <c r="A161">
        <v>7.8651125208959978E-4</v>
      </c>
    </row>
    <row r="162" spans="1:1">
      <c r="A162">
        <v>9.6160026960945136E-4</v>
      </c>
    </row>
    <row r="163" spans="1:1">
      <c r="A163">
        <v>5.2954882285881496E-4</v>
      </c>
    </row>
    <row r="164" spans="1:1">
      <c r="A164">
        <v>8.2386966667346651E-4</v>
      </c>
    </row>
    <row r="165" spans="1:1">
      <c r="A165">
        <v>9.332116474296588E-4</v>
      </c>
    </row>
    <row r="166" spans="1:1">
      <c r="A166">
        <v>7.1241775740452334E-4</v>
      </c>
    </row>
    <row r="167" spans="1:1">
      <c r="A167">
        <v>8.2734525031421689E-4</v>
      </c>
    </row>
    <row r="168" spans="1:1">
      <c r="A168">
        <v>8.4003219321068735E-4</v>
      </c>
    </row>
    <row r="169" spans="1:1">
      <c r="A169">
        <v>8.1031988002449999E-4</v>
      </c>
    </row>
    <row r="170" spans="1:1">
      <c r="A170">
        <v>1.8333732027504249E-3</v>
      </c>
    </row>
    <row r="171" spans="1:1">
      <c r="A171">
        <v>8.3455649556539305E-4</v>
      </c>
    </row>
    <row r="172" spans="1:1">
      <c r="A172">
        <v>5.4842965700213316E-4</v>
      </c>
    </row>
    <row r="173" spans="1:1">
      <c r="A173">
        <v>8.5030729852475669E-4</v>
      </c>
    </row>
    <row r="174" spans="1:1">
      <c r="A174">
        <v>9.2049868721028635E-4</v>
      </c>
    </row>
    <row r="175" spans="1:1">
      <c r="A175">
        <v>9.4647809112459241E-4</v>
      </c>
    </row>
    <row r="176" spans="1:1">
      <c r="A176">
        <v>9.8925909390761577E-4</v>
      </c>
    </row>
    <row r="177" spans="1:1">
      <c r="A177">
        <v>1.1073508304323572E-3</v>
      </c>
    </row>
    <row r="178" spans="1:1">
      <c r="A178">
        <v>1.0191198875696167E-3</v>
      </c>
    </row>
    <row r="179" spans="1:1">
      <c r="A179">
        <v>1.0543133818250044E-3</v>
      </c>
    </row>
    <row r="180" spans="1:1">
      <c r="A180">
        <v>1.6281112211972112E-3</v>
      </c>
    </row>
    <row r="181" spans="1:1">
      <c r="A181">
        <v>6.2896883641354957E-4</v>
      </c>
    </row>
    <row r="182" spans="1:1">
      <c r="A182">
        <v>7.9318303525890423E-4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6CA4-02F7-B145-866C-F95D436E9FD1}">
  <dimension ref="A1:H3"/>
  <sheetViews>
    <sheetView workbookViewId="0">
      <selection activeCell="B3" sqref="B3"/>
    </sheetView>
  </sheetViews>
  <sheetFormatPr baseColWidth="10" defaultRowHeight="14"/>
  <cols>
    <col min="1" max="1" width="19.6640625" bestFit="1" customWidth="1"/>
    <col min="2" max="2" width="24.1640625" bestFit="1" customWidth="1"/>
  </cols>
  <sheetData>
    <row r="1" spans="1:8">
      <c r="A1">
        <v>16.600000000000001</v>
      </c>
      <c r="B1">
        <v>18</v>
      </c>
      <c r="C1">
        <v>20</v>
      </c>
      <c r="D1">
        <v>22</v>
      </c>
      <c r="E1">
        <v>24</v>
      </c>
      <c r="F1">
        <v>26</v>
      </c>
      <c r="G1">
        <v>28</v>
      </c>
      <c r="H1" t="s">
        <v>363</v>
      </c>
    </row>
    <row r="2" spans="1:8">
      <c r="A2">
        <v>2022</v>
      </c>
      <c r="B2">
        <v>2025</v>
      </c>
      <c r="C2">
        <v>2030</v>
      </c>
      <c r="D2">
        <v>2035</v>
      </c>
      <c r="E2">
        <v>2040</v>
      </c>
      <c r="F2">
        <v>2045</v>
      </c>
      <c r="G2">
        <v>2050</v>
      </c>
      <c r="H2" t="s">
        <v>362</v>
      </c>
    </row>
    <row r="3" spans="1:8">
      <c r="A3">
        <f t="shared" ref="A3:G3" si="0">A1*10^9/(30*4300000)</f>
        <v>128.68217054263567</v>
      </c>
      <c r="B3">
        <f t="shared" si="0"/>
        <v>139.53488372093022</v>
      </c>
      <c r="C3">
        <f t="shared" si="0"/>
        <v>155.03875968992247</v>
      </c>
      <c r="D3">
        <f t="shared" si="0"/>
        <v>170.54263565891472</v>
      </c>
      <c r="E3">
        <f t="shared" si="0"/>
        <v>186.04651162790697</v>
      </c>
      <c r="F3">
        <f t="shared" si="0"/>
        <v>201.55038759689921</v>
      </c>
      <c r="G3">
        <f t="shared" si="0"/>
        <v>217.05426356589146</v>
      </c>
      <c r="H3" t="s">
        <v>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254D-A79F-874D-B3E1-A5DCE3148392}">
  <dimension ref="A1:AG301"/>
  <sheetViews>
    <sheetView tabSelected="1" topLeftCell="S274" workbookViewId="0">
      <selection activeCell="AE296" sqref="AE296:AG296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32" width="11.6640625" style="1" bestFit="1" customWidth="1"/>
    <col min="33" max="33" width="10" style="1" customWidth="1"/>
    <col min="34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f>'System Load'!D2</f>
        <v>0.37062627906976753</v>
      </c>
      <c r="M2" s="1">
        <f>K2-L2</f>
        <v>-0.37062627906976753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8.557760783720933E-2</v>
      </c>
      <c r="AA2" s="1">
        <f>M2</f>
        <v>-0.37062627906976753</v>
      </c>
      <c r="AD2" s="1">
        <f>AC2+O2</f>
        <v>0</v>
      </c>
    </row>
    <row r="3" spans="1:30" ht="15">
      <c r="A3" s="1">
        <v>2</v>
      </c>
      <c r="B3" s="1">
        <f t="shared" ref="B3:B13" si="2">IF(U3="charge",Q3,0)</f>
        <v>0</v>
      </c>
      <c r="C3" s="1">
        <f t="shared" ref="C3:C66" si="3">IF(V2="discharge",M3,0)</f>
        <v>-0.36906976744186054</v>
      </c>
      <c r="D3" s="1">
        <f>(D2)+(B3*0.8)+(C3/0.8)</f>
        <v>0.7386627906976746</v>
      </c>
      <c r="E3">
        <v>268.19</v>
      </c>
      <c r="K3" s="1">
        <f>'Solar Availability and Gener GR'!F3</f>
        <v>0</v>
      </c>
      <c r="L3" s="1">
        <f>'System Load'!D3</f>
        <v>0.36906976744186054</v>
      </c>
      <c r="M3" s="1">
        <f t="shared" ref="M3:M66" si="4">K3-L3</f>
        <v>-0.36906976744186054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9.8980820930232583E-2</v>
      </c>
      <c r="AA3" s="1">
        <f t="shared" ref="AA3:AA66" si="6">M3+AA2</f>
        <v>-0.73969604651162801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-0.36906976744186054</v>
      </c>
      <c r="D4" s="1">
        <f t="shared" ref="D4:D67" si="8">(D3)+(B4*0.8)+(C4/0.8)</f>
        <v>0.27732558139534896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f>'System Load'!D4</f>
        <v>0.36906976744186054</v>
      </c>
      <c r="M4" s="1">
        <f t="shared" si="4"/>
        <v>-0.36906976744186054</v>
      </c>
      <c r="N4" s="1" t="str">
        <f t="shared" si="5"/>
        <v>Buy from Grid</v>
      </c>
      <c r="V4" s="1" t="str">
        <f t="shared" si="0"/>
        <v>buy from the Grid</v>
      </c>
      <c r="Y4" s="1">
        <f t="shared" si="1"/>
        <v>8.4731037209302348E-2</v>
      </c>
      <c r="AA4" s="1">
        <f t="shared" si="6"/>
        <v>-1.1087658139534886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0</v>
      </c>
      <c r="D5" s="1">
        <f t="shared" si="8"/>
        <v>0.27732558139534896</v>
      </c>
      <c r="E5">
        <v>235.98</v>
      </c>
      <c r="F5" s="1">
        <v>12</v>
      </c>
      <c r="K5" s="1">
        <f>'Solar Availability and Gener GR'!F5</f>
        <v>0</v>
      </c>
      <c r="L5" s="1">
        <f>'System Load'!D5</f>
        <v>0.36906976744186054</v>
      </c>
      <c r="M5" s="1">
        <f t="shared" si="4"/>
        <v>-0.36906976744186054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-8.7093083720930248E-2</v>
      </c>
      <c r="Y5" s="1">
        <f t="shared" si="1"/>
        <v>8.7093083720930248E-2</v>
      </c>
      <c r="AA5" s="1">
        <f t="shared" si="6"/>
        <v>-1.4778355813953492</v>
      </c>
      <c r="AC5" s="1">
        <f t="shared" ref="AC5:AC11" si="10">L5</f>
        <v>0.36906976744186054</v>
      </c>
      <c r="AD5" s="1">
        <f t="shared" si="7"/>
        <v>0.36906976744186054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0.27732558139534896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f>'System Load'!D6</f>
        <v>0.36906976744186054</v>
      </c>
      <c r="M6" s="1">
        <f t="shared" si="4"/>
        <v>-0.36906976744186054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-8.6465665116279081E-2</v>
      </c>
      <c r="Y6" s="1">
        <f t="shared" si="1"/>
        <v>8.6465665116279081E-2</v>
      </c>
      <c r="AA6" s="1">
        <f t="shared" si="6"/>
        <v>-1.8469053488372098</v>
      </c>
      <c r="AC6" s="1">
        <f t="shared" si="10"/>
        <v>0.36906976744186054</v>
      </c>
      <c r="AD6" s="1">
        <f t="shared" si="7"/>
        <v>0.36906976744186054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0.27732558139534896</v>
      </c>
      <c r="E7">
        <v>237.63</v>
      </c>
      <c r="K7" s="1">
        <f>'Solar Availability and Gener GR'!F7</f>
        <v>0</v>
      </c>
      <c r="L7" s="1">
        <f>'System Load'!D7</f>
        <v>0.49744186046511629</v>
      </c>
      <c r="M7" s="1">
        <f t="shared" si="4"/>
        <v>-0.49744186046511629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-0.11820710930232557</v>
      </c>
      <c r="Y7" s="1">
        <f t="shared" si="1"/>
        <v>0.11820710930232557</v>
      </c>
      <c r="AA7" s="1">
        <f t="shared" si="6"/>
        <v>-2.3443472093023261</v>
      </c>
      <c r="AC7" s="1">
        <f t="shared" si="10"/>
        <v>0.49744186046511629</v>
      </c>
      <c r="AD7" s="1">
        <f t="shared" si="7"/>
        <v>0.49744186046511629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0.27732558139534896</v>
      </c>
      <c r="E8">
        <v>239.66</v>
      </c>
      <c r="K8" s="1">
        <f>'Solar Availability and Gener GR'!F8</f>
        <v>3.5999999999999997E-2</v>
      </c>
      <c r="L8" s="1">
        <f>'System Load'!D8</f>
        <v>0.83441860465116291</v>
      </c>
      <c r="M8" s="1">
        <f t="shared" si="4"/>
        <v>-0.79841860465116288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-0.19134900279069769</v>
      </c>
      <c r="Y8" s="1">
        <f t="shared" si="1"/>
        <v>0.1999767627906977</v>
      </c>
      <c r="AA8" s="1">
        <f t="shared" si="6"/>
        <v>-3.1427658139534889</v>
      </c>
      <c r="AC8" s="1">
        <f t="shared" si="10"/>
        <v>0.83441860465116291</v>
      </c>
      <c r="AD8" s="1">
        <f t="shared" si="7"/>
        <v>0.83441860465116291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0.27732558139534896</v>
      </c>
      <c r="E9">
        <v>231.88</v>
      </c>
      <c r="K9" s="1">
        <f>'Solar Availability and Gener GR'!F9</f>
        <v>7.1999999999999995E-2</v>
      </c>
      <c r="L9" s="1">
        <f>'System Load'!D9</f>
        <v>0.83441860465116291</v>
      </c>
      <c r="M9" s="1">
        <f t="shared" si="4"/>
        <v>-0.76241860465116296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-0.17678962604651166</v>
      </c>
      <c r="Y9" s="1">
        <f t="shared" si="1"/>
        <v>0.19348498604651165</v>
      </c>
      <c r="AA9" s="1">
        <f t="shared" si="6"/>
        <v>-3.9051844186046516</v>
      </c>
      <c r="AC9" s="1">
        <f t="shared" si="10"/>
        <v>0.83441860465116291</v>
      </c>
      <c r="AD9" s="1">
        <f t="shared" si="7"/>
        <v>0.83441860465116291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0.27732558139534896</v>
      </c>
      <c r="E10">
        <v>186.47</v>
      </c>
      <c r="K10" s="1">
        <f>'Solar Availability and Gener GR'!F10</f>
        <v>0.108</v>
      </c>
      <c r="L10" s="1">
        <f>'System Load'!D10</f>
        <v>0.81837209302325586</v>
      </c>
      <c r="M10" s="1">
        <f t="shared" si="4"/>
        <v>-0.71037209302325588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-0.13246308418604652</v>
      </c>
      <c r="Y10" s="1">
        <f t="shared" si="1"/>
        <v>0.15260184418604653</v>
      </c>
      <c r="AA10" s="1">
        <f t="shared" si="6"/>
        <v>-4.6155565116279078</v>
      </c>
      <c r="AC10" s="1">
        <f t="shared" si="10"/>
        <v>0.81837209302325586</v>
      </c>
      <c r="AD10" s="1">
        <f t="shared" si="7"/>
        <v>0.81837209302325586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0.27732558139534896</v>
      </c>
      <c r="E11">
        <v>186.47</v>
      </c>
      <c r="K11" s="1">
        <f>'Solar Availability and Gener GR'!F11</f>
        <v>0.17817591026439972</v>
      </c>
      <c r="L11" s="1">
        <f>'System Load'!D11</f>
        <v>0.49744186046511629</v>
      </c>
      <c r="M11" s="1">
        <f t="shared" si="4"/>
        <v>-0.31926595020071658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-5.9533521733927619E-2</v>
      </c>
      <c r="Y11" s="1">
        <f t="shared" si="1"/>
        <v>9.2757983720930234E-2</v>
      </c>
      <c r="AA11" s="1">
        <f t="shared" si="6"/>
        <v>-4.9348224618286247</v>
      </c>
      <c r="AC11" s="1">
        <f t="shared" si="10"/>
        <v>0.49744186046511629</v>
      </c>
      <c r="AD11" s="1">
        <f t="shared" si="7"/>
        <v>0.49744186046511629</v>
      </c>
    </row>
    <row r="12" spans="1:30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8"/>
        <v>0.27732558139534896</v>
      </c>
      <c r="E12">
        <v>177.25</v>
      </c>
      <c r="K12" s="1">
        <f>'Solar Availability and Gener GR'!F12</f>
        <v>0.60861301522300082</v>
      </c>
      <c r="L12" s="1">
        <f>'System Load'!D12</f>
        <v>0.49744186046511629</v>
      </c>
      <c r="M12" s="1">
        <f t="shared" si="4"/>
        <v>0.11117115475788453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0.5025712949976624</v>
      </c>
      <c r="Q12" s="1">
        <f t="shared" ref="Q12:Q18" si="12">K12-P12*L12</f>
        <v>0.35861301522300082</v>
      </c>
      <c r="R12" s="1">
        <f t="shared" ref="R12:R18" si="13">((1/(E12+0.01))*LN(0.25))+(E12*(K12-0.25))</f>
        <v>63.55633626475484</v>
      </c>
      <c r="S12" s="1">
        <f>((1/(E12+0.01))*LN(L12))+(E12*(K12-L12))</f>
        <v>19.701147901851623</v>
      </c>
      <c r="T12" s="1">
        <f t="shared" ref="T12:T18" si="14">(S12+((S12^2)-4*(K12-L12*P12)*LN(L12*P12))^(0.5))/(2*(K12-L12*P12))</f>
        <v>55.007345106940903</v>
      </c>
      <c r="U12" s="1" t="str">
        <f t="shared" ref="U12:U18" si="15">IF(E12&gt;=T12*1.2,"sell to the Grid","charge")</f>
        <v>sell to the Grid</v>
      </c>
      <c r="W12" s="1">
        <f>(Q12*E12)/1000</f>
        <v>6.3564156948276898E-2</v>
      </c>
      <c r="Y12" s="1">
        <f t="shared" si="1"/>
        <v>8.8171569767441865E-2</v>
      </c>
      <c r="AA12" s="1">
        <f t="shared" si="6"/>
        <v>-4.8236513070707403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0.27732558139534896</v>
      </c>
      <c r="E13">
        <v>168.5</v>
      </c>
      <c r="K13" s="1">
        <f>'Solar Availability and Gener GR'!F13</f>
        <v>1.0763999999999998</v>
      </c>
      <c r="L13" s="1">
        <f>'System Load'!D13</f>
        <v>0.49744186046511629</v>
      </c>
      <c r="M13" s="1">
        <f t="shared" si="4"/>
        <v>0.57895813953488351</v>
      </c>
      <c r="N13" s="1" t="str">
        <f t="shared" si="5"/>
        <v>sell the surplus or charge</v>
      </c>
      <c r="O13" s="1">
        <v>0.25</v>
      </c>
      <c r="P13" s="1">
        <f t="shared" si="11"/>
        <v>0.5025712949976624</v>
      </c>
      <c r="Q13" s="1">
        <f t="shared" si="12"/>
        <v>0.8263999999999998</v>
      </c>
      <c r="R13" s="1">
        <f t="shared" si="13"/>
        <v>139.24017322199796</v>
      </c>
      <c r="S13" s="1">
        <f t="shared" ref="S13:S18" si="16">((1/(E13+0.01))*LN(L13))+(E13*(K13-L13))</f>
        <v>97.550302682818909</v>
      </c>
      <c r="T13" s="1">
        <f t="shared" si="14"/>
        <v>118.05668598630746</v>
      </c>
      <c r="U13" s="1" t="str">
        <f t="shared" si="15"/>
        <v>sell to the Grid</v>
      </c>
      <c r="W13" s="1">
        <f>(Q13*E13)/1000</f>
        <v>0.13924839999999997</v>
      </c>
      <c r="Y13" s="1">
        <f t="shared" si="1"/>
        <v>8.3818953488372108E-2</v>
      </c>
      <c r="AA13" s="1">
        <f t="shared" si="6"/>
        <v>-4.244693167535857</v>
      </c>
      <c r="AD13" s="1">
        <f t="shared" si="7"/>
        <v>0.25</v>
      </c>
    </row>
    <row r="14" spans="1:30" ht="15">
      <c r="A14" s="1">
        <v>13</v>
      </c>
      <c r="B14" s="1">
        <f t="shared" ref="B14" si="17">IF(U14="charge",Q14,0)</f>
        <v>0</v>
      </c>
      <c r="C14" s="1">
        <f t="shared" si="3"/>
        <v>0</v>
      </c>
      <c r="D14" s="1">
        <f t="shared" si="8"/>
        <v>0.27732558139534896</v>
      </c>
      <c r="E14">
        <v>84.9</v>
      </c>
      <c r="K14" s="1">
        <f>'Solar Availability and Gener GR'!F14</f>
        <v>1.3715999999999999</v>
      </c>
      <c r="L14" s="1">
        <f>'System Load'!D14</f>
        <v>0.49744186046511629</v>
      </c>
      <c r="M14" s="1">
        <f t="shared" si="4"/>
        <v>0.87415813953488364</v>
      </c>
      <c r="N14" s="1" t="str">
        <f t="shared" si="5"/>
        <v>sell the surplus or charge</v>
      </c>
      <c r="O14" s="1">
        <v>0.25</v>
      </c>
      <c r="P14" s="1">
        <f t="shared" si="11"/>
        <v>0.5025712949976624</v>
      </c>
      <c r="Q14" s="1">
        <f t="shared" si="12"/>
        <v>1.1215999999999999</v>
      </c>
      <c r="R14" s="1">
        <f t="shared" si="13"/>
        <v>95.207513367552465</v>
      </c>
      <c r="S14" s="1">
        <f t="shared" si="16"/>
        <v>74.20780232030036</v>
      </c>
      <c r="T14" s="1">
        <f t="shared" si="14"/>
        <v>66.181124550014104</v>
      </c>
      <c r="U14" s="1" t="str">
        <f t="shared" si="15"/>
        <v>sell to the Grid</v>
      </c>
      <c r="Y14" s="1">
        <f t="shared" si="1"/>
        <v>4.2232813953488373E-2</v>
      </c>
      <c r="AA14" s="1">
        <f t="shared" si="6"/>
        <v>-3.3705350280009734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0.27732558139534896</v>
      </c>
      <c r="E15">
        <v>81.95</v>
      </c>
      <c r="K15" s="1">
        <f>'Solar Availability and Gener GR'!F15</f>
        <v>1.4292</v>
      </c>
      <c r="L15" s="1">
        <f>'System Load'!D15</f>
        <v>0.49744186046511629</v>
      </c>
      <c r="M15" s="1">
        <f t="shared" si="4"/>
        <v>0.93175813953488373</v>
      </c>
      <c r="N15" s="1" t="str">
        <f t="shared" si="5"/>
        <v>sell the surplus or charge</v>
      </c>
      <c r="O15" s="1">
        <v>0.25</v>
      </c>
      <c r="P15" s="1">
        <f t="shared" si="11"/>
        <v>0.5025712949976624</v>
      </c>
      <c r="Q15" s="1">
        <f t="shared" si="12"/>
        <v>1.1792</v>
      </c>
      <c r="R15" s="1">
        <f t="shared" si="13"/>
        <v>96.618525720337729</v>
      </c>
      <c r="S15" s="1">
        <f t="shared" si="16"/>
        <v>76.349059810718288</v>
      </c>
      <c r="T15" s="1">
        <f t="shared" si="14"/>
        <v>64.764641216193496</v>
      </c>
      <c r="U15" s="1" t="str">
        <f t="shared" si="15"/>
        <v>sell to the Grid</v>
      </c>
      <c r="Y15" s="1">
        <f t="shared" si="1"/>
        <v>4.0765360465116279E-2</v>
      </c>
      <c r="AA15" s="1">
        <f t="shared" si="6"/>
        <v>-2.4387768884660899</v>
      </c>
      <c r="AD15" s="1">
        <f t="shared" si="7"/>
        <v>0.25</v>
      </c>
    </row>
    <row r="16" spans="1:30" ht="15">
      <c r="A16" s="1">
        <v>15</v>
      </c>
      <c r="B16" s="1">
        <f t="shared" ref="B16:B79" si="18">IF(U16="charge",Q16,0)</f>
        <v>0</v>
      </c>
      <c r="C16" s="1">
        <f t="shared" si="3"/>
        <v>0</v>
      </c>
      <c r="D16" s="1">
        <f t="shared" si="8"/>
        <v>0.27732558139534896</v>
      </c>
      <c r="E16">
        <v>179.73</v>
      </c>
      <c r="K16" s="1">
        <f>'Solar Availability and Gener GR'!F16</f>
        <v>1.3535999999999999</v>
      </c>
      <c r="L16" s="1">
        <f>'System Load'!D16</f>
        <v>0.49744186046511629</v>
      </c>
      <c r="M16" s="1">
        <f t="shared" si="4"/>
        <v>0.85615813953488362</v>
      </c>
      <c r="N16" s="1" t="str">
        <f t="shared" si="5"/>
        <v>sell the surplus or charge</v>
      </c>
      <c r="O16" s="1">
        <v>0.25</v>
      </c>
      <c r="P16" s="1">
        <f t="shared" si="11"/>
        <v>0.5025712949976624</v>
      </c>
      <c r="Q16" s="1">
        <f t="shared" si="12"/>
        <v>1.1035999999999999</v>
      </c>
      <c r="R16" s="1">
        <f t="shared" si="13"/>
        <v>198.34231522398395</v>
      </c>
      <c r="S16" s="1">
        <f t="shared" si="16"/>
        <v>153.87341749264155</v>
      </c>
      <c r="T16" s="1">
        <f t="shared" si="14"/>
        <v>139.43762190309803</v>
      </c>
      <c r="U16" s="1" t="str">
        <f t="shared" si="15"/>
        <v>sell to the Grid</v>
      </c>
      <c r="Y16" s="1">
        <f t="shared" si="1"/>
        <v>8.9405225581395339E-2</v>
      </c>
      <c r="AA16" s="1">
        <f t="shared" si="6"/>
        <v>-1.5826187489312062</v>
      </c>
      <c r="AD16" s="1">
        <f t="shared" si="7"/>
        <v>0.25</v>
      </c>
    </row>
    <row r="17" spans="1:30" ht="15">
      <c r="A17" s="1">
        <v>16</v>
      </c>
      <c r="B17" s="1">
        <f t="shared" si="18"/>
        <v>0</v>
      </c>
      <c r="C17" s="1">
        <f t="shared" si="3"/>
        <v>0</v>
      </c>
      <c r="D17" s="1">
        <f t="shared" si="8"/>
        <v>0.27732558139534896</v>
      </c>
      <c r="E17">
        <v>295</v>
      </c>
      <c r="K17" s="1">
        <f>'Solar Availability and Gener GR'!F17</f>
        <v>1.1052</v>
      </c>
      <c r="L17" s="1">
        <f>'System Load'!D17</f>
        <v>0.49744186046511629</v>
      </c>
      <c r="M17" s="1">
        <f t="shared" si="4"/>
        <v>0.60775813953488367</v>
      </c>
      <c r="N17" s="1" t="str">
        <f t="shared" si="5"/>
        <v>sell the surplus or charge</v>
      </c>
      <c r="O17" s="1">
        <v>0.25</v>
      </c>
      <c r="P17" s="1">
        <f t="shared" si="11"/>
        <v>0.5025712949976624</v>
      </c>
      <c r="Q17" s="1">
        <f t="shared" si="12"/>
        <v>0.85519999999999996</v>
      </c>
      <c r="R17" s="1">
        <f t="shared" si="13"/>
        <v>252.27930085637394</v>
      </c>
      <c r="S17" s="1">
        <f t="shared" si="16"/>
        <v>179.28628420372962</v>
      </c>
      <c r="T17" s="1">
        <f t="shared" si="14"/>
        <v>209.65025329532773</v>
      </c>
      <c r="U17" s="1" t="str">
        <f t="shared" si="15"/>
        <v>sell to the Grid</v>
      </c>
      <c r="W17" s="1">
        <f>(Q17*E17)/1000</f>
        <v>0.25228400000000001</v>
      </c>
      <c r="Y17" s="1">
        <f t="shared" si="1"/>
        <v>0.1467453488372093</v>
      </c>
      <c r="AA17" s="1">
        <f t="shared" si="6"/>
        <v>-0.97486060939632257</v>
      </c>
      <c r="AD17" s="1">
        <f t="shared" si="7"/>
        <v>0.25</v>
      </c>
    </row>
    <row r="18" spans="1:30" ht="15">
      <c r="A18" s="1">
        <v>17</v>
      </c>
      <c r="B18" s="1">
        <f t="shared" si="18"/>
        <v>0</v>
      </c>
      <c r="C18" s="1">
        <f t="shared" si="3"/>
        <v>0</v>
      </c>
      <c r="D18" s="1">
        <f t="shared" si="8"/>
        <v>0.27732558139534896</v>
      </c>
      <c r="E18">
        <v>348.15</v>
      </c>
      <c r="K18" s="1">
        <f>'Solar Availability and Gener GR'!F18</f>
        <v>0.75959999999999994</v>
      </c>
      <c r="L18" s="1">
        <f>'System Load'!D18</f>
        <v>0.49744186046511629</v>
      </c>
      <c r="M18" s="1">
        <f t="shared" si="4"/>
        <v>0.26215813953488365</v>
      </c>
      <c r="N18" s="1" t="str">
        <f t="shared" si="5"/>
        <v>sell the surplus or charge</v>
      </c>
      <c r="O18" s="1">
        <v>0.25</v>
      </c>
      <c r="P18" s="1">
        <f t="shared" si="11"/>
        <v>0.5025712949976624</v>
      </c>
      <c r="Q18" s="1">
        <f t="shared" si="12"/>
        <v>0.50959999999999994</v>
      </c>
      <c r="R18" s="1">
        <f t="shared" si="13"/>
        <v>177.41325822621457</v>
      </c>
      <c r="S18" s="1">
        <f t="shared" si="16"/>
        <v>91.268350659261017</v>
      </c>
      <c r="T18" s="1">
        <f t="shared" si="14"/>
        <v>179.11320727146082</v>
      </c>
      <c r="U18" s="1" t="str">
        <f t="shared" si="15"/>
        <v>sell to the Grid</v>
      </c>
      <c r="W18" s="1">
        <f>(Q18*E18)/1000</f>
        <v>0.17741723999999998</v>
      </c>
      <c r="Y18" s="1">
        <f t="shared" si="1"/>
        <v>0.1731843837209302</v>
      </c>
      <c r="AA18" s="1">
        <f t="shared" si="6"/>
        <v>-0.71270246986143893</v>
      </c>
      <c r="AD18" s="1">
        <f t="shared" si="7"/>
        <v>0.25</v>
      </c>
    </row>
    <row r="19" spans="1:30" ht="15">
      <c r="A19" s="1">
        <v>18</v>
      </c>
      <c r="B19" s="1">
        <f t="shared" si="18"/>
        <v>0</v>
      </c>
      <c r="C19" s="1">
        <f t="shared" si="3"/>
        <v>0</v>
      </c>
      <c r="D19" s="1">
        <f t="shared" si="8"/>
        <v>0.27732558139534896</v>
      </c>
      <c r="E19">
        <v>322.33999999999997</v>
      </c>
      <c r="K19" s="1">
        <f>'Solar Availability and Gener GR'!F19</f>
        <v>0.30959999999999993</v>
      </c>
      <c r="L19" s="1">
        <f>'System Load'!D19</f>
        <v>0.83441860465116291</v>
      </c>
      <c r="M19" s="1">
        <f t="shared" si="4"/>
        <v>-0.52481860465116292</v>
      </c>
      <c r="N19" s="1" t="str">
        <f t="shared" si="5"/>
        <v>Buy from Grid</v>
      </c>
      <c r="V19" s="1" t="str">
        <f t="shared" ref="V19:V35" si="19">IF(D19+M19&gt;0,"discharge","buy from the Grid")</f>
        <v>buy from the Grid</v>
      </c>
      <c r="Y19" s="1">
        <f t="shared" si="1"/>
        <v>0.26896649302325587</v>
      </c>
      <c r="AA19" s="1">
        <f t="shared" si="6"/>
        <v>-1.237521074512602</v>
      </c>
      <c r="AD19" s="1">
        <f t="shared" si="7"/>
        <v>0</v>
      </c>
    </row>
    <row r="20" spans="1:30" ht="15">
      <c r="A20" s="1">
        <v>19</v>
      </c>
      <c r="B20" s="1">
        <f t="shared" si="18"/>
        <v>0</v>
      </c>
      <c r="C20" s="1">
        <f t="shared" si="3"/>
        <v>0</v>
      </c>
      <c r="D20" s="1">
        <f t="shared" si="8"/>
        <v>0.27732558139534896</v>
      </c>
      <c r="E20">
        <v>301.64999999999998</v>
      </c>
      <c r="K20" s="1">
        <f>'Solar Availability and Gener GR'!F20</f>
        <v>2.8799999999999999E-2</v>
      </c>
      <c r="L20" s="1">
        <f>'System Load'!D20</f>
        <v>0.81837209302325586</v>
      </c>
      <c r="M20" s="1">
        <f t="shared" si="4"/>
        <v>-0.78957209302325582</v>
      </c>
      <c r="N20" s="1" t="str">
        <f t="shared" si="5"/>
        <v>Buy from Grid</v>
      </c>
      <c r="V20" s="1" t="str">
        <f t="shared" si="19"/>
        <v>buy from the Grid</v>
      </c>
      <c r="Y20" s="1">
        <f t="shared" si="1"/>
        <v>0.24686194186046512</v>
      </c>
      <c r="AA20" s="1">
        <f t="shared" si="6"/>
        <v>-2.0270931675358579</v>
      </c>
      <c r="AD20" s="1">
        <f t="shared" si="7"/>
        <v>0</v>
      </c>
    </row>
    <row r="21" spans="1:30" ht="15">
      <c r="A21" s="1">
        <v>20</v>
      </c>
      <c r="B21" s="1">
        <f t="shared" si="18"/>
        <v>0</v>
      </c>
      <c r="C21" s="1">
        <f t="shared" si="3"/>
        <v>0</v>
      </c>
      <c r="D21" s="1">
        <f t="shared" si="8"/>
        <v>0.27732558139534896</v>
      </c>
      <c r="E21">
        <v>353.15</v>
      </c>
      <c r="K21" s="1">
        <f>'Solar Availability and Gener GR'!F21</f>
        <v>0</v>
      </c>
      <c r="L21" s="1">
        <f>'System Load'!D21</f>
        <v>0.83441860465116291</v>
      </c>
      <c r="M21" s="1">
        <f t="shared" si="4"/>
        <v>-0.83441860465116291</v>
      </c>
      <c r="N21" s="1" t="str">
        <f t="shared" si="5"/>
        <v>Buy from Grid</v>
      </c>
      <c r="V21" s="1" t="str">
        <f t="shared" si="19"/>
        <v>buy from the Grid</v>
      </c>
      <c r="Y21" s="1">
        <f t="shared" si="1"/>
        <v>0.29467493023255814</v>
      </c>
      <c r="AA21" s="1">
        <f t="shared" si="6"/>
        <v>-2.8615117721870207</v>
      </c>
      <c r="AD21" s="1">
        <f t="shared" si="7"/>
        <v>0</v>
      </c>
    </row>
    <row r="22" spans="1:30" ht="15">
      <c r="A22" s="1">
        <v>21</v>
      </c>
      <c r="B22" s="1">
        <f t="shared" si="18"/>
        <v>0</v>
      </c>
      <c r="C22" s="1">
        <f t="shared" si="3"/>
        <v>0</v>
      </c>
      <c r="D22" s="1">
        <f t="shared" si="8"/>
        <v>0.27732558139534896</v>
      </c>
      <c r="E22">
        <v>363.15</v>
      </c>
      <c r="K22" s="1">
        <f>'Solar Availability and Gener GR'!F22</f>
        <v>0</v>
      </c>
      <c r="L22" s="1">
        <f>'System Load'!D22</f>
        <v>0.83441860465116291</v>
      </c>
      <c r="M22" s="1">
        <f t="shared" si="4"/>
        <v>-0.83441860465116291</v>
      </c>
      <c r="N22" s="1" t="str">
        <f t="shared" si="5"/>
        <v>Buy from Grid</v>
      </c>
      <c r="V22" s="1" t="str">
        <f t="shared" si="19"/>
        <v>buy from the Grid</v>
      </c>
      <c r="X22" s="1">
        <f>(M22*E22)/1000</f>
        <v>-0.3030191162790698</v>
      </c>
      <c r="Y22" s="1">
        <f t="shared" si="1"/>
        <v>0.3030191162790698</v>
      </c>
      <c r="AA22" s="1">
        <f t="shared" si="6"/>
        <v>-3.6959303768381835</v>
      </c>
      <c r="AC22" s="1">
        <f>L22</f>
        <v>0.83441860465116291</v>
      </c>
      <c r="AD22" s="1">
        <f t="shared" si="7"/>
        <v>0.83441860465116291</v>
      </c>
    </row>
    <row r="23" spans="1:30" ht="15">
      <c r="A23" s="1">
        <v>22</v>
      </c>
      <c r="B23" s="1">
        <f t="shared" si="18"/>
        <v>0</v>
      </c>
      <c r="C23" s="1">
        <f t="shared" si="3"/>
        <v>0</v>
      </c>
      <c r="D23" s="1">
        <f t="shared" si="8"/>
        <v>0.27732558139534896</v>
      </c>
      <c r="E23">
        <v>283.56</v>
      </c>
      <c r="K23" s="1">
        <f>'Solar Availability and Gener GR'!F23</f>
        <v>0</v>
      </c>
      <c r="L23" s="1">
        <f>'System Load'!D23</f>
        <v>0.49744186046511629</v>
      </c>
      <c r="M23" s="1">
        <f t="shared" si="4"/>
        <v>-0.49744186046511629</v>
      </c>
      <c r="N23" s="1" t="str">
        <f t="shared" si="5"/>
        <v>Buy from Grid</v>
      </c>
      <c r="V23" s="1" t="str">
        <f t="shared" si="19"/>
        <v>buy from the Grid</v>
      </c>
      <c r="X23" s="1">
        <f>(M23*E23)/1000</f>
        <v>-0.14105461395348837</v>
      </c>
      <c r="Y23" s="1">
        <f t="shared" si="1"/>
        <v>0.14105461395348837</v>
      </c>
      <c r="AA23" s="1">
        <f t="shared" si="6"/>
        <v>-4.1933722373032998</v>
      </c>
      <c r="AC23" s="1">
        <f>L23</f>
        <v>0.49744186046511629</v>
      </c>
      <c r="AD23" s="1">
        <f t="shared" si="7"/>
        <v>0.49744186046511629</v>
      </c>
    </row>
    <row r="24" spans="1:30" ht="15">
      <c r="A24" s="1">
        <v>23</v>
      </c>
      <c r="B24" s="1">
        <f t="shared" si="18"/>
        <v>0</v>
      </c>
      <c r="C24" s="1">
        <f t="shared" si="3"/>
        <v>0</v>
      </c>
      <c r="D24" s="1">
        <f t="shared" si="8"/>
        <v>0.27732558139534896</v>
      </c>
      <c r="E24">
        <v>237.97</v>
      </c>
      <c r="K24" s="1">
        <f>'Solar Availability and Gener GR'!F24</f>
        <v>0</v>
      </c>
      <c r="L24" s="1">
        <f>'System Load'!D24</f>
        <v>0.49744186046511629</v>
      </c>
      <c r="M24" s="1">
        <f t="shared" si="4"/>
        <v>-0.49744186046511629</v>
      </c>
      <c r="N24" s="1" t="str">
        <f t="shared" si="5"/>
        <v>Buy from Grid</v>
      </c>
      <c r="V24" s="1" t="str">
        <f t="shared" si="19"/>
        <v>buy from the Grid</v>
      </c>
      <c r="X24" s="1">
        <f>(M24*E24)/1000</f>
        <v>-0.11837623953488373</v>
      </c>
      <c r="Y24" s="1">
        <f t="shared" si="1"/>
        <v>0.11837623953488373</v>
      </c>
      <c r="AA24" s="1">
        <f t="shared" si="6"/>
        <v>-4.6908140977684161</v>
      </c>
      <c r="AC24" s="1">
        <f>L24</f>
        <v>0.49744186046511629</v>
      </c>
      <c r="AD24" s="1">
        <f t="shared" si="7"/>
        <v>0.49744186046511629</v>
      </c>
    </row>
    <row r="25" spans="1:30" ht="15">
      <c r="A25" s="1">
        <v>24</v>
      </c>
      <c r="B25" s="1">
        <f t="shared" si="18"/>
        <v>0</v>
      </c>
      <c r="C25" s="1">
        <f t="shared" si="3"/>
        <v>0</v>
      </c>
      <c r="D25" s="1">
        <f t="shared" si="8"/>
        <v>0.27732558139534896</v>
      </c>
      <c r="E25">
        <v>230.59</v>
      </c>
      <c r="K25" s="1">
        <f>'Solar Availability and Gener GR'!F25</f>
        <v>0</v>
      </c>
      <c r="L25" s="1">
        <f>'System Load'!D25</f>
        <v>0.49744186046511629</v>
      </c>
      <c r="M25" s="1">
        <f t="shared" si="4"/>
        <v>-0.49744186046511629</v>
      </c>
      <c r="N25" s="1" t="str">
        <f t="shared" si="5"/>
        <v>Buy from Grid</v>
      </c>
      <c r="V25" s="1" t="str">
        <f t="shared" si="19"/>
        <v>buy from the Grid</v>
      </c>
      <c r="X25" s="1">
        <f>(M25*E25)/1000</f>
        <v>-0.11470511860465116</v>
      </c>
      <c r="Y25" s="1">
        <f t="shared" si="1"/>
        <v>0.11470511860465116</v>
      </c>
      <c r="AA25" s="1">
        <f t="shared" si="6"/>
        <v>-5.1882559582335324</v>
      </c>
      <c r="AC25" s="1">
        <f>L25</f>
        <v>0.49744186046511629</v>
      </c>
      <c r="AD25" s="1">
        <f t="shared" si="7"/>
        <v>0.49744186046511629</v>
      </c>
    </row>
    <row r="26" spans="1:30" ht="15">
      <c r="A26" s="1">
        <v>25</v>
      </c>
      <c r="B26" s="1">
        <f t="shared" si="18"/>
        <v>0</v>
      </c>
      <c r="C26" s="1">
        <f t="shared" si="3"/>
        <v>0</v>
      </c>
      <c r="D26" s="1">
        <f t="shared" si="8"/>
        <v>0.27732558139534896</v>
      </c>
      <c r="E26">
        <v>187.27</v>
      </c>
      <c r="K26" s="1">
        <f>'Solar Availability and Gener GR'!F26</f>
        <v>0</v>
      </c>
      <c r="L26" s="1">
        <f>'System Load'!D26</f>
        <v>0.36906976744186054</v>
      </c>
      <c r="M26" s="1">
        <f t="shared" si="4"/>
        <v>-0.36906976744186054</v>
      </c>
      <c r="N26" s="1" t="str">
        <f t="shared" si="5"/>
        <v>Buy from Grid</v>
      </c>
      <c r="V26" s="1" t="str">
        <f t="shared" si="19"/>
        <v>buy from the Grid</v>
      </c>
      <c r="Y26" s="1">
        <f t="shared" si="1"/>
        <v>6.9115695348837228E-2</v>
      </c>
      <c r="AA26" s="1">
        <f t="shared" si="6"/>
        <v>-5.5573257256753932</v>
      </c>
      <c r="AD26" s="1">
        <f t="shared" si="7"/>
        <v>0</v>
      </c>
    </row>
    <row r="27" spans="1:30" ht="15">
      <c r="A27" s="1">
        <v>26</v>
      </c>
      <c r="B27" s="1">
        <f t="shared" si="18"/>
        <v>0</v>
      </c>
      <c r="C27" s="1">
        <f t="shared" si="3"/>
        <v>0</v>
      </c>
      <c r="D27" s="1">
        <f t="shared" si="8"/>
        <v>0.27732558139534896</v>
      </c>
      <c r="E27">
        <v>187.2</v>
      </c>
      <c r="K27" s="1">
        <f>'Solar Availability and Gener GR'!F27</f>
        <v>0</v>
      </c>
      <c r="L27" s="1">
        <f>'System Load'!D27</f>
        <v>0.36906976744186054</v>
      </c>
      <c r="M27" s="1">
        <f t="shared" si="4"/>
        <v>-0.36906976744186054</v>
      </c>
      <c r="N27" s="1" t="str">
        <f t="shared" si="5"/>
        <v>Buy from Grid</v>
      </c>
      <c r="V27" s="1" t="str">
        <f t="shared" si="19"/>
        <v>buy from the Grid</v>
      </c>
      <c r="X27" s="1">
        <f t="shared" ref="X27:X35" si="20">(M27*E27)/1000</f>
        <v>-6.9089860465116282E-2</v>
      </c>
      <c r="Y27" s="1">
        <f t="shared" si="1"/>
        <v>6.9089860465116282E-2</v>
      </c>
      <c r="AA27" s="1">
        <f t="shared" si="6"/>
        <v>-5.926395493117254</v>
      </c>
      <c r="AC27" s="1">
        <f t="shared" ref="AC27:AC35" si="21">L27</f>
        <v>0.36906976744186054</v>
      </c>
      <c r="AD27" s="1">
        <f t="shared" si="7"/>
        <v>0.36906976744186054</v>
      </c>
    </row>
    <row r="28" spans="1:30" ht="15">
      <c r="A28" s="1">
        <v>27</v>
      </c>
      <c r="B28" s="1">
        <f t="shared" si="18"/>
        <v>0</v>
      </c>
      <c r="C28" s="1">
        <f t="shared" si="3"/>
        <v>0</v>
      </c>
      <c r="D28" s="1">
        <f t="shared" si="8"/>
        <v>0.27732558139534896</v>
      </c>
      <c r="E28">
        <v>180</v>
      </c>
      <c r="K28" s="1">
        <f>'Solar Availability and Gener GR'!F28</f>
        <v>0</v>
      </c>
      <c r="L28" s="1">
        <f>'System Load'!D28</f>
        <v>0.36906976744186054</v>
      </c>
      <c r="M28" s="1">
        <f t="shared" si="4"/>
        <v>-0.36906976744186054</v>
      </c>
      <c r="N28" s="1" t="str">
        <f t="shared" si="5"/>
        <v>Buy from Grid</v>
      </c>
      <c r="V28" s="1" t="str">
        <f t="shared" si="19"/>
        <v>buy from the Grid</v>
      </c>
      <c r="X28" s="1">
        <f t="shared" si="20"/>
        <v>-6.6432558139534886E-2</v>
      </c>
      <c r="Y28" s="1">
        <f t="shared" si="1"/>
        <v>6.6432558139534886E-2</v>
      </c>
      <c r="AA28" s="1">
        <f t="shared" si="6"/>
        <v>-6.2954652605591148</v>
      </c>
      <c r="AC28" s="1">
        <f t="shared" si="21"/>
        <v>0.36906976744186054</v>
      </c>
      <c r="AD28" s="1">
        <f t="shared" si="7"/>
        <v>0.36906976744186054</v>
      </c>
    </row>
    <row r="29" spans="1:30" ht="15">
      <c r="A29" s="1">
        <v>28</v>
      </c>
      <c r="B29" s="1">
        <f t="shared" si="18"/>
        <v>0</v>
      </c>
      <c r="C29" s="1">
        <f t="shared" si="3"/>
        <v>0</v>
      </c>
      <c r="D29" s="1">
        <f t="shared" si="8"/>
        <v>0.27732558139534896</v>
      </c>
      <c r="E29">
        <v>180</v>
      </c>
      <c r="K29" s="1">
        <f>'Solar Availability and Gener GR'!F29</f>
        <v>0</v>
      </c>
      <c r="L29" s="1">
        <f>'System Load'!D29</f>
        <v>0.36906976744186054</v>
      </c>
      <c r="M29" s="1">
        <f t="shared" si="4"/>
        <v>-0.36906976744186054</v>
      </c>
      <c r="N29" s="1" t="str">
        <f t="shared" si="5"/>
        <v>Buy from Grid</v>
      </c>
      <c r="V29" s="1" t="str">
        <f t="shared" si="19"/>
        <v>buy from the Grid</v>
      </c>
      <c r="X29" s="1">
        <f t="shared" si="20"/>
        <v>-6.6432558139534886E-2</v>
      </c>
      <c r="Y29" s="1">
        <f t="shared" si="1"/>
        <v>6.6432558139534886E-2</v>
      </c>
      <c r="AA29" s="1">
        <f t="shared" si="6"/>
        <v>-6.6645350280009756</v>
      </c>
      <c r="AC29" s="1">
        <f t="shared" si="21"/>
        <v>0.36906976744186054</v>
      </c>
      <c r="AD29" s="1">
        <f t="shared" si="7"/>
        <v>0.36906976744186054</v>
      </c>
    </row>
    <row r="30" spans="1:30" ht="15">
      <c r="A30" s="1">
        <v>29</v>
      </c>
      <c r="B30" s="1">
        <f t="shared" si="18"/>
        <v>0</v>
      </c>
      <c r="C30" s="1">
        <f t="shared" si="3"/>
        <v>0</v>
      </c>
      <c r="D30" s="1">
        <f t="shared" si="8"/>
        <v>0.27732558139534896</v>
      </c>
      <c r="E30">
        <v>185.89</v>
      </c>
      <c r="K30" s="1">
        <f>'Solar Availability and Gener GR'!F30</f>
        <v>0</v>
      </c>
      <c r="L30" s="1">
        <f>'System Load'!D30</f>
        <v>0.36906976744186054</v>
      </c>
      <c r="M30" s="1">
        <f t="shared" si="4"/>
        <v>-0.36906976744186054</v>
      </c>
      <c r="N30" s="1" t="str">
        <f t="shared" si="5"/>
        <v>Buy from Grid</v>
      </c>
      <c r="V30" s="1" t="str">
        <f t="shared" si="19"/>
        <v>buy from the Grid</v>
      </c>
      <c r="X30" s="1">
        <f t="shared" si="20"/>
        <v>-6.8606379069767451E-2</v>
      </c>
      <c r="Y30" s="1">
        <f t="shared" si="1"/>
        <v>6.8606379069767451E-2</v>
      </c>
      <c r="AA30" s="1">
        <f t="shared" si="6"/>
        <v>-7.0336047954428365</v>
      </c>
      <c r="AC30" s="1">
        <f t="shared" si="21"/>
        <v>0.36906976744186054</v>
      </c>
      <c r="AD30" s="1">
        <f t="shared" si="7"/>
        <v>0.36906976744186054</v>
      </c>
    </row>
    <row r="31" spans="1:30" ht="15">
      <c r="A31" s="1">
        <v>30</v>
      </c>
      <c r="B31" s="1">
        <f t="shared" si="18"/>
        <v>0</v>
      </c>
      <c r="C31" s="1">
        <f t="shared" si="3"/>
        <v>0</v>
      </c>
      <c r="D31" s="1">
        <f t="shared" si="8"/>
        <v>0.27732558139534896</v>
      </c>
      <c r="E31">
        <v>271.87</v>
      </c>
      <c r="K31" s="1">
        <f>'Solar Availability and Gener GR'!F31</f>
        <v>0</v>
      </c>
      <c r="L31" s="1">
        <f>'System Load'!D31</f>
        <v>0.49744186046511629</v>
      </c>
      <c r="M31" s="1">
        <f t="shared" si="4"/>
        <v>-0.49744186046511629</v>
      </c>
      <c r="N31" s="1" t="str">
        <f t="shared" si="5"/>
        <v>Buy from Grid</v>
      </c>
      <c r="V31" s="1" t="str">
        <f t="shared" si="19"/>
        <v>buy from the Grid</v>
      </c>
      <c r="X31" s="1">
        <f t="shared" si="20"/>
        <v>-0.13523951860465119</v>
      </c>
      <c r="Y31" s="1">
        <f t="shared" si="1"/>
        <v>0.13523951860465119</v>
      </c>
      <c r="AA31" s="1">
        <f t="shared" si="6"/>
        <v>-7.5310466559079527</v>
      </c>
      <c r="AC31" s="1">
        <f t="shared" si="21"/>
        <v>0.49744186046511629</v>
      </c>
      <c r="AD31" s="1">
        <f t="shared" si="7"/>
        <v>0.49744186046511629</v>
      </c>
    </row>
    <row r="32" spans="1:30" ht="15">
      <c r="A32" s="1">
        <v>31</v>
      </c>
      <c r="B32" s="1">
        <f t="shared" si="18"/>
        <v>0</v>
      </c>
      <c r="C32" s="1">
        <f t="shared" si="3"/>
        <v>0</v>
      </c>
      <c r="D32" s="1">
        <f t="shared" si="8"/>
        <v>0.27732558139534896</v>
      </c>
      <c r="E32">
        <v>348.77</v>
      </c>
      <c r="K32" s="1">
        <f>'Solar Availability and Gener GR'!F32</f>
        <v>3.5999999999999997E-2</v>
      </c>
      <c r="L32" s="1">
        <f>'System Load'!D32</f>
        <v>0.83441860465116291</v>
      </c>
      <c r="M32" s="1">
        <f t="shared" si="4"/>
        <v>-0.79841860465116288</v>
      </c>
      <c r="N32" s="1" t="str">
        <f t="shared" si="5"/>
        <v>Buy from Grid</v>
      </c>
      <c r="V32" s="1" t="str">
        <f t="shared" si="19"/>
        <v>buy from the Grid</v>
      </c>
      <c r="X32" s="1">
        <f t="shared" si="20"/>
        <v>-0.27846445674418607</v>
      </c>
      <c r="Y32" s="1">
        <f t="shared" si="1"/>
        <v>0.29102017674418607</v>
      </c>
      <c r="AA32" s="1">
        <f t="shared" si="6"/>
        <v>-8.3294652605591164</v>
      </c>
      <c r="AC32" s="1">
        <f t="shared" si="21"/>
        <v>0.83441860465116291</v>
      </c>
      <c r="AD32" s="1">
        <f t="shared" si="7"/>
        <v>0.83441860465116291</v>
      </c>
    </row>
    <row r="33" spans="1:30" ht="15">
      <c r="A33" s="1">
        <v>32</v>
      </c>
      <c r="B33" s="1">
        <f t="shared" si="18"/>
        <v>0</v>
      </c>
      <c r="C33" s="1">
        <f t="shared" si="3"/>
        <v>0</v>
      </c>
      <c r="D33" s="1">
        <f t="shared" si="8"/>
        <v>0.27732558139534896</v>
      </c>
      <c r="E33">
        <v>353.77</v>
      </c>
      <c r="K33" s="1">
        <f>'Solar Availability and Gener GR'!F33</f>
        <v>7.1999999999999995E-2</v>
      </c>
      <c r="L33" s="1">
        <f>'System Load'!D33</f>
        <v>0.81837209302325586</v>
      </c>
      <c r="M33" s="1">
        <f t="shared" si="4"/>
        <v>-0.74637209302325591</v>
      </c>
      <c r="N33" s="1" t="str">
        <f t="shared" si="5"/>
        <v>Buy from Grid</v>
      </c>
      <c r="V33" s="1" t="str">
        <f t="shared" si="19"/>
        <v>buy from the Grid</v>
      </c>
      <c r="X33" s="1">
        <f t="shared" si="20"/>
        <v>-0.26404405534883724</v>
      </c>
      <c r="Y33" s="1">
        <f t="shared" si="1"/>
        <v>0.28951549534883719</v>
      </c>
      <c r="AA33" s="1">
        <f t="shared" si="6"/>
        <v>-9.0758373535823722</v>
      </c>
      <c r="AC33" s="1">
        <f t="shared" si="21"/>
        <v>0.81837209302325586</v>
      </c>
      <c r="AD33" s="1">
        <f t="shared" si="7"/>
        <v>0.81837209302325586</v>
      </c>
    </row>
    <row r="34" spans="1:30" ht="15">
      <c r="A34" s="1">
        <v>33</v>
      </c>
      <c r="B34" s="1">
        <f t="shared" si="18"/>
        <v>0</v>
      </c>
      <c r="C34" s="1">
        <f t="shared" si="3"/>
        <v>0</v>
      </c>
      <c r="D34" s="1">
        <f t="shared" si="8"/>
        <v>0.27732558139534896</v>
      </c>
      <c r="E34">
        <v>231</v>
      </c>
      <c r="K34" s="1">
        <f>'Solar Availability and Gener GR'!F34</f>
        <v>0.108</v>
      </c>
      <c r="L34" s="1">
        <f>'System Load'!D34</f>
        <v>0.81837209302325586</v>
      </c>
      <c r="M34" s="1">
        <f t="shared" si="4"/>
        <v>-0.71037209302325588</v>
      </c>
      <c r="N34" s="1" t="str">
        <f t="shared" si="5"/>
        <v>Buy from Grid</v>
      </c>
      <c r="V34" s="1" t="str">
        <f t="shared" si="19"/>
        <v>buy from the Grid</v>
      </c>
      <c r="X34" s="1">
        <f t="shared" si="20"/>
        <v>-0.16409595348837211</v>
      </c>
      <c r="Y34" s="1">
        <f t="shared" si="1"/>
        <v>0.18904395348837211</v>
      </c>
      <c r="AA34" s="1">
        <f t="shared" si="6"/>
        <v>-9.7862094466056284</v>
      </c>
      <c r="AC34" s="1">
        <f t="shared" si="21"/>
        <v>0.81837209302325586</v>
      </c>
      <c r="AD34" s="1">
        <f t="shared" si="7"/>
        <v>0.81837209302325586</v>
      </c>
    </row>
    <row r="35" spans="1:30" ht="15">
      <c r="A35" s="1">
        <v>34</v>
      </c>
      <c r="B35" s="1">
        <f t="shared" si="18"/>
        <v>0</v>
      </c>
      <c r="C35" s="1">
        <f t="shared" si="3"/>
        <v>0</v>
      </c>
      <c r="D35" s="1">
        <f t="shared" si="8"/>
        <v>0.27732558139534896</v>
      </c>
      <c r="E35">
        <v>203.99</v>
      </c>
      <c r="K35" s="1">
        <f>'Solar Availability and Gener GR'!F35</f>
        <v>0.17817591026439972</v>
      </c>
      <c r="L35" s="1">
        <f>'System Load'!D35</f>
        <v>0.49744186046511629</v>
      </c>
      <c r="M35" s="1">
        <f t="shared" si="4"/>
        <v>-0.31926595020071658</v>
      </c>
      <c r="N35" s="1" t="str">
        <f t="shared" si="5"/>
        <v>Buy from Grid</v>
      </c>
      <c r="V35" s="1" t="str">
        <f t="shared" si="19"/>
        <v>buy from the Grid</v>
      </c>
      <c r="X35" s="1">
        <f t="shared" si="20"/>
        <v>-6.5127061181444179E-2</v>
      </c>
      <c r="Y35" s="1">
        <f t="shared" si="1"/>
        <v>0.10147316511627907</v>
      </c>
      <c r="AA35" s="1">
        <f t="shared" si="6"/>
        <v>-10.105475396806344</v>
      </c>
      <c r="AC35" s="1">
        <f t="shared" si="21"/>
        <v>0.49744186046511629</v>
      </c>
      <c r="AD35" s="1">
        <f t="shared" si="7"/>
        <v>0.49744186046511629</v>
      </c>
    </row>
    <row r="36" spans="1:30" ht="15">
      <c r="A36" s="1">
        <v>35</v>
      </c>
      <c r="B36" s="1">
        <f t="shared" si="18"/>
        <v>0</v>
      </c>
      <c r="C36" s="1">
        <f t="shared" si="3"/>
        <v>0</v>
      </c>
      <c r="D36" s="1">
        <f t="shared" si="8"/>
        <v>0.27732558139534896</v>
      </c>
      <c r="E36">
        <v>196.23</v>
      </c>
      <c r="K36" s="1">
        <f>'Solar Availability and Gener GR'!F36</f>
        <v>0.60861301522300082</v>
      </c>
      <c r="L36" s="1">
        <f>'System Load'!D36</f>
        <v>0.49744186046511629</v>
      </c>
      <c r="M36" s="1">
        <f t="shared" si="4"/>
        <v>0.11117115475788453</v>
      </c>
      <c r="N36" s="1" t="str">
        <f t="shared" si="5"/>
        <v>sell the surplus or charge</v>
      </c>
      <c r="O36" s="1">
        <v>0.25</v>
      </c>
      <c r="P36" s="1">
        <f t="shared" ref="P36:P42" si="22">0.25/L36</f>
        <v>0.5025712949976624</v>
      </c>
      <c r="Q36" s="1">
        <f t="shared" ref="Q36:Q42" si="23">K36-P36*L36</f>
        <v>0.35861301522300082</v>
      </c>
      <c r="R36" s="1">
        <f t="shared" ref="R36:R42" si="24">((1/(E36+0.01))*LN(0.25))+(E36*(K36-0.25))</f>
        <v>70.36356769693468</v>
      </c>
      <c r="S36" s="1">
        <f t="shared" ref="S36:S42" si="25">((1/(E36+0.01))*LN(L36))+(E36*(K36-L36))</f>
        <v>21.811557419538989</v>
      </c>
      <c r="T36" s="1">
        <f t="shared" ref="T36:T42" si="26">(S36+((S36^2)-4*(K36-L36*P36)*LN(L36*P36))^(0.5))/(2*(K36-L36*P36))</f>
        <v>60.885482051007287</v>
      </c>
      <c r="U36" s="1" t="str">
        <f t="shared" ref="U36:U42" si="27">IF(E36&gt;=T36*1.2,"sell to the Grid","charge")</f>
        <v>sell to the Grid</v>
      </c>
      <c r="W36" s="1">
        <f>(Q36*E36)/1000</f>
        <v>7.0370631977209441E-2</v>
      </c>
      <c r="Y36" s="1">
        <f t="shared" si="1"/>
        <v>9.7613016279069764E-2</v>
      </c>
      <c r="AA36" s="1">
        <f t="shared" si="6"/>
        <v>-9.9943042420484591</v>
      </c>
      <c r="AD36" s="1">
        <f t="shared" si="7"/>
        <v>0.25</v>
      </c>
    </row>
    <row r="37" spans="1:30" ht="15">
      <c r="A37" s="1">
        <v>36</v>
      </c>
      <c r="B37" s="1">
        <f t="shared" si="18"/>
        <v>0</v>
      </c>
      <c r="C37" s="1">
        <f t="shared" si="3"/>
        <v>0</v>
      </c>
      <c r="D37" s="1">
        <f t="shared" si="8"/>
        <v>0.27732558139534896</v>
      </c>
      <c r="E37">
        <v>188.89</v>
      </c>
      <c r="K37" s="1">
        <f>'Solar Availability and Gener GR'!F37</f>
        <v>1.0763999999999998</v>
      </c>
      <c r="L37" s="1">
        <f>'System Load'!D37</f>
        <v>0.49744186046511629</v>
      </c>
      <c r="M37" s="1">
        <f t="shared" si="4"/>
        <v>0.57895813953488351</v>
      </c>
      <c r="N37" s="1" t="str">
        <f t="shared" si="5"/>
        <v>sell the surplus or charge</v>
      </c>
      <c r="O37" s="1">
        <v>0.25</v>
      </c>
      <c r="P37" s="1">
        <f t="shared" si="22"/>
        <v>0.5025712949976624</v>
      </c>
      <c r="Q37" s="1">
        <f t="shared" si="23"/>
        <v>0.8263999999999998</v>
      </c>
      <c r="R37" s="1">
        <f t="shared" si="24"/>
        <v>156.09135722625132</v>
      </c>
      <c r="S37" s="1">
        <f t="shared" si="25"/>
        <v>109.35570643575632</v>
      </c>
      <c r="T37" s="1">
        <f t="shared" si="26"/>
        <v>132.34049085819382</v>
      </c>
      <c r="U37" s="1" t="str">
        <f t="shared" si="27"/>
        <v>sell to the Grid</v>
      </c>
      <c r="W37" s="1">
        <f>(Q37*E37)/1000</f>
        <v>0.15609869599999995</v>
      </c>
      <c r="Y37" s="1">
        <f t="shared" si="1"/>
        <v>9.3961793023255802E-2</v>
      </c>
      <c r="AA37" s="1">
        <f t="shared" si="6"/>
        <v>-9.4153461025135758</v>
      </c>
      <c r="AD37" s="1">
        <f t="shared" si="7"/>
        <v>0.25</v>
      </c>
    </row>
    <row r="38" spans="1:30" ht="15">
      <c r="A38" s="1">
        <v>37</v>
      </c>
      <c r="B38" s="1">
        <f t="shared" si="18"/>
        <v>0</v>
      </c>
      <c r="C38" s="1">
        <f t="shared" si="3"/>
        <v>0</v>
      </c>
      <c r="D38" s="1">
        <f t="shared" si="8"/>
        <v>0.27732558139534896</v>
      </c>
      <c r="E38">
        <v>187.91</v>
      </c>
      <c r="K38" s="1">
        <f>'Solar Availability and Gener GR'!F38</f>
        <v>1.6416000000000002</v>
      </c>
      <c r="L38" s="1">
        <f>'System Load'!D38</f>
        <v>0.49744186046511629</v>
      </c>
      <c r="M38" s="1">
        <f t="shared" si="4"/>
        <v>1.1441581395348839</v>
      </c>
      <c r="N38" s="1" t="str">
        <f t="shared" si="5"/>
        <v>sell the surplus or charge</v>
      </c>
      <c r="O38" s="1">
        <v>0.25</v>
      </c>
      <c r="P38" s="1">
        <f t="shared" si="22"/>
        <v>0.5025712949976624</v>
      </c>
      <c r="Q38" s="1">
        <f t="shared" si="23"/>
        <v>1.3916000000000002</v>
      </c>
      <c r="R38" s="1">
        <f t="shared" si="24"/>
        <v>261.48817895465561</v>
      </c>
      <c r="S38" s="1">
        <f t="shared" si="25"/>
        <v>214.99504018160602</v>
      </c>
      <c r="T38" s="1">
        <f t="shared" si="26"/>
        <v>154.50130273425199</v>
      </c>
      <c r="U38" s="1" t="str">
        <f t="shared" si="27"/>
        <v>sell to the Grid</v>
      </c>
      <c r="Y38" s="1">
        <f t="shared" si="1"/>
        <v>9.3474299999999996E-2</v>
      </c>
      <c r="AA38" s="1">
        <f t="shared" si="6"/>
        <v>-8.2711879629786917</v>
      </c>
      <c r="AD38" s="1">
        <f t="shared" si="7"/>
        <v>0.25</v>
      </c>
    </row>
    <row r="39" spans="1:30" ht="15">
      <c r="A39" s="1">
        <v>38</v>
      </c>
      <c r="B39" s="1">
        <f t="shared" si="18"/>
        <v>1.5247999999999999</v>
      </c>
      <c r="C39" s="1">
        <f t="shared" si="3"/>
        <v>0</v>
      </c>
      <c r="D39" s="1">
        <f t="shared" si="8"/>
        <v>1.4971655813953491</v>
      </c>
      <c r="E39">
        <v>188.89</v>
      </c>
      <c r="K39" s="1">
        <f>'Solar Availability and Gener GR'!F39</f>
        <v>1.7747999999999999</v>
      </c>
      <c r="L39" s="1">
        <f>'System Load'!D39</f>
        <v>0.49744186046511629</v>
      </c>
      <c r="M39" s="1">
        <f t="shared" si="4"/>
        <v>1.2773581395348836</v>
      </c>
      <c r="N39" s="1" t="str">
        <f t="shared" si="5"/>
        <v>sell the surplus or charge</v>
      </c>
      <c r="O39" s="1">
        <v>0.25</v>
      </c>
      <c r="P39" s="1">
        <f t="shared" si="22"/>
        <v>0.5025712949976624</v>
      </c>
      <c r="Q39" s="1">
        <f t="shared" si="23"/>
        <v>1.5247999999999999</v>
      </c>
      <c r="R39" s="1">
        <f t="shared" si="24"/>
        <v>288.01213322625131</v>
      </c>
      <c r="S39" s="1">
        <f t="shared" si="25"/>
        <v>241.27648243575635</v>
      </c>
      <c r="T39" s="1">
        <f t="shared" si="26"/>
        <v>158.24058441168768</v>
      </c>
      <c r="U39" s="1" t="str">
        <f t="shared" si="27"/>
        <v>charge</v>
      </c>
      <c r="Y39" s="1">
        <f t="shared" si="1"/>
        <v>9.3961793023255802E-2</v>
      </c>
      <c r="AA39" s="1">
        <f t="shared" si="6"/>
        <v>-6.9938298234438081</v>
      </c>
      <c r="AD39" s="1">
        <f t="shared" si="7"/>
        <v>0.25</v>
      </c>
    </row>
    <row r="40" spans="1:30" ht="15">
      <c r="A40" s="1">
        <v>39</v>
      </c>
      <c r="B40" s="1">
        <f t="shared" si="18"/>
        <v>0</v>
      </c>
      <c r="C40" s="1">
        <f t="shared" si="3"/>
        <v>0</v>
      </c>
      <c r="D40" s="1">
        <f t="shared" si="8"/>
        <v>1.4971655813953491</v>
      </c>
      <c r="E40">
        <v>203.7</v>
      </c>
      <c r="K40" s="1">
        <f>'Solar Availability and Gener GR'!F40</f>
        <v>1.6596</v>
      </c>
      <c r="L40" s="1">
        <f>'System Load'!D40</f>
        <v>0.49744186046511629</v>
      </c>
      <c r="M40" s="1">
        <f t="shared" si="4"/>
        <v>1.1621581395348837</v>
      </c>
      <c r="N40" s="1" t="str">
        <f t="shared" si="5"/>
        <v>sell the surplus or charge</v>
      </c>
      <c r="O40" s="1">
        <v>0.25</v>
      </c>
      <c r="P40" s="1">
        <f t="shared" si="22"/>
        <v>0.5025712949976624</v>
      </c>
      <c r="Q40" s="1">
        <f t="shared" si="23"/>
        <v>1.4096</v>
      </c>
      <c r="R40" s="1">
        <f t="shared" si="24"/>
        <v>287.12871476529813</v>
      </c>
      <c r="S40" s="1">
        <f t="shared" si="25"/>
        <v>236.72818522593312</v>
      </c>
      <c r="T40" s="1">
        <f t="shared" si="26"/>
        <v>167.94582834826966</v>
      </c>
      <c r="U40" s="1" t="str">
        <f t="shared" si="27"/>
        <v>sell to the Grid</v>
      </c>
      <c r="Y40" s="1">
        <f t="shared" si="1"/>
        <v>0.10132890697674418</v>
      </c>
      <c r="AA40" s="1">
        <f t="shared" si="6"/>
        <v>-5.8316716839089242</v>
      </c>
      <c r="AD40" s="1">
        <f t="shared" si="7"/>
        <v>0.25</v>
      </c>
    </row>
    <row r="41" spans="1:30" ht="15">
      <c r="A41" s="1">
        <v>40</v>
      </c>
      <c r="B41" s="1">
        <f t="shared" si="18"/>
        <v>0</v>
      </c>
      <c r="C41" s="1">
        <f t="shared" si="3"/>
        <v>0</v>
      </c>
      <c r="D41" s="1">
        <f t="shared" si="8"/>
        <v>1.4971655813953491</v>
      </c>
      <c r="E41">
        <v>363.77</v>
      </c>
      <c r="K41" s="1">
        <f>'Solar Availability and Gener GR'!F41</f>
        <v>1.4112</v>
      </c>
      <c r="L41" s="1">
        <f>'System Load'!D41</f>
        <v>0.49744186046511629</v>
      </c>
      <c r="M41" s="1">
        <f t="shared" si="4"/>
        <v>0.91375813953488372</v>
      </c>
      <c r="N41" s="1" t="str">
        <f t="shared" si="5"/>
        <v>sell the surplus or charge</v>
      </c>
      <c r="O41" s="1">
        <v>0.25</v>
      </c>
      <c r="P41" s="1">
        <f t="shared" si="22"/>
        <v>0.5025712949976624</v>
      </c>
      <c r="Q41" s="1">
        <f t="shared" si="23"/>
        <v>1.1612</v>
      </c>
      <c r="R41" s="1">
        <f t="shared" si="24"/>
        <v>422.40591319577459</v>
      </c>
      <c r="S41" s="1">
        <f t="shared" si="25"/>
        <v>332.39587891617845</v>
      </c>
      <c r="T41" s="1">
        <f t="shared" si="26"/>
        <v>286.25621922209211</v>
      </c>
      <c r="U41" s="1" t="str">
        <f t="shared" si="27"/>
        <v>sell to the Grid</v>
      </c>
      <c r="Y41" s="1">
        <f t="shared" si="1"/>
        <v>0.18095442558139535</v>
      </c>
      <c r="AA41" s="1">
        <f t="shared" si="6"/>
        <v>-4.9179135443740405</v>
      </c>
      <c r="AD41" s="1">
        <f t="shared" si="7"/>
        <v>0.25</v>
      </c>
    </row>
    <row r="42" spans="1:30" ht="15">
      <c r="A42" s="1">
        <v>41</v>
      </c>
      <c r="B42" s="1">
        <f t="shared" si="18"/>
        <v>0</v>
      </c>
      <c r="C42" s="1">
        <f t="shared" si="3"/>
        <v>0</v>
      </c>
      <c r="D42" s="1">
        <f t="shared" si="8"/>
        <v>1.4971655813953491</v>
      </c>
      <c r="E42">
        <v>348.77</v>
      </c>
      <c r="K42" s="1">
        <f>'Solar Availability and Gener GR'!F42</f>
        <v>1.0835999999999999</v>
      </c>
      <c r="L42" s="1">
        <f>'System Load'!D42</f>
        <v>0.49744186046511629</v>
      </c>
      <c r="M42" s="1">
        <f t="shared" si="4"/>
        <v>0.5861581395348836</v>
      </c>
      <c r="N42" s="1" t="str">
        <f t="shared" si="5"/>
        <v>sell the surplus or charge</v>
      </c>
      <c r="O42" s="1">
        <v>0.25</v>
      </c>
      <c r="P42" s="1">
        <f t="shared" si="22"/>
        <v>0.5025712949976624</v>
      </c>
      <c r="Q42" s="1">
        <f t="shared" si="23"/>
        <v>0.8335999999999999</v>
      </c>
      <c r="R42" s="1">
        <f t="shared" si="24"/>
        <v>290.73069730431462</v>
      </c>
      <c r="S42" s="1">
        <f t="shared" si="25"/>
        <v>204.43237227101227</v>
      </c>
      <c r="T42" s="1">
        <f t="shared" si="26"/>
        <v>245.2471508074351</v>
      </c>
      <c r="U42" s="1" t="str">
        <f t="shared" si="27"/>
        <v>sell to the Grid</v>
      </c>
      <c r="W42" s="1">
        <f>(Q42*E42)/1000</f>
        <v>0.29073467199999992</v>
      </c>
      <c r="Y42" s="1">
        <f t="shared" si="1"/>
        <v>0.17349279767441861</v>
      </c>
      <c r="AA42" s="1">
        <f t="shared" si="6"/>
        <v>-4.3317554048391571</v>
      </c>
      <c r="AD42" s="1">
        <f t="shared" si="7"/>
        <v>0.25</v>
      </c>
    </row>
    <row r="43" spans="1:30" ht="15">
      <c r="A43" s="1">
        <v>42</v>
      </c>
      <c r="B43" s="1">
        <f t="shared" si="18"/>
        <v>0</v>
      </c>
      <c r="C43" s="1">
        <f t="shared" si="3"/>
        <v>0</v>
      </c>
      <c r="D43" s="1">
        <f t="shared" si="8"/>
        <v>1.4971655813953491</v>
      </c>
      <c r="E43">
        <v>363.77</v>
      </c>
      <c r="K43" s="1">
        <f>'Solar Availability and Gener GR'!F43</f>
        <v>0.54</v>
      </c>
      <c r="L43" s="1">
        <f>'System Load'!D43</f>
        <v>0.83441860465116291</v>
      </c>
      <c r="M43" s="1">
        <f t="shared" si="4"/>
        <v>-0.29441860465116287</v>
      </c>
      <c r="N43" s="1" t="str">
        <f t="shared" si="5"/>
        <v>Buy from Grid</v>
      </c>
      <c r="V43" s="1" t="str">
        <f t="shared" ref="V43:V58" si="28">IF(D43+M43&gt;0,"discharge","buy from the Grid")</f>
        <v>discharge</v>
      </c>
      <c r="Y43" s="1">
        <f t="shared" si="1"/>
        <v>0.3035364558139535</v>
      </c>
      <c r="AA43" s="1">
        <f t="shared" si="6"/>
        <v>-4.6261740094903203</v>
      </c>
      <c r="AD43" s="1">
        <f t="shared" si="7"/>
        <v>0</v>
      </c>
    </row>
    <row r="44" spans="1:30" ht="15">
      <c r="A44" s="1">
        <v>43</v>
      </c>
      <c r="B44" s="1">
        <f t="shared" si="18"/>
        <v>0</v>
      </c>
      <c r="C44" s="1">
        <f t="shared" si="3"/>
        <v>-0.69761860465116288</v>
      </c>
      <c r="D44" s="1">
        <f t="shared" si="8"/>
        <v>0.62514232558139549</v>
      </c>
      <c r="E44">
        <v>301.24</v>
      </c>
      <c r="K44" s="1">
        <f>'Solar Availability and Gener GR'!F44</f>
        <v>0.1368</v>
      </c>
      <c r="L44" s="1">
        <f>'System Load'!D44</f>
        <v>0.83441860465116291</v>
      </c>
      <c r="M44" s="1">
        <f t="shared" si="4"/>
        <v>-0.69761860465116288</v>
      </c>
      <c r="N44" s="1" t="str">
        <f t="shared" si="5"/>
        <v>Buy from Grid</v>
      </c>
      <c r="V44" s="1" t="str">
        <f t="shared" si="28"/>
        <v>buy from the Grid</v>
      </c>
      <c r="Y44" s="1">
        <f t="shared" si="1"/>
        <v>0.25136026046511634</v>
      </c>
      <c r="AA44" s="1">
        <f t="shared" si="6"/>
        <v>-5.3237926141414835</v>
      </c>
      <c r="AD44" s="1">
        <f t="shared" si="7"/>
        <v>0</v>
      </c>
    </row>
    <row r="45" spans="1:30" ht="15">
      <c r="A45" s="1">
        <v>44</v>
      </c>
      <c r="B45" s="1">
        <f t="shared" si="18"/>
        <v>0</v>
      </c>
      <c r="C45" s="1">
        <f t="shared" si="3"/>
        <v>0</v>
      </c>
      <c r="D45" s="1">
        <f t="shared" si="8"/>
        <v>0.62514232558139549</v>
      </c>
      <c r="E45">
        <v>353.77</v>
      </c>
      <c r="K45" s="1">
        <f>'Solar Availability and Gener GR'!F45</f>
        <v>0</v>
      </c>
      <c r="L45" s="1">
        <f>'System Load'!D45</f>
        <v>0.81837209302325586</v>
      </c>
      <c r="M45" s="1">
        <f t="shared" si="4"/>
        <v>-0.81837209302325586</v>
      </c>
      <c r="N45" s="1" t="str">
        <f t="shared" si="5"/>
        <v>Buy from Grid</v>
      </c>
      <c r="V45" s="1" t="str">
        <f t="shared" si="28"/>
        <v>buy from the Grid</v>
      </c>
      <c r="Y45" s="1">
        <f t="shared" si="1"/>
        <v>0.28951549534883719</v>
      </c>
      <c r="AA45" s="1">
        <f t="shared" si="6"/>
        <v>-6.1421647071647394</v>
      </c>
      <c r="AD45" s="1">
        <f t="shared" si="7"/>
        <v>0</v>
      </c>
    </row>
    <row r="46" spans="1:30" ht="15">
      <c r="A46" s="1">
        <v>45</v>
      </c>
      <c r="B46" s="1">
        <f t="shared" si="18"/>
        <v>0</v>
      </c>
      <c r="C46" s="1">
        <f t="shared" si="3"/>
        <v>0</v>
      </c>
      <c r="D46" s="1">
        <f t="shared" si="8"/>
        <v>0.62514232558139549</v>
      </c>
      <c r="E46">
        <v>358.77</v>
      </c>
      <c r="K46" s="1">
        <f>'Solar Availability and Gener GR'!F46</f>
        <v>0</v>
      </c>
      <c r="L46" s="1">
        <f>'System Load'!D46</f>
        <v>0.83441860465116291</v>
      </c>
      <c r="M46" s="1">
        <f t="shared" si="4"/>
        <v>-0.83441860465116291</v>
      </c>
      <c r="N46" s="1" t="str">
        <f t="shared" si="5"/>
        <v>Buy from Grid</v>
      </c>
      <c r="V46" s="1" t="str">
        <f t="shared" si="28"/>
        <v>buy from the Grid</v>
      </c>
      <c r="Y46" s="1">
        <f t="shared" si="1"/>
        <v>0.29936436279069772</v>
      </c>
      <c r="AA46" s="1">
        <f t="shared" si="6"/>
        <v>-6.9765833118159026</v>
      </c>
      <c r="AD46" s="1">
        <f t="shared" si="7"/>
        <v>0</v>
      </c>
    </row>
    <row r="47" spans="1:30" ht="15">
      <c r="A47" s="1">
        <v>46</v>
      </c>
      <c r="B47" s="1">
        <f t="shared" si="18"/>
        <v>0</v>
      </c>
      <c r="C47" s="1">
        <f t="shared" si="3"/>
        <v>0</v>
      </c>
      <c r="D47" s="1">
        <f t="shared" si="8"/>
        <v>0.62514232558139549</v>
      </c>
      <c r="E47">
        <v>284.52999999999997</v>
      </c>
      <c r="K47" s="1">
        <f>'Solar Availability and Gener GR'!F47</f>
        <v>0</v>
      </c>
      <c r="L47" s="1">
        <f>'System Load'!D47</f>
        <v>0.49744186046511629</v>
      </c>
      <c r="M47" s="1">
        <f t="shared" si="4"/>
        <v>-0.49744186046511629</v>
      </c>
      <c r="N47" s="1" t="str">
        <f t="shared" si="5"/>
        <v>Buy from Grid</v>
      </c>
      <c r="V47" s="1" t="str">
        <f t="shared" si="28"/>
        <v>discharge</v>
      </c>
      <c r="Y47" s="1">
        <f t="shared" si="1"/>
        <v>0.14153713255813952</v>
      </c>
      <c r="AA47" s="1">
        <f t="shared" si="6"/>
        <v>-7.4740251722810189</v>
      </c>
      <c r="AD47" s="1">
        <f t="shared" si="7"/>
        <v>0</v>
      </c>
    </row>
    <row r="48" spans="1:30" ht="15">
      <c r="A48" s="1">
        <v>47</v>
      </c>
      <c r="B48" s="1">
        <f t="shared" si="18"/>
        <v>0</v>
      </c>
      <c r="C48" s="1">
        <f t="shared" si="3"/>
        <v>-0.49744186046511629</v>
      </c>
      <c r="D48" s="1">
        <f t="shared" si="8"/>
        <v>3.3400000000001207E-3</v>
      </c>
      <c r="E48">
        <v>268.66000000000003</v>
      </c>
      <c r="K48" s="1">
        <f>'Solar Availability and Gener GR'!F48</f>
        <v>0</v>
      </c>
      <c r="L48" s="1">
        <f>'System Load'!D48</f>
        <v>0.49744186046511629</v>
      </c>
      <c r="M48" s="1">
        <f t="shared" si="4"/>
        <v>-0.49744186046511629</v>
      </c>
      <c r="N48" s="1" t="str">
        <f t="shared" si="5"/>
        <v>Buy from Grid</v>
      </c>
      <c r="V48" s="1" t="str">
        <f t="shared" si="28"/>
        <v>buy from the Grid</v>
      </c>
      <c r="Y48" s="1">
        <f t="shared" si="1"/>
        <v>0.13364273023255815</v>
      </c>
      <c r="AA48" s="1">
        <f t="shared" si="6"/>
        <v>-7.9714670327461352</v>
      </c>
      <c r="AD48" s="1">
        <f t="shared" si="7"/>
        <v>0</v>
      </c>
    </row>
    <row r="49" spans="1:30" ht="15">
      <c r="A49" s="1">
        <v>48</v>
      </c>
      <c r="B49" s="1">
        <f t="shared" si="18"/>
        <v>0</v>
      </c>
      <c r="C49" s="1">
        <f t="shared" si="3"/>
        <v>0</v>
      </c>
      <c r="D49" s="1">
        <f t="shared" si="8"/>
        <v>3.3400000000001207E-3</v>
      </c>
      <c r="E49">
        <v>262.99</v>
      </c>
      <c r="K49" s="1">
        <f>'Solar Availability and Gener GR'!F49</f>
        <v>0</v>
      </c>
      <c r="L49" s="1">
        <f>'System Load'!D49</f>
        <v>0.49744186046511629</v>
      </c>
      <c r="M49" s="1">
        <f t="shared" si="4"/>
        <v>-0.49744186046511629</v>
      </c>
      <c r="N49" s="1" t="str">
        <f t="shared" si="5"/>
        <v>Buy from Grid</v>
      </c>
      <c r="V49" s="1" t="str">
        <f t="shared" si="28"/>
        <v>buy from the Grid</v>
      </c>
      <c r="Y49" s="1">
        <f t="shared" si="1"/>
        <v>0.13082223488372094</v>
      </c>
      <c r="AA49" s="1">
        <f t="shared" si="6"/>
        <v>-8.4689088932112515</v>
      </c>
      <c r="AD49" s="1">
        <f t="shared" si="7"/>
        <v>0</v>
      </c>
    </row>
    <row r="50" spans="1:30" ht="15">
      <c r="A50" s="1">
        <v>49</v>
      </c>
      <c r="B50" s="1">
        <f t="shared" si="18"/>
        <v>0</v>
      </c>
      <c r="C50" s="1">
        <f t="shared" si="3"/>
        <v>0</v>
      </c>
      <c r="D50" s="1">
        <f t="shared" si="8"/>
        <v>3.3400000000001207E-3</v>
      </c>
      <c r="E50">
        <v>349.17</v>
      </c>
      <c r="K50" s="1">
        <f>'Solar Availability and Gener GR'!F50</f>
        <v>0</v>
      </c>
      <c r="L50" s="1">
        <f>'System Load'!D50</f>
        <v>0.36906976744186054</v>
      </c>
      <c r="M50" s="1">
        <f t="shared" si="4"/>
        <v>-0.36906976744186054</v>
      </c>
      <c r="N50" s="1" t="str">
        <f t="shared" si="5"/>
        <v>Buy from Grid</v>
      </c>
      <c r="V50" s="1" t="str">
        <f t="shared" si="28"/>
        <v>buy from the Grid</v>
      </c>
      <c r="X50" s="1">
        <f t="shared" ref="X50:X58" si="29">(M50*E50)/1000</f>
        <v>-0.12886809069767446</v>
      </c>
      <c r="Y50" s="1">
        <f t="shared" si="1"/>
        <v>0.12886809069767446</v>
      </c>
      <c r="AA50" s="1">
        <f t="shared" si="6"/>
        <v>-8.8379786606531123</v>
      </c>
      <c r="AC50" s="1">
        <f t="shared" ref="AC50:AC58" si="30">L50</f>
        <v>0.36906976744186054</v>
      </c>
      <c r="AD50" s="1">
        <f t="shared" si="7"/>
        <v>0.36906976744186054</v>
      </c>
    </row>
    <row r="51" spans="1:30" ht="15">
      <c r="A51" s="1">
        <v>50</v>
      </c>
      <c r="B51" s="1">
        <f t="shared" si="18"/>
        <v>0</v>
      </c>
      <c r="C51" s="1">
        <f t="shared" si="3"/>
        <v>0</v>
      </c>
      <c r="D51" s="1">
        <f t="shared" si="8"/>
        <v>3.3400000000001207E-3</v>
      </c>
      <c r="E51">
        <v>274.10000000000002</v>
      </c>
      <c r="K51" s="1">
        <f>'Solar Availability and Gener GR'!F51</f>
        <v>0</v>
      </c>
      <c r="L51" s="1">
        <f>'System Load'!D51</f>
        <v>0.36906976744186054</v>
      </c>
      <c r="M51" s="1">
        <f t="shared" si="4"/>
        <v>-0.36906976744186054</v>
      </c>
      <c r="N51" s="1" t="str">
        <f t="shared" si="5"/>
        <v>Buy from Grid</v>
      </c>
      <c r="V51" s="1" t="str">
        <f t="shared" si="28"/>
        <v>buy from the Grid</v>
      </c>
      <c r="X51" s="1">
        <f t="shared" si="29"/>
        <v>-0.10116202325581397</v>
      </c>
      <c r="Y51" s="1">
        <f t="shared" si="1"/>
        <v>0.10116202325581397</v>
      </c>
      <c r="AA51" s="1">
        <f t="shared" si="6"/>
        <v>-9.2070484280949731</v>
      </c>
      <c r="AC51" s="1">
        <f t="shared" si="30"/>
        <v>0.36906976744186054</v>
      </c>
      <c r="AD51" s="1">
        <f t="shared" si="7"/>
        <v>0.36906976744186054</v>
      </c>
    </row>
    <row r="52" spans="1:30" ht="15">
      <c r="A52" s="1">
        <v>51</v>
      </c>
      <c r="B52" s="1">
        <f t="shared" si="18"/>
        <v>0</v>
      </c>
      <c r="C52" s="1">
        <f t="shared" si="3"/>
        <v>0</v>
      </c>
      <c r="D52" s="1">
        <f t="shared" si="8"/>
        <v>3.3400000000001207E-3</v>
      </c>
      <c r="E52">
        <v>271.25</v>
      </c>
      <c r="K52" s="1">
        <f>'Solar Availability and Gener GR'!F52</f>
        <v>0</v>
      </c>
      <c r="L52" s="1">
        <f>'System Load'!D52</f>
        <v>0.36906976744186054</v>
      </c>
      <c r="M52" s="1">
        <f t="shared" si="4"/>
        <v>-0.36906976744186054</v>
      </c>
      <c r="N52" s="1" t="str">
        <f t="shared" si="5"/>
        <v>Buy from Grid</v>
      </c>
      <c r="V52" s="1" t="str">
        <f t="shared" si="28"/>
        <v>buy from the Grid</v>
      </c>
      <c r="X52" s="1">
        <f t="shared" si="29"/>
        <v>-0.10011017441860467</v>
      </c>
      <c r="Y52" s="1">
        <f t="shared" si="1"/>
        <v>0.10011017441860467</v>
      </c>
      <c r="AA52" s="1">
        <f t="shared" si="6"/>
        <v>-9.576118195536834</v>
      </c>
      <c r="AC52" s="1">
        <f t="shared" si="30"/>
        <v>0.36906976744186054</v>
      </c>
      <c r="AD52" s="1">
        <f t="shared" si="7"/>
        <v>0.36906976744186054</v>
      </c>
    </row>
    <row r="53" spans="1:30" ht="15">
      <c r="A53" s="1">
        <v>52</v>
      </c>
      <c r="B53" s="1">
        <f t="shared" si="18"/>
        <v>0</v>
      </c>
      <c r="C53" s="1">
        <f t="shared" si="3"/>
        <v>0</v>
      </c>
      <c r="D53" s="1">
        <f t="shared" si="8"/>
        <v>3.3400000000001207E-3</v>
      </c>
      <c r="E53">
        <v>172.78</v>
      </c>
      <c r="K53" s="1">
        <f>'Solar Availability and Gener GR'!F53</f>
        <v>0</v>
      </c>
      <c r="L53" s="1">
        <f>'System Load'!D53</f>
        <v>0.36906976744186054</v>
      </c>
      <c r="M53" s="1">
        <f t="shared" si="4"/>
        <v>-0.36906976744186054</v>
      </c>
      <c r="N53" s="1" t="str">
        <f t="shared" si="5"/>
        <v>Buy from Grid</v>
      </c>
      <c r="V53" s="1" t="str">
        <f t="shared" si="28"/>
        <v>buy from the Grid</v>
      </c>
      <c r="X53" s="1">
        <f t="shared" si="29"/>
        <v>-6.3767874418604667E-2</v>
      </c>
      <c r="Y53" s="1">
        <f t="shared" si="1"/>
        <v>6.3767874418604667E-2</v>
      </c>
      <c r="AA53" s="1">
        <f t="shared" si="6"/>
        <v>-9.9451879629786948</v>
      </c>
      <c r="AC53" s="1">
        <f t="shared" si="30"/>
        <v>0.36906976744186054</v>
      </c>
      <c r="AD53" s="1">
        <f t="shared" si="7"/>
        <v>0.36906976744186054</v>
      </c>
    </row>
    <row r="54" spans="1:30" ht="15">
      <c r="A54" s="1">
        <v>53</v>
      </c>
      <c r="B54" s="1">
        <f t="shared" si="18"/>
        <v>0</v>
      </c>
      <c r="C54" s="1">
        <f t="shared" si="3"/>
        <v>0</v>
      </c>
      <c r="D54" s="1">
        <f t="shared" si="8"/>
        <v>3.3400000000001207E-3</v>
      </c>
      <c r="E54">
        <v>272.85000000000002</v>
      </c>
      <c r="K54" s="1">
        <f>'Solar Availability and Gener GR'!F54</f>
        <v>0</v>
      </c>
      <c r="L54" s="1">
        <f>'System Load'!D54</f>
        <v>0.36906976744186054</v>
      </c>
      <c r="M54" s="1">
        <f t="shared" si="4"/>
        <v>-0.36906976744186054</v>
      </c>
      <c r="N54" s="1" t="str">
        <f t="shared" si="5"/>
        <v>Buy from Grid</v>
      </c>
      <c r="V54" s="1" t="str">
        <f t="shared" si="28"/>
        <v>buy from the Grid</v>
      </c>
      <c r="X54" s="1">
        <f t="shared" si="29"/>
        <v>-0.10070068604651167</v>
      </c>
      <c r="Y54" s="1">
        <f t="shared" si="1"/>
        <v>0.10070068604651167</v>
      </c>
      <c r="AA54" s="1">
        <f t="shared" si="6"/>
        <v>-10.314257730420556</v>
      </c>
      <c r="AC54" s="1">
        <f t="shared" si="30"/>
        <v>0.36906976744186054</v>
      </c>
      <c r="AD54" s="1">
        <f t="shared" si="7"/>
        <v>0.36906976744186054</v>
      </c>
    </row>
    <row r="55" spans="1:30" ht="15">
      <c r="A55" s="1">
        <v>54</v>
      </c>
      <c r="B55" s="1">
        <f t="shared" si="18"/>
        <v>0</v>
      </c>
      <c r="C55" s="1">
        <f t="shared" si="3"/>
        <v>0</v>
      </c>
      <c r="D55" s="1">
        <f t="shared" si="8"/>
        <v>3.3400000000001207E-3</v>
      </c>
      <c r="E55">
        <v>354.17</v>
      </c>
      <c r="K55" s="1">
        <f>'Solar Availability and Gener GR'!F55</f>
        <v>0</v>
      </c>
      <c r="L55" s="1">
        <f>'System Load'!D55</f>
        <v>0.49744186046511629</v>
      </c>
      <c r="M55" s="1">
        <f t="shared" si="4"/>
        <v>-0.49744186046511629</v>
      </c>
      <c r="N55" s="1" t="str">
        <f t="shared" si="5"/>
        <v>Buy from Grid</v>
      </c>
      <c r="V55" s="1" t="str">
        <f t="shared" si="28"/>
        <v>buy from the Grid</v>
      </c>
      <c r="X55" s="1">
        <f t="shared" si="29"/>
        <v>-0.17617898372093024</v>
      </c>
      <c r="Y55" s="1">
        <f t="shared" si="1"/>
        <v>0.17617898372093024</v>
      </c>
      <c r="AA55" s="1">
        <f t="shared" si="6"/>
        <v>-10.811699590885672</v>
      </c>
      <c r="AC55" s="1">
        <f t="shared" si="30"/>
        <v>0.49744186046511629</v>
      </c>
      <c r="AD55" s="1">
        <f t="shared" si="7"/>
        <v>0.49744186046511629</v>
      </c>
    </row>
    <row r="56" spans="1:30" ht="15">
      <c r="A56" s="1">
        <v>55</v>
      </c>
      <c r="B56" s="1">
        <f t="shared" si="18"/>
        <v>0</v>
      </c>
      <c r="C56" s="1">
        <f t="shared" si="3"/>
        <v>0</v>
      </c>
      <c r="D56" s="1">
        <f t="shared" si="8"/>
        <v>3.3400000000001207E-3</v>
      </c>
      <c r="E56">
        <v>359.17</v>
      </c>
      <c r="K56" s="1">
        <f>'Solar Availability and Gener GR'!F56</f>
        <v>0</v>
      </c>
      <c r="L56" s="1">
        <f>'System Load'!D56</f>
        <v>0.83441860465116291</v>
      </c>
      <c r="M56" s="1">
        <f t="shared" si="4"/>
        <v>-0.83441860465116291</v>
      </c>
      <c r="N56" s="1" t="str">
        <f t="shared" si="5"/>
        <v>Buy from Grid</v>
      </c>
      <c r="V56" s="1" t="str">
        <f t="shared" si="28"/>
        <v>buy from the Grid</v>
      </c>
      <c r="X56" s="1">
        <f t="shared" si="29"/>
        <v>-0.2996981302325582</v>
      </c>
      <c r="Y56" s="1">
        <f t="shared" si="1"/>
        <v>0.2996981302325582</v>
      </c>
      <c r="AA56" s="1">
        <f t="shared" si="6"/>
        <v>-11.646118195536834</v>
      </c>
      <c r="AC56" s="1">
        <f t="shared" si="30"/>
        <v>0.83441860465116291</v>
      </c>
      <c r="AD56" s="1">
        <f t="shared" si="7"/>
        <v>0.83441860465116291</v>
      </c>
    </row>
    <row r="57" spans="1:30" ht="15">
      <c r="A57" s="1">
        <v>56</v>
      </c>
      <c r="B57" s="1">
        <f t="shared" si="18"/>
        <v>0</v>
      </c>
      <c r="C57" s="1">
        <f t="shared" si="3"/>
        <v>0</v>
      </c>
      <c r="D57" s="1">
        <f t="shared" si="8"/>
        <v>3.3400000000001207E-3</v>
      </c>
      <c r="E57">
        <v>349.17</v>
      </c>
      <c r="K57" s="1">
        <f>'Solar Availability and Gener GR'!F57</f>
        <v>1.6199999999999999E-2</v>
      </c>
      <c r="L57" s="1">
        <f>'System Load'!D57</f>
        <v>0.83441860465116291</v>
      </c>
      <c r="M57" s="1">
        <f t="shared" si="4"/>
        <v>-0.81821860465116292</v>
      </c>
      <c r="N57" s="1" t="str">
        <f t="shared" si="5"/>
        <v>Buy from Grid</v>
      </c>
      <c r="V57" s="1" t="str">
        <f t="shared" si="28"/>
        <v>buy from the Grid</v>
      </c>
      <c r="X57" s="1">
        <f t="shared" si="29"/>
        <v>-0.28569739018604656</v>
      </c>
      <c r="Y57" s="1">
        <f t="shared" si="1"/>
        <v>0.2913539441860466</v>
      </c>
      <c r="AA57" s="1">
        <f t="shared" si="6"/>
        <v>-12.464336800187997</v>
      </c>
      <c r="AC57" s="1">
        <f t="shared" si="30"/>
        <v>0.83441860465116291</v>
      </c>
      <c r="AD57" s="1">
        <f t="shared" si="7"/>
        <v>0.83441860465116291</v>
      </c>
    </row>
    <row r="58" spans="1:30" ht="15">
      <c r="A58" s="1">
        <v>57</v>
      </c>
      <c r="B58" s="1">
        <f t="shared" si="18"/>
        <v>0</v>
      </c>
      <c r="C58" s="1">
        <f t="shared" si="3"/>
        <v>0</v>
      </c>
      <c r="D58" s="1">
        <f t="shared" si="8"/>
        <v>3.3400000000001207E-3</v>
      </c>
      <c r="E58">
        <v>269.99</v>
      </c>
      <c r="K58" s="1">
        <f>'Solar Availability and Gener GR'!F58</f>
        <v>0.24480000000000002</v>
      </c>
      <c r="L58" s="1">
        <f>'System Load'!D58</f>
        <v>0.83441860465116291</v>
      </c>
      <c r="M58" s="1">
        <f t="shared" si="4"/>
        <v>-0.58961860465116289</v>
      </c>
      <c r="N58" s="1" t="str">
        <f t="shared" si="5"/>
        <v>Buy from Grid</v>
      </c>
      <c r="V58" s="1" t="str">
        <f t="shared" si="28"/>
        <v>buy from the Grid</v>
      </c>
      <c r="X58" s="1">
        <f t="shared" si="29"/>
        <v>-0.15919112706976749</v>
      </c>
      <c r="Y58" s="1">
        <f t="shared" si="1"/>
        <v>0.22528467906976749</v>
      </c>
      <c r="AA58" s="1">
        <f t="shared" si="6"/>
        <v>-13.05395540483916</v>
      </c>
      <c r="AC58" s="1">
        <f t="shared" si="30"/>
        <v>0.83441860465116291</v>
      </c>
      <c r="AD58" s="1">
        <f t="shared" si="7"/>
        <v>0.83441860465116291</v>
      </c>
    </row>
    <row r="59" spans="1:30" ht="15">
      <c r="A59" s="1">
        <v>58</v>
      </c>
      <c r="B59" s="1">
        <f t="shared" si="18"/>
        <v>0</v>
      </c>
      <c r="C59" s="1">
        <f t="shared" si="3"/>
        <v>0</v>
      </c>
      <c r="D59" s="1">
        <f t="shared" si="8"/>
        <v>3.3400000000001207E-3</v>
      </c>
      <c r="E59">
        <v>198.49</v>
      </c>
      <c r="K59" s="1">
        <f>'Solar Availability and Gener GR'!F59</f>
        <v>0.75959999999999994</v>
      </c>
      <c r="L59" s="1">
        <f>'System Load'!D59</f>
        <v>0.49744186046511629</v>
      </c>
      <c r="M59" s="1">
        <f t="shared" si="4"/>
        <v>0.26215813953488365</v>
      </c>
      <c r="N59" s="1" t="str">
        <f t="shared" si="5"/>
        <v>sell the surplus or charge</v>
      </c>
      <c r="O59" s="1">
        <v>0.25</v>
      </c>
      <c r="P59" s="1">
        <f t="shared" ref="P59:P67" si="31">0.25/L59</f>
        <v>0.5025712949976624</v>
      </c>
      <c r="Q59" s="1">
        <f t="shared" ref="Q59:Q67" si="32">K59-P59*L59</f>
        <v>0.50959999999999994</v>
      </c>
      <c r="R59" s="1">
        <f t="shared" ref="R59:R67" si="33">((1/(E59+0.01))*LN(0.25))+(E59*(K59-0.25))</f>
        <v>101.14352014931426</v>
      </c>
      <c r="S59" s="1">
        <f t="shared" ref="S59:S67" si="34">((1/(E59+0.01))*LN(L59))+(E59*(K59-L59))</f>
        <v>52.032251350069487</v>
      </c>
      <c r="T59" s="1">
        <f t="shared" ref="T59:T67" si="35">(S59+((S59^2)-4*(K59-L59*P59)*LN(L59*P59))^(0.5))/(2*(K59-L59*P59))</f>
        <v>102.13073993906229</v>
      </c>
      <c r="U59" s="1" t="str">
        <f t="shared" ref="U59:U67" si="36">IF(E59&gt;=T59*1.2,"sell to the Grid","charge")</f>
        <v>sell to the Grid</v>
      </c>
      <c r="W59" s="1">
        <f>(Q59*E59)/1000</f>
        <v>0.101150504</v>
      </c>
      <c r="Y59" s="1">
        <f t="shared" si="1"/>
        <v>9.8737234883720951E-2</v>
      </c>
      <c r="AA59" s="1">
        <f t="shared" si="6"/>
        <v>-12.791797265304275</v>
      </c>
      <c r="AD59" s="1">
        <f t="shared" si="7"/>
        <v>0.25</v>
      </c>
    </row>
    <row r="60" spans="1:30" ht="15">
      <c r="A60" s="1">
        <v>59</v>
      </c>
      <c r="B60" s="1">
        <f t="shared" si="18"/>
        <v>0</v>
      </c>
      <c r="C60" s="1">
        <f t="shared" si="3"/>
        <v>0</v>
      </c>
      <c r="D60" s="1">
        <f t="shared" si="8"/>
        <v>3.3400000000001207E-3</v>
      </c>
      <c r="E60">
        <v>191.58</v>
      </c>
      <c r="K60" s="1">
        <f>'Solar Availability and Gener GR'!F60</f>
        <v>1.4328000000000001</v>
      </c>
      <c r="L60" s="1">
        <f>'System Load'!D60</f>
        <v>0.49744186046511629</v>
      </c>
      <c r="M60" s="1">
        <f t="shared" si="4"/>
        <v>0.93535813953488378</v>
      </c>
      <c r="N60" s="1" t="str">
        <f t="shared" si="5"/>
        <v>sell the surplus or charge</v>
      </c>
      <c r="O60" s="1">
        <v>0.25</v>
      </c>
      <c r="P60" s="1">
        <f t="shared" si="31"/>
        <v>0.5025712949976624</v>
      </c>
      <c r="Q60" s="1">
        <f t="shared" si="32"/>
        <v>1.1828000000000001</v>
      </c>
      <c r="R60" s="1">
        <f t="shared" si="33"/>
        <v>226.59358826556127</v>
      </c>
      <c r="S60" s="1">
        <f t="shared" si="34"/>
        <v>179.19226773201476</v>
      </c>
      <c r="T60" s="1">
        <f t="shared" si="35"/>
        <v>151.506102317623</v>
      </c>
      <c r="U60" s="1" t="str">
        <f t="shared" si="36"/>
        <v>sell to the Grid</v>
      </c>
      <c r="Y60" s="1">
        <f t="shared" si="1"/>
        <v>9.5299911627906977E-2</v>
      </c>
      <c r="AA60" s="1">
        <f t="shared" si="6"/>
        <v>-11.856439125769391</v>
      </c>
      <c r="AD60" s="1">
        <f t="shared" si="7"/>
        <v>0.25</v>
      </c>
    </row>
    <row r="61" spans="1:30" ht="15">
      <c r="A61" s="1">
        <v>60</v>
      </c>
      <c r="B61" s="1">
        <f t="shared" si="18"/>
        <v>1.6616000000000002</v>
      </c>
      <c r="C61" s="1">
        <f t="shared" si="3"/>
        <v>0</v>
      </c>
      <c r="D61" s="1">
        <f t="shared" si="8"/>
        <v>1.3326200000000004</v>
      </c>
      <c r="E61">
        <v>180.2</v>
      </c>
      <c r="K61" s="1">
        <f>'Solar Availability and Gener GR'!F61</f>
        <v>1.9116000000000002</v>
      </c>
      <c r="L61" s="1">
        <f>'System Load'!D61</f>
        <v>0.49744186046511629</v>
      </c>
      <c r="M61" s="1">
        <f t="shared" si="4"/>
        <v>1.4141581395348839</v>
      </c>
      <c r="N61" s="1" t="str">
        <f t="shared" si="5"/>
        <v>sell the surplus or charge</v>
      </c>
      <c r="O61" s="1">
        <v>0.25</v>
      </c>
      <c r="P61" s="1">
        <f t="shared" si="31"/>
        <v>0.5025712949976624</v>
      </c>
      <c r="Q61" s="1">
        <f t="shared" si="32"/>
        <v>1.6616000000000002</v>
      </c>
      <c r="R61" s="1">
        <f t="shared" si="33"/>
        <v>299.41262733943114</v>
      </c>
      <c r="S61" s="1">
        <f t="shared" si="34"/>
        <v>254.82742195037551</v>
      </c>
      <c r="T61" s="1">
        <f t="shared" si="35"/>
        <v>153.36811564163438</v>
      </c>
      <c r="U61" s="1" t="str">
        <f t="shared" si="36"/>
        <v>charge</v>
      </c>
      <c r="Y61" s="1">
        <f t="shared" si="1"/>
        <v>8.9639023255813952E-2</v>
      </c>
      <c r="AA61" s="1">
        <f t="shared" si="6"/>
        <v>-10.442280986234508</v>
      </c>
      <c r="AD61" s="1">
        <f t="shared" si="7"/>
        <v>0.25</v>
      </c>
    </row>
    <row r="62" spans="1:30" ht="15">
      <c r="A62" s="1">
        <v>61</v>
      </c>
      <c r="B62" s="1">
        <f t="shared" si="18"/>
        <v>1.9388000000000001</v>
      </c>
      <c r="C62" s="1">
        <f t="shared" si="3"/>
        <v>0</v>
      </c>
      <c r="D62" s="1">
        <f t="shared" si="8"/>
        <v>2.8836600000000008</v>
      </c>
      <c r="E62">
        <v>175</v>
      </c>
      <c r="K62" s="1">
        <f>'Solar Availability and Gener GR'!F62</f>
        <v>2.1888000000000001</v>
      </c>
      <c r="L62" s="1">
        <f>'System Load'!D62</f>
        <v>0.49744186046511629</v>
      </c>
      <c r="M62" s="1">
        <f t="shared" si="4"/>
        <v>1.6913581395348838</v>
      </c>
      <c r="N62" s="1" t="str">
        <f t="shared" si="5"/>
        <v>sell the surplus or charge</v>
      </c>
      <c r="O62" s="1">
        <v>0.25</v>
      </c>
      <c r="P62" s="1">
        <f t="shared" si="31"/>
        <v>0.5025712949976624</v>
      </c>
      <c r="Q62" s="1">
        <f t="shared" si="32"/>
        <v>1.9388000000000001</v>
      </c>
      <c r="R62" s="1">
        <f t="shared" si="33"/>
        <v>339.28207877057815</v>
      </c>
      <c r="S62" s="1">
        <f t="shared" si="34"/>
        <v>295.9836844946426</v>
      </c>
      <c r="T62" s="1">
        <f t="shared" si="35"/>
        <v>152.66802400694198</v>
      </c>
      <c r="U62" s="1" t="str">
        <f t="shared" si="36"/>
        <v>charge</v>
      </c>
      <c r="Y62" s="1">
        <f t="shared" si="1"/>
        <v>8.7052325581395348E-2</v>
      </c>
      <c r="AA62" s="1">
        <f t="shared" si="6"/>
        <v>-8.7509228466996234</v>
      </c>
      <c r="AD62" s="1">
        <f t="shared" si="7"/>
        <v>0.25</v>
      </c>
    </row>
    <row r="63" spans="1:30" ht="15">
      <c r="A63" s="1">
        <v>62</v>
      </c>
      <c r="B63" s="1">
        <f t="shared" si="18"/>
        <v>2.1008</v>
      </c>
      <c r="C63" s="1">
        <f t="shared" si="3"/>
        <v>0</v>
      </c>
      <c r="D63" s="1">
        <f t="shared" si="8"/>
        <v>4.5643000000000011</v>
      </c>
      <c r="E63">
        <v>174.76</v>
      </c>
      <c r="K63" s="1">
        <f>'Solar Availability and Gener GR'!F63</f>
        <v>2.3508</v>
      </c>
      <c r="L63" s="1">
        <f>'System Load'!D63</f>
        <v>0.49744186046511629</v>
      </c>
      <c r="M63" s="1">
        <f t="shared" si="4"/>
        <v>1.8533581395348837</v>
      </c>
      <c r="N63" s="1" t="str">
        <f t="shared" si="5"/>
        <v>sell the surplus or charge</v>
      </c>
      <c r="O63" s="1">
        <v>0.25</v>
      </c>
      <c r="P63" s="1">
        <f t="shared" si="31"/>
        <v>0.5025712949976624</v>
      </c>
      <c r="Q63" s="1">
        <f t="shared" si="32"/>
        <v>2.1008</v>
      </c>
      <c r="R63" s="1">
        <f t="shared" si="33"/>
        <v>367.12787589288138</v>
      </c>
      <c r="S63" s="1">
        <f t="shared" si="34"/>
        <v>323.88887306205737</v>
      </c>
      <c r="T63" s="1">
        <f t="shared" si="35"/>
        <v>154.17834375507022</v>
      </c>
      <c r="U63" s="1" t="str">
        <f t="shared" si="36"/>
        <v>charge</v>
      </c>
      <c r="Y63" s="1">
        <f t="shared" si="1"/>
        <v>8.6932939534883721E-2</v>
      </c>
      <c r="AA63" s="1">
        <f t="shared" si="6"/>
        <v>-6.8975647071647401</v>
      </c>
      <c r="AD63" s="1">
        <f t="shared" si="7"/>
        <v>0.25</v>
      </c>
    </row>
    <row r="64" spans="1:30" ht="15">
      <c r="A64" s="1">
        <v>63</v>
      </c>
      <c r="B64" s="1">
        <f t="shared" si="18"/>
        <v>1.9855999999999998</v>
      </c>
      <c r="C64" s="1">
        <f t="shared" si="3"/>
        <v>0</v>
      </c>
      <c r="D64" s="1">
        <f t="shared" si="8"/>
        <v>6.1527800000000008</v>
      </c>
      <c r="E64">
        <v>180.2</v>
      </c>
      <c r="K64" s="1">
        <f>'Solar Availability and Gener GR'!F64</f>
        <v>2.2355999999999998</v>
      </c>
      <c r="L64" s="1">
        <f>'System Load'!D64</f>
        <v>0.49744186046511629</v>
      </c>
      <c r="M64" s="1">
        <f t="shared" si="4"/>
        <v>1.7381581395348835</v>
      </c>
      <c r="N64" s="1" t="str">
        <f t="shared" si="5"/>
        <v>sell the surplus or charge</v>
      </c>
      <c r="O64" s="1">
        <v>0.25</v>
      </c>
      <c r="P64" s="1">
        <f t="shared" si="31"/>
        <v>0.5025712949976624</v>
      </c>
      <c r="Q64" s="1">
        <f t="shared" si="32"/>
        <v>1.9855999999999998</v>
      </c>
      <c r="R64" s="1">
        <f t="shared" si="33"/>
        <v>357.79742733943107</v>
      </c>
      <c r="S64" s="1">
        <f t="shared" si="34"/>
        <v>313.21222195037546</v>
      </c>
      <c r="T64" s="1">
        <f t="shared" si="35"/>
        <v>157.74627824213937</v>
      </c>
      <c r="U64" s="1" t="str">
        <f t="shared" si="36"/>
        <v>charge</v>
      </c>
      <c r="Y64" s="1">
        <f t="shared" si="1"/>
        <v>8.9639023255813952E-2</v>
      </c>
      <c r="AA64" s="1">
        <f t="shared" si="6"/>
        <v>-5.1594065676298566</v>
      </c>
      <c r="AD64" s="1">
        <f t="shared" si="7"/>
        <v>0.25</v>
      </c>
    </row>
    <row r="65" spans="1:30" ht="15">
      <c r="A65" s="1">
        <v>64</v>
      </c>
      <c r="B65" s="1">
        <f t="shared" si="18"/>
        <v>1.6976</v>
      </c>
      <c r="C65" s="1">
        <f t="shared" si="3"/>
        <v>0</v>
      </c>
      <c r="D65" s="1">
        <f t="shared" si="8"/>
        <v>7.510860000000001</v>
      </c>
      <c r="E65">
        <v>269.97000000000003</v>
      </c>
      <c r="K65" s="1">
        <f>'Solar Availability and Gener GR'!F65</f>
        <v>1.9476</v>
      </c>
      <c r="L65" s="1">
        <f>'System Load'!D65</f>
        <v>0.49744186046511629</v>
      </c>
      <c r="M65" s="1">
        <f t="shared" si="4"/>
        <v>1.4501581395348837</v>
      </c>
      <c r="N65" s="1" t="str">
        <f t="shared" si="5"/>
        <v>sell the surplus or charge</v>
      </c>
      <c r="O65" s="1">
        <v>0.25</v>
      </c>
      <c r="P65" s="1">
        <f t="shared" si="31"/>
        <v>0.5025712949976624</v>
      </c>
      <c r="Q65" s="1">
        <f t="shared" si="32"/>
        <v>1.6976</v>
      </c>
      <c r="R65" s="1">
        <f t="shared" si="33"/>
        <v>458.29593719608448</v>
      </c>
      <c r="S65" s="1">
        <f t="shared" si="34"/>
        <v>391.4966065290451</v>
      </c>
      <c r="T65" s="1">
        <f t="shared" si="35"/>
        <v>230.62124037435092</v>
      </c>
      <c r="U65" s="1" t="str">
        <f t="shared" si="36"/>
        <v>charge</v>
      </c>
      <c r="Y65" s="1">
        <f t="shared" si="1"/>
        <v>0.13429437906976746</v>
      </c>
      <c r="AA65" s="1">
        <f t="shared" si="6"/>
        <v>-3.7092484280949729</v>
      </c>
      <c r="AD65" s="1">
        <f t="shared" si="7"/>
        <v>0.25</v>
      </c>
    </row>
    <row r="66" spans="1:30" ht="15">
      <c r="A66" s="1">
        <v>65</v>
      </c>
      <c r="B66" s="1">
        <f t="shared" si="18"/>
        <v>0</v>
      </c>
      <c r="C66" s="1">
        <f t="shared" si="3"/>
        <v>0</v>
      </c>
      <c r="D66" s="1">
        <f t="shared" si="8"/>
        <v>7.510860000000001</v>
      </c>
      <c r="E66">
        <v>354.17</v>
      </c>
      <c r="K66" s="1">
        <f>'Solar Availability and Gener GR'!F66</f>
        <v>1.5047999999999999</v>
      </c>
      <c r="L66" s="1">
        <f>'System Load'!D66</f>
        <v>0.49744186046511629</v>
      </c>
      <c r="M66" s="1">
        <f t="shared" si="4"/>
        <v>1.0073581395348836</v>
      </c>
      <c r="N66" s="1" t="str">
        <f t="shared" si="5"/>
        <v>sell the surplus or charge</v>
      </c>
      <c r="O66" s="1">
        <v>0.25</v>
      </c>
      <c r="P66" s="1">
        <f t="shared" si="31"/>
        <v>0.5025712949976624</v>
      </c>
      <c r="Q66" s="1">
        <f t="shared" si="32"/>
        <v>1.2547999999999999</v>
      </c>
      <c r="R66" s="1">
        <f t="shared" si="33"/>
        <v>444.40860190445215</v>
      </c>
      <c r="S66" s="1">
        <f t="shared" si="34"/>
        <v>356.77406074879531</v>
      </c>
      <c r="T66" s="1">
        <f t="shared" si="35"/>
        <v>284.33131684652221</v>
      </c>
      <c r="U66" s="1" t="str">
        <f t="shared" si="36"/>
        <v>sell to the Grid</v>
      </c>
      <c r="Y66" s="1">
        <f t="shared" ref="Y66:Y129" si="37">(L66*E66)/1000</f>
        <v>0.17617898372093024</v>
      </c>
      <c r="AA66" s="1">
        <f t="shared" si="6"/>
        <v>-2.7018902885600893</v>
      </c>
      <c r="AD66" s="1">
        <f t="shared" si="7"/>
        <v>0.25</v>
      </c>
    </row>
    <row r="67" spans="1:30" ht="15">
      <c r="A67" s="1">
        <v>66</v>
      </c>
      <c r="B67" s="1">
        <f t="shared" si="18"/>
        <v>0</v>
      </c>
      <c r="C67" s="1">
        <f t="shared" ref="C67:C130" si="38">IF(V66="discharge",M67,0)</f>
        <v>0</v>
      </c>
      <c r="D67" s="1">
        <f t="shared" si="8"/>
        <v>7.510860000000001</v>
      </c>
      <c r="E67">
        <v>369.17</v>
      </c>
      <c r="K67" s="1">
        <f>'Solar Availability and Gener GR'!F67</f>
        <v>0.9396000000000001</v>
      </c>
      <c r="L67" s="1">
        <f>'System Load'!D67</f>
        <v>0.81837209302325586</v>
      </c>
      <c r="M67" s="1">
        <f t="shared" ref="M67:M130" si="39">K67-L67</f>
        <v>0.12122790697674424</v>
      </c>
      <c r="N67" s="1" t="str">
        <f t="shared" ref="N67:N130" si="40">IF(M67&lt;0,"Buy from Grid","sell the surplus or charge")</f>
        <v>sell the surplus or charge</v>
      </c>
      <c r="O67" s="1">
        <v>0.25</v>
      </c>
      <c r="P67" s="1">
        <f t="shared" si="31"/>
        <v>0.30548451264563797</v>
      </c>
      <c r="Q67" s="1">
        <f t="shared" si="32"/>
        <v>0.6896000000000001</v>
      </c>
      <c r="R67" s="1">
        <f t="shared" si="33"/>
        <v>254.57587693645078</v>
      </c>
      <c r="S67" s="1">
        <f t="shared" si="34"/>
        <v>44.753163490590261</v>
      </c>
      <c r="T67" s="1">
        <f t="shared" si="35"/>
        <v>64.928240527366896</v>
      </c>
      <c r="U67" s="1" t="str">
        <f t="shared" si="36"/>
        <v>sell to the Grid</v>
      </c>
      <c r="W67" s="1">
        <f>(Q67*E67)/1000</f>
        <v>0.25457963200000006</v>
      </c>
      <c r="Y67" s="1">
        <f t="shared" si="37"/>
        <v>0.3021184255813954</v>
      </c>
      <c r="AA67" s="1">
        <f t="shared" ref="AA67:AA130" si="41">M67+AA66</f>
        <v>-2.5806623815833452</v>
      </c>
      <c r="AD67" s="1">
        <f t="shared" ref="AD67:AD130" si="42">AC67+O67</f>
        <v>0.25</v>
      </c>
    </row>
    <row r="68" spans="1:30" ht="15">
      <c r="A68" s="1">
        <v>67</v>
      </c>
      <c r="B68" s="1">
        <f t="shared" si="18"/>
        <v>0</v>
      </c>
      <c r="C68" s="1">
        <f t="shared" si="38"/>
        <v>0</v>
      </c>
      <c r="D68" s="1">
        <f t="shared" ref="D68:D131" si="43">(D67)+(B68*0.8)+(C68/0.8)</f>
        <v>7.510860000000001</v>
      </c>
      <c r="E68">
        <v>344.5</v>
      </c>
      <c r="K68" s="1">
        <f>'Solar Availability and Gener GR'!F68</f>
        <v>0.34559999999999996</v>
      </c>
      <c r="L68" s="1">
        <f>'System Load'!D68</f>
        <v>0.83441860465116291</v>
      </c>
      <c r="M68" s="1">
        <f t="shared" si="39"/>
        <v>-0.48881860465116295</v>
      </c>
      <c r="N68" s="1" t="str">
        <f t="shared" si="40"/>
        <v>Buy from Grid</v>
      </c>
      <c r="V68" s="1" t="str">
        <f t="shared" ref="V68:V82" si="44">IF(D68+M68&gt;0,"discharge","buy from the Grid")</f>
        <v>discharge</v>
      </c>
      <c r="Y68" s="1">
        <f t="shared" si="37"/>
        <v>0.2874572093023256</v>
      </c>
      <c r="AA68" s="1">
        <f t="shared" si="41"/>
        <v>-3.0694809862345083</v>
      </c>
      <c r="AD68" s="1">
        <f t="shared" si="42"/>
        <v>0</v>
      </c>
    </row>
    <row r="69" spans="1:30" ht="15">
      <c r="A69" s="1">
        <v>68</v>
      </c>
      <c r="B69" s="1">
        <f t="shared" si="18"/>
        <v>0</v>
      </c>
      <c r="C69" s="1">
        <f t="shared" si="38"/>
        <v>-0.78957209302325582</v>
      </c>
      <c r="D69" s="1">
        <f t="shared" si="43"/>
        <v>6.5238948837209314</v>
      </c>
      <c r="E69">
        <v>349.17</v>
      </c>
      <c r="K69" s="1">
        <f>'Solar Availability and Gener GR'!F69</f>
        <v>2.8799999999999999E-2</v>
      </c>
      <c r="L69" s="1">
        <f>'System Load'!D69</f>
        <v>0.81837209302325586</v>
      </c>
      <c r="M69" s="1">
        <f t="shared" si="39"/>
        <v>-0.78957209302325582</v>
      </c>
      <c r="N69" s="1" t="str">
        <f t="shared" si="40"/>
        <v>Buy from Grid</v>
      </c>
      <c r="V69" s="1" t="str">
        <f t="shared" si="44"/>
        <v>discharge</v>
      </c>
      <c r="Y69" s="1">
        <f t="shared" si="37"/>
        <v>0.28575098372093027</v>
      </c>
      <c r="AA69" s="1">
        <f t="shared" si="41"/>
        <v>-3.8590530792577642</v>
      </c>
      <c r="AD69" s="1">
        <f t="shared" si="42"/>
        <v>0</v>
      </c>
    </row>
    <row r="70" spans="1:30" ht="15">
      <c r="A70" s="1">
        <v>69</v>
      </c>
      <c r="B70" s="1">
        <f t="shared" si="18"/>
        <v>0</v>
      </c>
      <c r="C70" s="1">
        <f t="shared" si="38"/>
        <v>-0.83441860465116291</v>
      </c>
      <c r="D70" s="1">
        <f t="shared" si="43"/>
        <v>5.4808716279069776</v>
      </c>
      <c r="E70">
        <v>343</v>
      </c>
      <c r="K70" s="1">
        <f>'Solar Availability and Gener GR'!F70</f>
        <v>0</v>
      </c>
      <c r="L70" s="1">
        <f>'System Load'!D70</f>
        <v>0.83441860465116291</v>
      </c>
      <c r="M70" s="1">
        <f t="shared" si="39"/>
        <v>-0.83441860465116291</v>
      </c>
      <c r="N70" s="1" t="str">
        <f t="shared" si="40"/>
        <v>Buy from Grid</v>
      </c>
      <c r="V70" s="1" t="str">
        <f t="shared" si="44"/>
        <v>discharge</v>
      </c>
      <c r="Y70" s="1">
        <f t="shared" si="37"/>
        <v>0.28620558139534885</v>
      </c>
      <c r="AA70" s="1">
        <f t="shared" si="41"/>
        <v>-4.6934716839089274</v>
      </c>
      <c r="AD70" s="1">
        <f t="shared" si="42"/>
        <v>0</v>
      </c>
    </row>
    <row r="71" spans="1:30" ht="15">
      <c r="A71" s="1">
        <v>70</v>
      </c>
      <c r="B71" s="1">
        <f t="shared" si="18"/>
        <v>0</v>
      </c>
      <c r="C71" s="1">
        <f t="shared" si="38"/>
        <v>-0.49744186046511629</v>
      </c>
      <c r="D71" s="1">
        <f t="shared" si="43"/>
        <v>4.8590693023255822</v>
      </c>
      <c r="E71">
        <v>270.76</v>
      </c>
      <c r="K71" s="1">
        <f>'Solar Availability and Gener GR'!F71</f>
        <v>0</v>
      </c>
      <c r="L71" s="1">
        <f>'System Load'!D71</f>
        <v>0.49744186046511629</v>
      </c>
      <c r="M71" s="1">
        <f t="shared" si="39"/>
        <v>-0.49744186046511629</v>
      </c>
      <c r="N71" s="1" t="str">
        <f t="shared" si="40"/>
        <v>Buy from Grid</v>
      </c>
      <c r="V71" s="1" t="str">
        <f t="shared" si="44"/>
        <v>discharge</v>
      </c>
      <c r="Y71" s="1">
        <f t="shared" si="37"/>
        <v>0.13468735813953489</v>
      </c>
      <c r="AA71" s="1">
        <f t="shared" si="41"/>
        <v>-5.1909135443740437</v>
      </c>
      <c r="AD71" s="1">
        <f t="shared" si="42"/>
        <v>0</v>
      </c>
    </row>
    <row r="72" spans="1:30" ht="15">
      <c r="A72" s="1">
        <v>71</v>
      </c>
      <c r="B72" s="1">
        <f t="shared" si="18"/>
        <v>0</v>
      </c>
      <c r="C72" s="1">
        <f t="shared" si="38"/>
        <v>-0.49744186046511629</v>
      </c>
      <c r="D72" s="1">
        <f t="shared" si="43"/>
        <v>4.2372669767441868</v>
      </c>
      <c r="E72">
        <v>243.82</v>
      </c>
      <c r="K72" s="1">
        <f>'Solar Availability and Gener GR'!F72</f>
        <v>0</v>
      </c>
      <c r="L72" s="1">
        <f>'System Load'!D72</f>
        <v>0.49744186046511629</v>
      </c>
      <c r="M72" s="1">
        <f t="shared" si="39"/>
        <v>-0.49744186046511629</v>
      </c>
      <c r="N72" s="1" t="str">
        <f t="shared" si="40"/>
        <v>Buy from Grid</v>
      </c>
      <c r="V72" s="1" t="str">
        <f t="shared" si="44"/>
        <v>discharge</v>
      </c>
      <c r="Y72" s="1">
        <f t="shared" si="37"/>
        <v>0.12128627441860465</v>
      </c>
      <c r="AA72" s="1">
        <f t="shared" si="41"/>
        <v>-5.68835540483916</v>
      </c>
      <c r="AD72" s="1">
        <f t="shared" si="42"/>
        <v>0</v>
      </c>
    </row>
    <row r="73" spans="1:30" ht="15">
      <c r="A73" s="1">
        <v>72</v>
      </c>
      <c r="B73" s="1">
        <f t="shared" si="18"/>
        <v>0</v>
      </c>
      <c r="C73" s="1">
        <f t="shared" si="38"/>
        <v>-0.49744186046511629</v>
      </c>
      <c r="D73" s="1">
        <f t="shared" si="43"/>
        <v>3.6154646511627915</v>
      </c>
      <c r="E73">
        <v>149.99</v>
      </c>
      <c r="K73" s="1">
        <f>'Solar Availability and Gener GR'!F73</f>
        <v>0</v>
      </c>
      <c r="L73" s="1">
        <f>'System Load'!D73</f>
        <v>0.49744186046511629</v>
      </c>
      <c r="M73" s="1">
        <f t="shared" si="39"/>
        <v>-0.49744186046511629</v>
      </c>
      <c r="N73" s="1" t="str">
        <f t="shared" si="40"/>
        <v>Buy from Grid</v>
      </c>
      <c r="V73" s="1" t="str">
        <f t="shared" si="44"/>
        <v>discharge</v>
      </c>
      <c r="Y73" s="1">
        <f t="shared" si="37"/>
        <v>7.4611304651162794E-2</v>
      </c>
      <c r="AA73" s="1">
        <f t="shared" si="41"/>
        <v>-6.1857972653042763</v>
      </c>
      <c r="AD73" s="1">
        <f t="shared" si="42"/>
        <v>0</v>
      </c>
    </row>
    <row r="74" spans="1:30" ht="15">
      <c r="A74" s="1">
        <v>73</v>
      </c>
      <c r="B74" s="1">
        <f t="shared" si="18"/>
        <v>0</v>
      </c>
      <c r="C74" s="1">
        <f t="shared" si="38"/>
        <v>-0.36906976744186054</v>
      </c>
      <c r="D74" s="1">
        <f t="shared" si="43"/>
        <v>3.1541274418604659</v>
      </c>
      <c r="E74">
        <v>151.68</v>
      </c>
      <c r="K74" s="1">
        <f>'Solar Availability and Gener GR'!F74</f>
        <v>0</v>
      </c>
      <c r="L74" s="1">
        <f>'System Load'!D74</f>
        <v>0.36906976744186054</v>
      </c>
      <c r="M74" s="1">
        <f t="shared" si="39"/>
        <v>-0.36906976744186054</v>
      </c>
      <c r="N74" s="1" t="str">
        <f t="shared" si="40"/>
        <v>Buy from Grid</v>
      </c>
      <c r="V74" s="1" t="str">
        <f t="shared" si="44"/>
        <v>discharge</v>
      </c>
      <c r="Y74" s="1">
        <f t="shared" si="37"/>
        <v>5.598050232558141E-2</v>
      </c>
      <c r="AA74" s="1">
        <f t="shared" si="41"/>
        <v>-6.5548670327461371</v>
      </c>
      <c r="AD74" s="1">
        <f t="shared" si="42"/>
        <v>0</v>
      </c>
    </row>
    <row r="75" spans="1:30" ht="15">
      <c r="A75" s="1">
        <v>74</v>
      </c>
      <c r="B75" s="1">
        <f t="shared" si="18"/>
        <v>0</v>
      </c>
      <c r="C75" s="1">
        <f t="shared" si="38"/>
        <v>-0.36906976744186054</v>
      </c>
      <c r="D75" s="1">
        <f t="shared" si="43"/>
        <v>2.6927902325581403</v>
      </c>
      <c r="E75">
        <v>216.29</v>
      </c>
      <c r="K75" s="1">
        <f>'Solar Availability and Gener GR'!F75</f>
        <v>0</v>
      </c>
      <c r="L75" s="1">
        <f>'System Load'!D75</f>
        <v>0.36906976744186054</v>
      </c>
      <c r="M75" s="1">
        <f t="shared" si="39"/>
        <v>-0.36906976744186054</v>
      </c>
      <c r="N75" s="1" t="str">
        <f t="shared" si="40"/>
        <v>Buy from Grid</v>
      </c>
      <c r="V75" s="1" t="str">
        <f t="shared" si="44"/>
        <v>discharge</v>
      </c>
      <c r="Y75" s="1">
        <f t="shared" si="37"/>
        <v>7.9826100000000011E-2</v>
      </c>
      <c r="AA75" s="1">
        <f t="shared" si="41"/>
        <v>-6.923936800187998</v>
      </c>
      <c r="AD75" s="1">
        <f t="shared" si="42"/>
        <v>0</v>
      </c>
    </row>
    <row r="76" spans="1:30" ht="15">
      <c r="A76" s="1">
        <v>75</v>
      </c>
      <c r="B76" s="1">
        <f t="shared" si="18"/>
        <v>0</v>
      </c>
      <c r="C76" s="1">
        <f t="shared" si="38"/>
        <v>-0.36906976744186054</v>
      </c>
      <c r="D76" s="1">
        <f t="shared" si="43"/>
        <v>2.2314530232558147</v>
      </c>
      <c r="E76">
        <v>155.18</v>
      </c>
      <c r="K76" s="1">
        <f>'Solar Availability and Gener GR'!F76</f>
        <v>0</v>
      </c>
      <c r="L76" s="1">
        <f>'System Load'!D76</f>
        <v>0.36906976744186054</v>
      </c>
      <c r="M76" s="1">
        <f t="shared" si="39"/>
        <v>-0.36906976744186054</v>
      </c>
      <c r="N76" s="1" t="str">
        <f t="shared" si="40"/>
        <v>Buy from Grid</v>
      </c>
      <c r="V76" s="1" t="str">
        <f t="shared" si="44"/>
        <v>discharge</v>
      </c>
      <c r="Y76" s="1">
        <f t="shared" si="37"/>
        <v>5.7272246511627919E-2</v>
      </c>
      <c r="AA76" s="1">
        <f t="shared" si="41"/>
        <v>-7.2930065676298588</v>
      </c>
      <c r="AD76" s="1">
        <f t="shared" si="42"/>
        <v>0</v>
      </c>
    </row>
    <row r="77" spans="1:30" ht="15">
      <c r="A77" s="1">
        <v>76</v>
      </c>
      <c r="B77" s="1">
        <f t="shared" si="18"/>
        <v>0</v>
      </c>
      <c r="C77" s="1">
        <f t="shared" si="38"/>
        <v>-0.36906976744186054</v>
      </c>
      <c r="D77" s="1">
        <f t="shared" si="43"/>
        <v>1.7701158139534892</v>
      </c>
      <c r="E77">
        <v>130</v>
      </c>
      <c r="K77" s="1">
        <f>'Solar Availability and Gener GR'!F77</f>
        <v>0</v>
      </c>
      <c r="L77" s="1">
        <f>'System Load'!D77</f>
        <v>0.36906976744186054</v>
      </c>
      <c r="M77" s="1">
        <f t="shared" si="39"/>
        <v>-0.36906976744186054</v>
      </c>
      <c r="N77" s="1" t="str">
        <f t="shared" si="40"/>
        <v>Buy from Grid</v>
      </c>
      <c r="V77" s="1" t="str">
        <f t="shared" si="44"/>
        <v>discharge</v>
      </c>
      <c r="Y77" s="1">
        <f t="shared" si="37"/>
        <v>4.7979069767441873E-2</v>
      </c>
      <c r="AA77" s="1">
        <f t="shared" si="41"/>
        <v>-7.6620763350717196</v>
      </c>
      <c r="AD77" s="1">
        <f t="shared" si="42"/>
        <v>0</v>
      </c>
    </row>
    <row r="78" spans="1:30" ht="15">
      <c r="A78" s="1">
        <v>77</v>
      </c>
      <c r="B78" s="1">
        <f t="shared" si="18"/>
        <v>0</v>
      </c>
      <c r="C78" s="1">
        <f t="shared" si="38"/>
        <v>-0.36906976744186054</v>
      </c>
      <c r="D78" s="1">
        <f t="shared" si="43"/>
        <v>1.3087786046511636</v>
      </c>
      <c r="E78">
        <v>150.13</v>
      </c>
      <c r="K78" s="1">
        <f>'Solar Availability and Gener GR'!F78</f>
        <v>0</v>
      </c>
      <c r="L78" s="1">
        <f>'System Load'!D78</f>
        <v>0.36906976744186054</v>
      </c>
      <c r="M78" s="1">
        <f t="shared" si="39"/>
        <v>-0.36906976744186054</v>
      </c>
      <c r="N78" s="1" t="str">
        <f t="shared" si="40"/>
        <v>Buy from Grid</v>
      </c>
      <c r="V78" s="1" t="str">
        <f t="shared" si="44"/>
        <v>discharge</v>
      </c>
      <c r="Y78" s="1">
        <f t="shared" si="37"/>
        <v>5.5408444186046527E-2</v>
      </c>
      <c r="AA78" s="1">
        <f t="shared" si="41"/>
        <v>-8.0311461025135795</v>
      </c>
      <c r="AD78" s="1">
        <f t="shared" si="42"/>
        <v>0</v>
      </c>
    </row>
    <row r="79" spans="1:30" ht="15">
      <c r="A79" s="1">
        <v>78</v>
      </c>
      <c r="B79" s="1">
        <f t="shared" si="18"/>
        <v>0</v>
      </c>
      <c r="C79" s="1">
        <f t="shared" si="38"/>
        <v>-0.49744186046511629</v>
      </c>
      <c r="D79" s="1">
        <f t="shared" si="43"/>
        <v>0.68697627906976821</v>
      </c>
      <c r="E79">
        <v>257.31</v>
      </c>
      <c r="K79" s="1">
        <f>'Solar Availability and Gener GR'!F79</f>
        <v>0</v>
      </c>
      <c r="L79" s="1">
        <f>'System Load'!D79</f>
        <v>0.49744186046511629</v>
      </c>
      <c r="M79" s="1">
        <f t="shared" si="39"/>
        <v>-0.49744186046511629</v>
      </c>
      <c r="N79" s="1" t="str">
        <f t="shared" si="40"/>
        <v>Buy from Grid</v>
      </c>
      <c r="V79" s="1" t="str">
        <f t="shared" si="44"/>
        <v>discharge</v>
      </c>
      <c r="Y79" s="1">
        <f t="shared" si="37"/>
        <v>0.12799676511627908</v>
      </c>
      <c r="AA79" s="1">
        <f t="shared" si="41"/>
        <v>-8.5285879629786958</v>
      </c>
      <c r="AD79" s="1">
        <f t="shared" si="42"/>
        <v>0</v>
      </c>
    </row>
    <row r="80" spans="1:30" ht="15">
      <c r="A80" s="1">
        <v>79</v>
      </c>
      <c r="B80" s="1">
        <f t="shared" ref="B80:B143" si="45">IF(U80="charge",Q80,0)</f>
        <v>0</v>
      </c>
      <c r="C80" s="1">
        <f t="shared" si="38"/>
        <v>-0.81837209302325586</v>
      </c>
      <c r="D80" s="1">
        <f t="shared" si="43"/>
        <v>-0.33598883720930162</v>
      </c>
      <c r="E80">
        <v>260.79000000000002</v>
      </c>
      <c r="K80" s="1">
        <f>'Solar Availability and Gener GR'!F80</f>
        <v>0</v>
      </c>
      <c r="L80" s="1">
        <f>'System Load'!D80</f>
        <v>0.81837209302325586</v>
      </c>
      <c r="M80" s="1">
        <f t="shared" si="39"/>
        <v>-0.81837209302325586</v>
      </c>
      <c r="N80" s="1" t="str">
        <f t="shared" si="40"/>
        <v>Buy from Grid</v>
      </c>
      <c r="V80" s="1" t="str">
        <f t="shared" si="44"/>
        <v>buy from the Grid</v>
      </c>
      <c r="Y80" s="1">
        <f t="shared" si="37"/>
        <v>0.21342325813953492</v>
      </c>
      <c r="AA80" s="1">
        <f t="shared" si="41"/>
        <v>-9.3469600560019508</v>
      </c>
      <c r="AD80" s="1">
        <f t="shared" si="42"/>
        <v>0</v>
      </c>
    </row>
    <row r="81" spans="1:30" ht="15">
      <c r="A81" s="1">
        <v>80</v>
      </c>
      <c r="B81" s="1">
        <f t="shared" si="45"/>
        <v>0</v>
      </c>
      <c r="C81" s="1">
        <f t="shared" si="38"/>
        <v>0</v>
      </c>
      <c r="D81" s="1">
        <f t="shared" si="43"/>
        <v>-0.33598883720930162</v>
      </c>
      <c r="E81">
        <v>261.18</v>
      </c>
      <c r="K81" s="1">
        <f>'Solar Availability and Gener GR'!F81</f>
        <v>0.12959999999999999</v>
      </c>
      <c r="L81" s="1">
        <f>'System Load'!D81</f>
        <v>0.81837209302325586</v>
      </c>
      <c r="M81" s="1">
        <f t="shared" si="39"/>
        <v>-0.68877209302325593</v>
      </c>
      <c r="N81" s="1" t="str">
        <f t="shared" si="40"/>
        <v>Buy from Grid</v>
      </c>
      <c r="V81" s="1" t="str">
        <f t="shared" si="44"/>
        <v>buy from the Grid</v>
      </c>
      <c r="Y81" s="1">
        <f t="shared" si="37"/>
        <v>0.21374242325581397</v>
      </c>
      <c r="AA81" s="1">
        <f t="shared" si="41"/>
        <v>-10.035732149025208</v>
      </c>
      <c r="AD81" s="1">
        <f t="shared" si="42"/>
        <v>0</v>
      </c>
    </row>
    <row r="82" spans="1:30" ht="15">
      <c r="A82" s="1">
        <v>81</v>
      </c>
      <c r="B82" s="1">
        <f t="shared" si="45"/>
        <v>0</v>
      </c>
      <c r="C82" s="1">
        <f t="shared" si="38"/>
        <v>0</v>
      </c>
      <c r="D82" s="1">
        <f t="shared" si="43"/>
        <v>-0.33598883720930162</v>
      </c>
      <c r="E82">
        <v>217.72</v>
      </c>
      <c r="K82" s="1">
        <f>'Solar Availability and Gener GR'!F82</f>
        <v>0.55079999999999996</v>
      </c>
      <c r="L82" s="1">
        <f>'System Load'!D82</f>
        <v>0.81837209302325586</v>
      </c>
      <c r="M82" s="1">
        <f t="shared" si="39"/>
        <v>-0.26757209302325591</v>
      </c>
      <c r="N82" s="1" t="str">
        <f t="shared" si="40"/>
        <v>Buy from Grid</v>
      </c>
      <c r="V82" s="1" t="str">
        <f t="shared" si="44"/>
        <v>buy from the Grid</v>
      </c>
      <c r="Y82" s="1">
        <f t="shared" si="37"/>
        <v>0.17817597209302327</v>
      </c>
      <c r="AA82" s="1">
        <f t="shared" si="41"/>
        <v>-10.303304242048464</v>
      </c>
      <c r="AD82" s="1">
        <f t="shared" si="42"/>
        <v>0</v>
      </c>
    </row>
    <row r="83" spans="1:30" ht="15">
      <c r="A83" s="1">
        <v>82</v>
      </c>
      <c r="B83" s="1">
        <f t="shared" si="45"/>
        <v>0</v>
      </c>
      <c r="C83" s="1">
        <f t="shared" si="38"/>
        <v>0</v>
      </c>
      <c r="D83" s="1">
        <f t="shared" si="43"/>
        <v>-0.33598883720930162</v>
      </c>
      <c r="E83">
        <v>191.22</v>
      </c>
      <c r="K83" s="1">
        <f>'Solar Availability and Gener GR'!F83</f>
        <v>1.0691999999999999</v>
      </c>
      <c r="L83" s="1">
        <f>'System Load'!D83</f>
        <v>0.49744186046511629</v>
      </c>
      <c r="M83" s="1">
        <f t="shared" si="39"/>
        <v>0.57175813953488364</v>
      </c>
      <c r="N83" s="1" t="str">
        <f t="shared" si="40"/>
        <v>sell the surplus or charge</v>
      </c>
      <c r="O83" s="1">
        <v>0.25</v>
      </c>
      <c r="P83" s="1">
        <f t="shared" ref="P83:P92" si="46">0.25/L83</f>
        <v>0.5025712949976624</v>
      </c>
      <c r="Q83" s="1">
        <f t="shared" ref="Q83:Q92" si="47">K83-P83*L83</f>
        <v>0.81919999999999993</v>
      </c>
      <c r="R83" s="1">
        <f t="shared" ref="R83:R92" si="48">((1/(E83+0.01))*LN(0.25))+(E83*(K83-0.25))</f>
        <v>156.64017464393075</v>
      </c>
      <c r="S83" s="1">
        <f t="shared" ref="S83:S92" si="49">((1/(E83+0.01))*LN(L83))+(E83*(K83-L83))</f>
        <v>109.32793994056568</v>
      </c>
      <c r="T83" s="1">
        <f t="shared" ref="T83:T92" si="50">(S83+((S83^2)-4*(K83-L83*P83)*LN(L83*P83))^(0.5))/(2*(K83-L83*P83))</f>
        <v>133.4696368778157</v>
      </c>
      <c r="U83" s="1" t="str">
        <f t="shared" ref="U83:U92" si="51">IF(E83&gt;=T83*1.2,"sell to the Grid","charge")</f>
        <v>sell to the Grid</v>
      </c>
      <c r="W83" s="1">
        <f>(Q83*E83)/1000</f>
        <v>0.15664742399999998</v>
      </c>
      <c r="Y83" s="1">
        <f t="shared" si="37"/>
        <v>9.5120832558139537E-2</v>
      </c>
      <c r="AA83" s="1">
        <f t="shared" si="41"/>
        <v>-9.7315461025135797</v>
      </c>
      <c r="AD83" s="1">
        <f t="shared" si="42"/>
        <v>0.25</v>
      </c>
    </row>
    <row r="84" spans="1:30" ht="15">
      <c r="A84" s="1">
        <v>83</v>
      </c>
      <c r="B84" s="1">
        <f t="shared" si="45"/>
        <v>1.64</v>
      </c>
      <c r="C84" s="1">
        <f t="shared" si="38"/>
        <v>0</v>
      </c>
      <c r="D84" s="1">
        <f t="shared" si="43"/>
        <v>0.97601116279069844</v>
      </c>
      <c r="E84">
        <v>183.83</v>
      </c>
      <c r="K84" s="1">
        <f>'Solar Availability and Gener GR'!F84</f>
        <v>1.89</v>
      </c>
      <c r="L84" s="1">
        <f>'System Load'!D84</f>
        <v>0.49744186046511629</v>
      </c>
      <c r="M84" s="1">
        <f t="shared" si="39"/>
        <v>1.3925581395348836</v>
      </c>
      <c r="N84" s="1" t="str">
        <f t="shared" si="40"/>
        <v>sell the surplus or charge</v>
      </c>
      <c r="O84" s="1">
        <v>0.25</v>
      </c>
      <c r="P84" s="1">
        <f t="shared" si="46"/>
        <v>0.5025712949976624</v>
      </c>
      <c r="Q84" s="1">
        <f t="shared" si="47"/>
        <v>1.64</v>
      </c>
      <c r="R84" s="1">
        <f t="shared" si="48"/>
        <v>301.47365923432812</v>
      </c>
      <c r="S84" s="1">
        <f t="shared" si="49"/>
        <v>255.99016450636023</v>
      </c>
      <c r="T84" s="1">
        <f t="shared" si="50"/>
        <v>156.09697895592956</v>
      </c>
      <c r="U84" s="1" t="str">
        <f t="shared" si="51"/>
        <v>charge</v>
      </c>
      <c r="Y84" s="1">
        <f t="shared" si="37"/>
        <v>9.1444737209302338E-2</v>
      </c>
      <c r="AA84" s="1">
        <f t="shared" si="41"/>
        <v>-8.3389879629786954</v>
      </c>
      <c r="AD84" s="1">
        <f t="shared" si="42"/>
        <v>0.25</v>
      </c>
    </row>
    <row r="85" spans="1:30" ht="15">
      <c r="A85" s="1">
        <v>84</v>
      </c>
      <c r="B85" s="1">
        <f t="shared" si="45"/>
        <v>2.1764000000000001</v>
      </c>
      <c r="C85" s="1">
        <f t="shared" si="38"/>
        <v>0</v>
      </c>
      <c r="D85" s="1">
        <f t="shared" si="43"/>
        <v>2.7171311627906984</v>
      </c>
      <c r="E85">
        <v>173.5</v>
      </c>
      <c r="K85" s="1">
        <f>'Solar Availability and Gener GR'!F85</f>
        <v>2.4264000000000001</v>
      </c>
      <c r="L85" s="1">
        <f>'System Load'!D85</f>
        <v>0.49744186046511629</v>
      </c>
      <c r="M85" s="1">
        <f t="shared" si="39"/>
        <v>1.9289581395348838</v>
      </c>
      <c r="N85" s="1" t="str">
        <f t="shared" si="40"/>
        <v>sell the surplus or charge</v>
      </c>
      <c r="O85" s="1">
        <v>0.25</v>
      </c>
      <c r="P85" s="1">
        <f t="shared" si="46"/>
        <v>0.5025712949976624</v>
      </c>
      <c r="Q85" s="1">
        <f t="shared" si="47"/>
        <v>2.1764000000000001</v>
      </c>
      <c r="R85" s="1">
        <f t="shared" si="48"/>
        <v>377.5974102912736</v>
      </c>
      <c r="S85" s="1">
        <f t="shared" si="49"/>
        <v>334.67021279230852</v>
      </c>
      <c r="T85" s="1">
        <f t="shared" si="50"/>
        <v>153.77652443749409</v>
      </c>
      <c r="U85" s="1" t="str">
        <f t="shared" si="51"/>
        <v>charge</v>
      </c>
      <c r="Y85" s="1">
        <f t="shared" si="37"/>
        <v>8.6306162790697666E-2</v>
      </c>
      <c r="AA85" s="1">
        <f t="shared" si="41"/>
        <v>-6.4100298234438116</v>
      </c>
      <c r="AD85" s="1">
        <f t="shared" si="42"/>
        <v>0.25</v>
      </c>
    </row>
    <row r="86" spans="1:30" ht="15">
      <c r="A86" s="1">
        <v>85</v>
      </c>
      <c r="B86" s="1">
        <f t="shared" si="45"/>
        <v>2.4247999999999998</v>
      </c>
      <c r="C86" s="1">
        <f t="shared" si="38"/>
        <v>0</v>
      </c>
      <c r="D86" s="1">
        <f t="shared" si="43"/>
        <v>4.6569711627906987</v>
      </c>
      <c r="E86">
        <v>169.41</v>
      </c>
      <c r="K86" s="1">
        <f>'Solar Availability and Gener GR'!F86</f>
        <v>2.6747999999999998</v>
      </c>
      <c r="L86" s="1">
        <f>'System Load'!D86</f>
        <v>0.49744186046511629</v>
      </c>
      <c r="M86" s="1">
        <f t="shared" si="39"/>
        <v>2.1773581395348836</v>
      </c>
      <c r="N86" s="1" t="str">
        <f t="shared" si="40"/>
        <v>sell the surplus or charge</v>
      </c>
      <c r="O86" s="1">
        <v>0.25</v>
      </c>
      <c r="P86" s="1">
        <f t="shared" si="46"/>
        <v>0.5025712949976624</v>
      </c>
      <c r="Q86" s="1">
        <f t="shared" si="47"/>
        <v>2.4247999999999998</v>
      </c>
      <c r="R86" s="1">
        <f t="shared" si="48"/>
        <v>410.77718541021648</v>
      </c>
      <c r="S86" s="1">
        <f t="shared" si="49"/>
        <v>368.86212084740521</v>
      </c>
      <c r="T86" s="1">
        <f t="shared" si="50"/>
        <v>152.1243953097725</v>
      </c>
      <c r="U86" s="1" t="str">
        <f t="shared" si="51"/>
        <v>charge</v>
      </c>
      <c r="Y86" s="1">
        <f t="shared" si="37"/>
        <v>8.4271625581395351E-2</v>
      </c>
      <c r="AA86" s="1">
        <f t="shared" si="41"/>
        <v>-4.2326716839089276</v>
      </c>
      <c r="AD86" s="1">
        <f t="shared" si="42"/>
        <v>0.25</v>
      </c>
    </row>
    <row r="87" spans="1:30" ht="15">
      <c r="A87" s="1">
        <v>86</v>
      </c>
      <c r="B87" s="1">
        <f t="shared" si="45"/>
        <v>2.54</v>
      </c>
      <c r="C87" s="1">
        <f t="shared" si="38"/>
        <v>0</v>
      </c>
      <c r="D87" s="1">
        <f t="shared" si="43"/>
        <v>6.6889711627906987</v>
      </c>
      <c r="E87">
        <v>172</v>
      </c>
      <c r="K87" s="1">
        <f>'Solar Availability and Gener GR'!F87</f>
        <v>2.79</v>
      </c>
      <c r="L87" s="1">
        <f>'System Load'!D87</f>
        <v>0.49744186046511629</v>
      </c>
      <c r="M87" s="1">
        <f t="shared" si="39"/>
        <v>2.2925581395348837</v>
      </c>
      <c r="N87" s="1" t="str">
        <f t="shared" si="40"/>
        <v>sell the surplus or charge</v>
      </c>
      <c r="O87" s="1">
        <v>0.25</v>
      </c>
      <c r="P87" s="1">
        <f t="shared" si="46"/>
        <v>0.5025712949976624</v>
      </c>
      <c r="Q87" s="1">
        <f t="shared" si="47"/>
        <v>2.54</v>
      </c>
      <c r="R87" s="1">
        <f t="shared" si="48"/>
        <v>436.87194061763199</v>
      </c>
      <c r="S87" s="1">
        <f t="shared" si="49"/>
        <v>394.31594048838673</v>
      </c>
      <c r="T87" s="1">
        <f t="shared" si="50"/>
        <v>155.24601187009981</v>
      </c>
      <c r="U87" s="1" t="str">
        <f t="shared" si="51"/>
        <v>charge</v>
      </c>
      <c r="Y87" s="1">
        <f t="shared" si="37"/>
        <v>8.5559999999999997E-2</v>
      </c>
      <c r="AA87" s="1">
        <f t="shared" si="41"/>
        <v>-1.9401135443740438</v>
      </c>
      <c r="AD87" s="1">
        <f t="shared" si="42"/>
        <v>0.25</v>
      </c>
    </row>
    <row r="88" spans="1:30" ht="15">
      <c r="A88" s="1">
        <v>87</v>
      </c>
      <c r="B88" s="1">
        <f t="shared" si="45"/>
        <v>2.3852000000000002</v>
      </c>
      <c r="C88" s="1">
        <f t="shared" si="38"/>
        <v>0</v>
      </c>
      <c r="D88" s="1">
        <f t="shared" si="43"/>
        <v>8.5971311627906992</v>
      </c>
      <c r="E88">
        <v>216.43</v>
      </c>
      <c r="K88" s="1">
        <f>'Solar Availability and Gener GR'!F88</f>
        <v>2.6352000000000002</v>
      </c>
      <c r="L88" s="1">
        <f>'System Load'!D88</f>
        <v>0.49744186046511629</v>
      </c>
      <c r="M88" s="1">
        <f t="shared" si="39"/>
        <v>2.1377581395348839</v>
      </c>
      <c r="N88" s="1" t="str">
        <f t="shared" si="40"/>
        <v>sell the surplus or charge</v>
      </c>
      <c r="O88" s="1">
        <v>0.25</v>
      </c>
      <c r="P88" s="1">
        <f t="shared" si="46"/>
        <v>0.5025712949976624</v>
      </c>
      <c r="Q88" s="1">
        <f t="shared" si="47"/>
        <v>2.3852000000000002</v>
      </c>
      <c r="R88" s="1">
        <f t="shared" si="48"/>
        <v>516.22243101773654</v>
      </c>
      <c r="S88" s="1">
        <f t="shared" si="49"/>
        <v>462.67176794940093</v>
      </c>
      <c r="T88" s="1">
        <f t="shared" si="50"/>
        <v>193.97908542976649</v>
      </c>
      <c r="U88" s="1" t="str">
        <f t="shared" si="51"/>
        <v>charge</v>
      </c>
      <c r="Y88" s="1">
        <f t="shared" si="37"/>
        <v>0.10766134186046512</v>
      </c>
      <c r="AA88" s="1">
        <f t="shared" si="41"/>
        <v>0.1976445951608401</v>
      </c>
      <c r="AD88" s="1">
        <f t="shared" si="42"/>
        <v>0.25</v>
      </c>
    </row>
    <row r="89" spans="1:30" ht="15">
      <c r="A89" s="1">
        <v>88</v>
      </c>
      <c r="B89" s="1">
        <f t="shared" si="45"/>
        <v>0</v>
      </c>
      <c r="C89" s="1">
        <f t="shared" si="38"/>
        <v>0</v>
      </c>
      <c r="D89" s="1">
        <f t="shared" si="43"/>
        <v>8.5971311627906992</v>
      </c>
      <c r="E89">
        <v>301.95</v>
      </c>
      <c r="K89" s="1">
        <f>'Solar Availability and Gener GR'!F89</f>
        <v>2.3508</v>
      </c>
      <c r="L89" s="1">
        <f>'System Load'!D89</f>
        <v>0.83441860465116291</v>
      </c>
      <c r="M89" s="1">
        <f t="shared" si="39"/>
        <v>1.5163813953488372</v>
      </c>
      <c r="N89" s="1" t="str">
        <f t="shared" si="40"/>
        <v>sell the surplus or charge</v>
      </c>
      <c r="O89" s="1">
        <v>0.25</v>
      </c>
      <c r="P89" s="1">
        <f t="shared" si="46"/>
        <v>0.29960981047937563</v>
      </c>
      <c r="Q89" s="1">
        <f t="shared" si="47"/>
        <v>2.1008</v>
      </c>
      <c r="R89" s="1">
        <f t="shared" si="48"/>
        <v>634.331969013243</v>
      </c>
      <c r="S89" s="1">
        <f t="shared" si="49"/>
        <v>457.87076284194615</v>
      </c>
      <c r="T89" s="1">
        <f t="shared" si="50"/>
        <v>217.95369542145943</v>
      </c>
      <c r="U89" s="1" t="str">
        <f t="shared" si="51"/>
        <v>sell to the Grid</v>
      </c>
      <c r="W89" s="1">
        <f>(Q89*E89)/1000</f>
        <v>0.63433655999999994</v>
      </c>
      <c r="Y89" s="1">
        <f t="shared" si="37"/>
        <v>0.25195269767441864</v>
      </c>
      <c r="AA89" s="1">
        <f t="shared" si="41"/>
        <v>1.7140259905096773</v>
      </c>
      <c r="AD89" s="1">
        <f t="shared" si="42"/>
        <v>0.25</v>
      </c>
    </row>
    <row r="90" spans="1:30" ht="15">
      <c r="A90" s="1">
        <v>89</v>
      </c>
      <c r="B90" s="1">
        <f t="shared" si="45"/>
        <v>0</v>
      </c>
      <c r="C90" s="1">
        <f t="shared" si="38"/>
        <v>0</v>
      </c>
      <c r="D90" s="1">
        <f t="shared" si="43"/>
        <v>8.5971311627906992</v>
      </c>
      <c r="E90">
        <v>362.31</v>
      </c>
      <c r="K90" s="1">
        <f>'Solar Availability and Gener GR'!F90</f>
        <v>1.9260000000000002</v>
      </c>
      <c r="L90" s="1">
        <f>'System Load'!D90</f>
        <v>0.83441860465116291</v>
      </c>
      <c r="M90" s="1">
        <f t="shared" si="39"/>
        <v>1.0915813953488374</v>
      </c>
      <c r="N90" s="1" t="str">
        <f t="shared" si="40"/>
        <v>sell the surplus or charge</v>
      </c>
      <c r="O90" s="1">
        <v>0.25</v>
      </c>
      <c r="P90" s="1">
        <f t="shared" si="46"/>
        <v>0.29960981047937563</v>
      </c>
      <c r="Q90" s="1">
        <f t="shared" si="47"/>
        <v>1.6760000000000002</v>
      </c>
      <c r="R90" s="1">
        <f t="shared" si="48"/>
        <v>607.22773383980712</v>
      </c>
      <c r="S90" s="1">
        <f t="shared" si="49"/>
        <v>395.49035573501936</v>
      </c>
      <c r="T90" s="1">
        <f t="shared" si="50"/>
        <v>235.97627115414525</v>
      </c>
      <c r="U90" s="1" t="str">
        <f t="shared" si="51"/>
        <v>sell to the Grid</v>
      </c>
      <c r="W90" s="1">
        <f>(Q90*E90)/1000</f>
        <v>0.60723156</v>
      </c>
      <c r="Y90" s="1">
        <f t="shared" si="37"/>
        <v>0.30231820465116283</v>
      </c>
      <c r="AA90" s="1">
        <f t="shared" si="41"/>
        <v>2.8056073858585147</v>
      </c>
      <c r="AD90" s="1">
        <f t="shared" si="42"/>
        <v>0.25</v>
      </c>
    </row>
    <row r="91" spans="1:30" ht="15">
      <c r="A91" s="1">
        <v>90</v>
      </c>
      <c r="B91" s="1">
        <f t="shared" si="45"/>
        <v>0</v>
      </c>
      <c r="C91" s="1">
        <f t="shared" si="38"/>
        <v>0</v>
      </c>
      <c r="D91" s="1">
        <f t="shared" si="43"/>
        <v>8.5971311627906992</v>
      </c>
      <c r="E91">
        <v>329.48</v>
      </c>
      <c r="K91" s="1">
        <f>'Solar Availability and Gener GR'!F91</f>
        <v>1.3139999999999998</v>
      </c>
      <c r="L91" s="1">
        <f>'System Load'!D91</f>
        <v>0.49744186046511629</v>
      </c>
      <c r="M91" s="1">
        <f t="shared" si="39"/>
        <v>0.81655813953488354</v>
      </c>
      <c r="N91" s="1" t="str">
        <f t="shared" si="40"/>
        <v>sell the surplus or charge</v>
      </c>
      <c r="O91" s="1">
        <v>0.25</v>
      </c>
      <c r="P91" s="1">
        <f t="shared" si="46"/>
        <v>0.5025712949976624</v>
      </c>
      <c r="Q91" s="1">
        <f t="shared" si="47"/>
        <v>1.0639999999999998</v>
      </c>
      <c r="R91" s="1">
        <f t="shared" si="48"/>
        <v>350.56251260565989</v>
      </c>
      <c r="S91" s="1">
        <f t="shared" si="49"/>
        <v>269.03745654905134</v>
      </c>
      <c r="T91" s="1">
        <f t="shared" si="50"/>
        <v>252.8599050838655</v>
      </c>
      <c r="U91" s="1" t="str">
        <f t="shared" si="51"/>
        <v>sell to the Grid</v>
      </c>
      <c r="Y91" s="1">
        <f t="shared" si="37"/>
        <v>0.16389714418604651</v>
      </c>
      <c r="AA91" s="1">
        <f t="shared" si="41"/>
        <v>3.622165525393398</v>
      </c>
      <c r="AD91" s="1">
        <f t="shared" si="42"/>
        <v>0.25</v>
      </c>
    </row>
    <row r="92" spans="1:30" ht="15">
      <c r="A92" s="1">
        <v>91</v>
      </c>
      <c r="B92" s="1">
        <f t="shared" si="45"/>
        <v>0</v>
      </c>
      <c r="C92" s="1">
        <f t="shared" si="38"/>
        <v>0</v>
      </c>
      <c r="D92" s="1">
        <f t="shared" si="43"/>
        <v>8.5971311627906992</v>
      </c>
      <c r="E92">
        <v>317</v>
      </c>
      <c r="K92" s="1">
        <f>'Solar Availability and Gener GR'!F92</f>
        <v>0.67320000000000002</v>
      </c>
      <c r="L92" s="1">
        <f>'System Load'!D92</f>
        <v>0.49744186046511629</v>
      </c>
      <c r="M92" s="1">
        <f t="shared" si="39"/>
        <v>0.17575813953488373</v>
      </c>
      <c r="N92" s="1" t="str">
        <f t="shared" si="40"/>
        <v>sell the surplus or charge</v>
      </c>
      <c r="O92" s="1">
        <v>0.25</v>
      </c>
      <c r="P92" s="1">
        <f t="shared" si="46"/>
        <v>0.5025712949976624</v>
      </c>
      <c r="Q92" s="1">
        <f t="shared" si="47"/>
        <v>0.42320000000000002</v>
      </c>
      <c r="R92" s="1">
        <f t="shared" si="48"/>
        <v>134.15002696961889</v>
      </c>
      <c r="S92" s="1">
        <f t="shared" si="49"/>
        <v>55.71312753676748</v>
      </c>
      <c r="T92" s="1">
        <f t="shared" si="50"/>
        <v>131.67215481062149</v>
      </c>
      <c r="U92" s="1" t="str">
        <f t="shared" si="51"/>
        <v>sell to the Grid</v>
      </c>
      <c r="W92" s="1">
        <f>(Q92*E92)/1000</f>
        <v>0.13415440000000001</v>
      </c>
      <c r="Y92" s="1">
        <f t="shared" si="37"/>
        <v>0.15768906976744188</v>
      </c>
      <c r="AA92" s="1">
        <f t="shared" si="41"/>
        <v>3.7979236649282817</v>
      </c>
      <c r="AD92" s="1">
        <f t="shared" si="42"/>
        <v>0.25</v>
      </c>
    </row>
    <row r="93" spans="1:30" ht="15">
      <c r="A93" s="1">
        <v>92</v>
      </c>
      <c r="B93" s="1">
        <f t="shared" si="45"/>
        <v>0</v>
      </c>
      <c r="C93" s="1">
        <f t="shared" si="38"/>
        <v>0</v>
      </c>
      <c r="D93" s="1">
        <f t="shared" si="43"/>
        <v>8.5971311627906992</v>
      </c>
      <c r="E93">
        <v>255.28</v>
      </c>
      <c r="K93" s="1">
        <f>'Solar Availability and Gener GR'!F93</f>
        <v>0.14399999999999999</v>
      </c>
      <c r="L93" s="1">
        <f>'System Load'!D93</f>
        <v>0.81837209302325586</v>
      </c>
      <c r="M93" s="1">
        <f t="shared" si="39"/>
        <v>-0.67437209302325585</v>
      </c>
      <c r="N93" s="1" t="str">
        <f t="shared" si="40"/>
        <v>Buy from Grid</v>
      </c>
      <c r="V93" s="1" t="str">
        <f t="shared" ref="V93:V105" si="52">IF(D93+M93&gt;0,"discharge","buy from the Grid")</f>
        <v>discharge</v>
      </c>
      <c r="Y93" s="1">
        <f t="shared" si="37"/>
        <v>0.20891402790697677</v>
      </c>
      <c r="AA93" s="1">
        <f t="shared" si="41"/>
        <v>3.123551571905026</v>
      </c>
      <c r="AD93" s="1">
        <f t="shared" si="42"/>
        <v>0</v>
      </c>
    </row>
    <row r="94" spans="1:30" ht="15">
      <c r="A94" s="1">
        <v>93</v>
      </c>
      <c r="B94" s="1">
        <f t="shared" si="45"/>
        <v>0</v>
      </c>
      <c r="C94" s="1">
        <f t="shared" si="38"/>
        <v>-0.81714809302325586</v>
      </c>
      <c r="D94" s="1">
        <f t="shared" si="43"/>
        <v>7.575696046511629</v>
      </c>
      <c r="E94">
        <v>255.8</v>
      </c>
      <c r="K94" s="1">
        <f>'Solar Availability and Gener GR'!F94</f>
        <v>1.224E-3</v>
      </c>
      <c r="L94" s="1">
        <f>'System Load'!D94</f>
        <v>0.81837209302325586</v>
      </c>
      <c r="M94" s="1">
        <f t="shared" si="39"/>
        <v>-0.81714809302325586</v>
      </c>
      <c r="N94" s="1" t="str">
        <f t="shared" si="40"/>
        <v>Buy from Grid</v>
      </c>
      <c r="V94" s="1" t="str">
        <f t="shared" si="52"/>
        <v>discharge</v>
      </c>
      <c r="Y94" s="1">
        <f t="shared" si="37"/>
        <v>0.20933958139534886</v>
      </c>
      <c r="AA94" s="1">
        <f t="shared" si="41"/>
        <v>2.3064034788817702</v>
      </c>
      <c r="AD94" s="1">
        <f t="shared" si="42"/>
        <v>0</v>
      </c>
    </row>
    <row r="95" spans="1:30" ht="15">
      <c r="A95" s="1">
        <v>94</v>
      </c>
      <c r="B95" s="1">
        <f t="shared" si="45"/>
        <v>0</v>
      </c>
      <c r="C95" s="1">
        <f t="shared" si="38"/>
        <v>-0.49744186046511629</v>
      </c>
      <c r="D95" s="1">
        <f t="shared" si="43"/>
        <v>6.9538937209302336</v>
      </c>
      <c r="E95">
        <v>190.06</v>
      </c>
      <c r="K95" s="1">
        <f>'Solar Availability and Gener GR'!F95</f>
        <v>0</v>
      </c>
      <c r="L95" s="1">
        <f>'System Load'!D95</f>
        <v>0.49744186046511629</v>
      </c>
      <c r="M95" s="1">
        <f t="shared" si="39"/>
        <v>-0.49744186046511629</v>
      </c>
      <c r="N95" s="1" t="str">
        <f t="shared" si="40"/>
        <v>Buy from Grid</v>
      </c>
      <c r="V95" s="1" t="str">
        <f t="shared" si="52"/>
        <v>discharge</v>
      </c>
      <c r="Y95" s="1">
        <f t="shared" si="37"/>
        <v>9.4543800000000011E-2</v>
      </c>
      <c r="AA95" s="1">
        <f t="shared" si="41"/>
        <v>1.8089616184166539</v>
      </c>
      <c r="AD95" s="1">
        <f t="shared" si="42"/>
        <v>0</v>
      </c>
    </row>
    <row r="96" spans="1:30" ht="15">
      <c r="A96" s="1">
        <v>95</v>
      </c>
      <c r="B96" s="1">
        <f t="shared" si="45"/>
        <v>0</v>
      </c>
      <c r="C96" s="1">
        <f t="shared" si="38"/>
        <v>-0.49744186046511629</v>
      </c>
      <c r="D96" s="1">
        <f t="shared" si="43"/>
        <v>6.3320913953488382</v>
      </c>
      <c r="E96">
        <v>179.99</v>
      </c>
      <c r="K96" s="1">
        <f>'Solar Availability and Gener GR'!F96</f>
        <v>0</v>
      </c>
      <c r="L96" s="1">
        <f>'System Load'!D96</f>
        <v>0.49744186046511629</v>
      </c>
      <c r="M96" s="1">
        <f t="shared" si="39"/>
        <v>-0.49744186046511629</v>
      </c>
      <c r="N96" s="1" t="str">
        <f t="shared" si="40"/>
        <v>Buy from Grid</v>
      </c>
      <c r="V96" s="1" t="str">
        <f t="shared" si="52"/>
        <v>discharge</v>
      </c>
      <c r="Y96" s="1">
        <f t="shared" si="37"/>
        <v>8.9534560465116292E-2</v>
      </c>
      <c r="AA96" s="1">
        <f t="shared" si="41"/>
        <v>1.3115197579515376</v>
      </c>
      <c r="AD96" s="1">
        <f t="shared" si="42"/>
        <v>0</v>
      </c>
    </row>
    <row r="97" spans="1:30" ht="15">
      <c r="A97" s="1">
        <v>96</v>
      </c>
      <c r="B97" s="1">
        <f t="shared" si="45"/>
        <v>0</v>
      </c>
      <c r="C97" s="1">
        <f t="shared" si="38"/>
        <v>-0.49744186046511629</v>
      </c>
      <c r="D97" s="1">
        <f t="shared" si="43"/>
        <v>5.7102890697674429</v>
      </c>
      <c r="E97">
        <v>137.9</v>
      </c>
      <c r="K97" s="1">
        <f>'Solar Availability and Gener GR'!F97</f>
        <v>0</v>
      </c>
      <c r="L97" s="1">
        <f>'System Load'!D97</f>
        <v>0.49744186046511629</v>
      </c>
      <c r="M97" s="1">
        <f t="shared" si="39"/>
        <v>-0.49744186046511629</v>
      </c>
      <c r="N97" s="1" t="str">
        <f t="shared" si="40"/>
        <v>Buy from Grid</v>
      </c>
      <c r="V97" s="1" t="str">
        <f t="shared" si="52"/>
        <v>discharge</v>
      </c>
      <c r="Y97" s="1">
        <f t="shared" si="37"/>
        <v>6.8597232558139543E-2</v>
      </c>
      <c r="AA97" s="1">
        <f t="shared" si="41"/>
        <v>0.81407789748642134</v>
      </c>
      <c r="AD97" s="1">
        <f t="shared" si="42"/>
        <v>0</v>
      </c>
    </row>
    <row r="98" spans="1:30" ht="15">
      <c r="A98" s="1">
        <v>97</v>
      </c>
      <c r="B98" s="1">
        <f t="shared" si="45"/>
        <v>0</v>
      </c>
      <c r="C98" s="1">
        <f t="shared" si="38"/>
        <v>-0.38511627906976742</v>
      </c>
      <c r="D98" s="1">
        <f t="shared" si="43"/>
        <v>5.228893720930234</v>
      </c>
      <c r="E98">
        <v>150.97999999999999</v>
      </c>
      <c r="K98" s="1">
        <f>'Solar Availability and Gener GR'!F98</f>
        <v>0</v>
      </c>
      <c r="L98" s="1">
        <f>'System Load'!D98</f>
        <v>0.38511627906976742</v>
      </c>
      <c r="M98" s="1">
        <f t="shared" si="39"/>
        <v>-0.38511627906976742</v>
      </c>
      <c r="N98" s="1" t="str">
        <f t="shared" si="40"/>
        <v>Buy from Grid</v>
      </c>
      <c r="V98" s="1" t="str">
        <f t="shared" si="52"/>
        <v>discharge</v>
      </c>
      <c r="Y98" s="1">
        <f t="shared" si="37"/>
        <v>5.8144855813953483E-2</v>
      </c>
      <c r="AA98" s="1">
        <f t="shared" si="41"/>
        <v>0.42896161841665392</v>
      </c>
      <c r="AD98" s="1">
        <f t="shared" si="42"/>
        <v>0</v>
      </c>
    </row>
    <row r="99" spans="1:30" ht="15">
      <c r="A99" s="1">
        <v>98</v>
      </c>
      <c r="B99" s="1">
        <f t="shared" si="45"/>
        <v>0</v>
      </c>
      <c r="C99" s="1">
        <f t="shared" si="38"/>
        <v>-0.36906976744186054</v>
      </c>
      <c r="D99" s="1">
        <f t="shared" si="43"/>
        <v>4.7675565116279079</v>
      </c>
      <c r="E99">
        <v>123</v>
      </c>
      <c r="K99" s="1">
        <f>'Solar Availability and Gener GR'!F99</f>
        <v>0</v>
      </c>
      <c r="L99" s="1">
        <f>'System Load'!D99</f>
        <v>0.36906976744186054</v>
      </c>
      <c r="M99" s="1">
        <f t="shared" si="39"/>
        <v>-0.36906976744186054</v>
      </c>
      <c r="N99" s="1" t="str">
        <f t="shared" si="40"/>
        <v>Buy from Grid</v>
      </c>
      <c r="V99" s="1" t="str">
        <f t="shared" si="52"/>
        <v>discharge</v>
      </c>
      <c r="Y99" s="1">
        <f t="shared" si="37"/>
        <v>4.5395581395348848E-2</v>
      </c>
      <c r="AA99" s="1">
        <f t="shared" si="41"/>
        <v>5.9891850974793381E-2</v>
      </c>
      <c r="AD99" s="1">
        <f t="shared" si="42"/>
        <v>0</v>
      </c>
    </row>
    <row r="100" spans="1:30" ht="15">
      <c r="A100" s="1">
        <v>99</v>
      </c>
      <c r="B100" s="1">
        <f t="shared" si="45"/>
        <v>0</v>
      </c>
      <c r="C100" s="1">
        <f t="shared" si="38"/>
        <v>-0.36906976744186054</v>
      </c>
      <c r="D100" s="1">
        <f t="shared" si="43"/>
        <v>4.3062193023255819</v>
      </c>
      <c r="E100">
        <v>107</v>
      </c>
      <c r="K100" s="1">
        <f>'Solar Availability and Gener GR'!F100</f>
        <v>0</v>
      </c>
      <c r="L100" s="1">
        <f>'System Load'!D100</f>
        <v>0.36906976744186054</v>
      </c>
      <c r="M100" s="1">
        <f t="shared" si="39"/>
        <v>-0.36906976744186054</v>
      </c>
      <c r="N100" s="1" t="str">
        <f t="shared" si="40"/>
        <v>Buy from Grid</v>
      </c>
      <c r="V100" s="1" t="str">
        <f t="shared" si="52"/>
        <v>discharge</v>
      </c>
      <c r="Y100" s="1">
        <f t="shared" si="37"/>
        <v>3.9490465116279079E-2</v>
      </c>
      <c r="AA100" s="1">
        <f t="shared" si="41"/>
        <v>-0.30917791646706716</v>
      </c>
      <c r="AD100" s="1">
        <f t="shared" si="42"/>
        <v>0</v>
      </c>
    </row>
    <row r="101" spans="1:30" ht="15">
      <c r="A101" s="1">
        <v>100</v>
      </c>
      <c r="B101" s="1">
        <f t="shared" si="45"/>
        <v>0</v>
      </c>
      <c r="C101" s="1">
        <f t="shared" si="38"/>
        <v>-0.36906976744186054</v>
      </c>
      <c r="D101" s="1">
        <f t="shared" si="43"/>
        <v>3.8448820930232563</v>
      </c>
      <c r="E101">
        <v>100</v>
      </c>
      <c r="K101" s="1">
        <f>'Solar Availability and Gener GR'!F101</f>
        <v>0</v>
      </c>
      <c r="L101" s="1">
        <f>'System Load'!D101</f>
        <v>0.36906976744186054</v>
      </c>
      <c r="M101" s="1">
        <f t="shared" si="39"/>
        <v>-0.36906976744186054</v>
      </c>
      <c r="N101" s="1" t="str">
        <f t="shared" si="40"/>
        <v>Buy from Grid</v>
      </c>
      <c r="V101" s="1" t="str">
        <f t="shared" si="52"/>
        <v>discharge</v>
      </c>
      <c r="Y101" s="1">
        <f t="shared" si="37"/>
        <v>3.6906976744186054E-2</v>
      </c>
      <c r="AA101" s="1">
        <f t="shared" si="41"/>
        <v>-0.67824768390892776</v>
      </c>
      <c r="AD101" s="1">
        <f t="shared" si="42"/>
        <v>0</v>
      </c>
    </row>
    <row r="102" spans="1:30" ht="15">
      <c r="A102" s="1">
        <v>101</v>
      </c>
      <c r="B102" s="1">
        <f t="shared" si="45"/>
        <v>0</v>
      </c>
      <c r="C102" s="1">
        <f t="shared" si="38"/>
        <v>-0.36906976744186054</v>
      </c>
      <c r="D102" s="1">
        <f t="shared" si="43"/>
        <v>3.3835448837209308</v>
      </c>
      <c r="E102">
        <v>160</v>
      </c>
      <c r="K102" s="1">
        <f>'Solar Availability and Gener GR'!F102</f>
        <v>0</v>
      </c>
      <c r="L102" s="1">
        <f>'System Load'!D102</f>
        <v>0.36906976744186054</v>
      </c>
      <c r="M102" s="1">
        <f t="shared" si="39"/>
        <v>-0.36906976744186054</v>
      </c>
      <c r="N102" s="1" t="str">
        <f t="shared" si="40"/>
        <v>Buy from Grid</v>
      </c>
      <c r="V102" s="1" t="str">
        <f t="shared" si="52"/>
        <v>discharge</v>
      </c>
      <c r="Y102" s="1">
        <f t="shared" si="37"/>
        <v>5.9051162790697685E-2</v>
      </c>
      <c r="AA102" s="1">
        <f t="shared" si="41"/>
        <v>-1.0473174513507884</v>
      </c>
      <c r="AD102" s="1">
        <f t="shared" si="42"/>
        <v>0</v>
      </c>
    </row>
    <row r="103" spans="1:30" ht="15">
      <c r="A103" s="1">
        <v>102</v>
      </c>
      <c r="B103" s="1">
        <f t="shared" si="45"/>
        <v>0</v>
      </c>
      <c r="C103" s="1">
        <f t="shared" si="38"/>
        <v>-0.49744186046511629</v>
      </c>
      <c r="D103" s="1">
        <f t="shared" si="43"/>
        <v>2.7617425581395354</v>
      </c>
      <c r="E103">
        <v>263.11</v>
      </c>
      <c r="K103" s="1">
        <f>'Solar Availability and Gener GR'!F103</f>
        <v>0</v>
      </c>
      <c r="L103" s="1">
        <f>'System Load'!D103</f>
        <v>0.49744186046511629</v>
      </c>
      <c r="M103" s="1">
        <f t="shared" si="39"/>
        <v>-0.49744186046511629</v>
      </c>
      <c r="N103" s="1" t="str">
        <f t="shared" si="40"/>
        <v>Buy from Grid</v>
      </c>
      <c r="V103" s="1" t="str">
        <f t="shared" si="52"/>
        <v>discharge</v>
      </c>
      <c r="Y103" s="1">
        <f t="shared" si="37"/>
        <v>0.13088192790697675</v>
      </c>
      <c r="AA103" s="1">
        <f t="shared" si="41"/>
        <v>-1.5447593118159046</v>
      </c>
      <c r="AD103" s="1">
        <f t="shared" si="42"/>
        <v>0</v>
      </c>
    </row>
    <row r="104" spans="1:30" ht="15">
      <c r="A104" s="1">
        <v>103</v>
      </c>
      <c r="B104" s="1">
        <f t="shared" si="45"/>
        <v>0</v>
      </c>
      <c r="C104" s="1">
        <f t="shared" si="38"/>
        <v>-0.78041860465116286</v>
      </c>
      <c r="D104" s="1">
        <f t="shared" si="43"/>
        <v>1.7862193023255819</v>
      </c>
      <c r="E104">
        <v>356.04</v>
      </c>
      <c r="K104" s="1">
        <f>'Solar Availability and Gener GR'!F104</f>
        <v>5.3999999999999999E-2</v>
      </c>
      <c r="L104" s="1">
        <f>'System Load'!D104</f>
        <v>0.83441860465116291</v>
      </c>
      <c r="M104" s="1">
        <f t="shared" si="39"/>
        <v>-0.78041860465116286</v>
      </c>
      <c r="N104" s="1" t="str">
        <f t="shared" si="40"/>
        <v>Buy from Grid</v>
      </c>
      <c r="V104" s="1" t="str">
        <f t="shared" si="52"/>
        <v>discharge</v>
      </c>
      <c r="Y104" s="1">
        <f t="shared" si="37"/>
        <v>0.29708640000000008</v>
      </c>
      <c r="AA104" s="1">
        <f t="shared" si="41"/>
        <v>-2.3251779164670676</v>
      </c>
      <c r="AD104" s="1">
        <f t="shared" si="42"/>
        <v>0</v>
      </c>
    </row>
    <row r="105" spans="1:30" ht="15">
      <c r="A105" s="1">
        <v>104</v>
      </c>
      <c r="B105" s="1">
        <f t="shared" si="45"/>
        <v>0</v>
      </c>
      <c r="C105" s="1">
        <f t="shared" si="38"/>
        <v>-0.50321860465116297</v>
      </c>
      <c r="D105" s="1">
        <f t="shared" si="43"/>
        <v>1.1571960465116282</v>
      </c>
      <c r="E105">
        <v>361.04</v>
      </c>
      <c r="K105" s="1">
        <f>'Solar Availability and Gener GR'!F105</f>
        <v>0.33119999999999994</v>
      </c>
      <c r="L105" s="1">
        <f>'System Load'!D105</f>
        <v>0.83441860465116291</v>
      </c>
      <c r="M105" s="1">
        <f t="shared" si="39"/>
        <v>-0.50321860465116297</v>
      </c>
      <c r="N105" s="1" t="str">
        <f t="shared" si="40"/>
        <v>Buy from Grid</v>
      </c>
      <c r="V105" s="1" t="str">
        <f t="shared" si="52"/>
        <v>discharge</v>
      </c>
      <c r="Y105" s="1">
        <f t="shared" si="37"/>
        <v>0.30125849302325586</v>
      </c>
      <c r="AA105" s="1">
        <f t="shared" si="41"/>
        <v>-2.8283965211182305</v>
      </c>
      <c r="AD105" s="1">
        <f t="shared" si="42"/>
        <v>0</v>
      </c>
    </row>
    <row r="106" spans="1:30" ht="15">
      <c r="A106" s="1">
        <v>105</v>
      </c>
      <c r="B106" s="1">
        <f t="shared" si="45"/>
        <v>0</v>
      </c>
      <c r="C106" s="1">
        <f t="shared" si="38"/>
        <v>-9.2818604651162873E-2</v>
      </c>
      <c r="D106" s="1">
        <f t="shared" si="43"/>
        <v>1.0411727906976747</v>
      </c>
      <c r="E106">
        <v>264.11</v>
      </c>
      <c r="K106" s="1">
        <f>'Solar Availability and Gener GR'!F106</f>
        <v>0.74160000000000004</v>
      </c>
      <c r="L106" s="1">
        <f>'System Load'!D106</f>
        <v>0.83441860465116291</v>
      </c>
      <c r="M106" s="1">
        <f t="shared" si="39"/>
        <v>-9.2818604651162873E-2</v>
      </c>
      <c r="N106" s="1" t="str">
        <f t="shared" si="40"/>
        <v>Buy from Grid</v>
      </c>
      <c r="O106" s="1">
        <v>0.25</v>
      </c>
      <c r="P106" s="1">
        <f t="shared" ref="P106:P116" si="53">0.25/L106</f>
        <v>0.29960981047937563</v>
      </c>
      <c r="Q106" s="1">
        <f t="shared" ref="Q106:Q116" si="54">K106-P106*L106</f>
        <v>0.49160000000000004</v>
      </c>
      <c r="R106" s="1">
        <f t="shared" ref="R106:R116" si="55">((1/(E106+0.01))*LN(0.25))+(E106*(K106-0.25))</f>
        <v>129.83122727078177</v>
      </c>
      <c r="S106" s="1">
        <f t="shared" ref="S106:S116" si="56">((1/(E106+0.01))*LN(L106))+(E106*(K106-L106))</f>
        <v>-24.515007045002086</v>
      </c>
      <c r="T106" s="1">
        <f t="shared" ref="T106:T116" si="57">(S106+((S106^2)-4*(K106-L106*P106)*LN(L106*P106))^(0.5))/(2*(K106-L106*P106))</f>
        <v>5.6484825450921143E-2</v>
      </c>
      <c r="U106" s="1" t="str">
        <f t="shared" ref="U106:U116" si="58">IF(E106&gt;=T106*1.2,"sell to the Grid","charge")</f>
        <v>sell to the Grid</v>
      </c>
      <c r="W106" s="1">
        <f>(Q106*E106)/1000</f>
        <v>0.12983647600000001</v>
      </c>
      <c r="Y106" s="1">
        <f t="shared" si="37"/>
        <v>0.22037829767441866</v>
      </c>
      <c r="AA106" s="1">
        <f t="shared" si="41"/>
        <v>-2.9212151257693932</v>
      </c>
      <c r="AD106" s="1">
        <f t="shared" si="42"/>
        <v>0.25</v>
      </c>
    </row>
    <row r="107" spans="1:30" ht="15">
      <c r="A107" s="1">
        <v>106</v>
      </c>
      <c r="B107" s="1">
        <f t="shared" si="45"/>
        <v>0</v>
      </c>
      <c r="C107" s="1">
        <f t="shared" si="38"/>
        <v>0</v>
      </c>
      <c r="D107" s="1">
        <f t="shared" si="43"/>
        <v>1.0411727906976747</v>
      </c>
      <c r="E107">
        <v>242.65</v>
      </c>
      <c r="K107" s="1">
        <f>'Solar Availability and Gener GR'!F107</f>
        <v>1.3176000000000001</v>
      </c>
      <c r="L107" s="1">
        <f>'System Load'!D107</f>
        <v>0.49744186046511629</v>
      </c>
      <c r="M107" s="1">
        <f t="shared" si="39"/>
        <v>0.82015813953488381</v>
      </c>
      <c r="N107" s="1" t="str">
        <f t="shared" si="40"/>
        <v>sell the surplus or charge</v>
      </c>
      <c r="O107" s="1">
        <v>0.25</v>
      </c>
      <c r="P107" s="1">
        <f t="shared" si="53"/>
        <v>0.5025712949976624</v>
      </c>
      <c r="Q107" s="1">
        <f t="shared" si="54"/>
        <v>1.0676000000000001</v>
      </c>
      <c r="R107" s="1">
        <f t="shared" si="55"/>
        <v>259.04742709156386</v>
      </c>
      <c r="S107" s="1">
        <f t="shared" si="56"/>
        <v>199.00849496565377</v>
      </c>
      <c r="T107" s="1">
        <f t="shared" si="57"/>
        <v>186.4143233380637</v>
      </c>
      <c r="U107" s="1" t="str">
        <f t="shared" si="58"/>
        <v>sell to the Grid</v>
      </c>
      <c r="Y107" s="1">
        <f t="shared" si="37"/>
        <v>0.12070426744186047</v>
      </c>
      <c r="AA107" s="1">
        <f t="shared" si="41"/>
        <v>-2.1010569862345094</v>
      </c>
      <c r="AD107" s="1">
        <f t="shared" si="42"/>
        <v>0.25</v>
      </c>
    </row>
    <row r="108" spans="1:30" ht="15">
      <c r="A108" s="1">
        <v>107</v>
      </c>
      <c r="B108" s="1">
        <f t="shared" si="45"/>
        <v>1.9100000000000001</v>
      </c>
      <c r="C108" s="1">
        <f t="shared" si="38"/>
        <v>0</v>
      </c>
      <c r="D108" s="1">
        <f t="shared" si="43"/>
        <v>2.5691727906976749</v>
      </c>
      <c r="E108">
        <v>192.94</v>
      </c>
      <c r="K108" s="1">
        <f>'Solar Availability and Gener GR'!F108</f>
        <v>2.16</v>
      </c>
      <c r="L108" s="1">
        <f>'System Load'!D108</f>
        <v>0.49744186046511629</v>
      </c>
      <c r="M108" s="1">
        <f t="shared" si="39"/>
        <v>1.6625581395348838</v>
      </c>
      <c r="N108" s="1" t="str">
        <f t="shared" si="40"/>
        <v>sell the surplus or charge</v>
      </c>
      <c r="O108" s="1">
        <v>0.25</v>
      </c>
      <c r="P108" s="1">
        <f t="shared" si="53"/>
        <v>0.5025712949976624</v>
      </c>
      <c r="Q108" s="1">
        <f t="shared" si="54"/>
        <v>1.9100000000000001</v>
      </c>
      <c r="R108" s="1">
        <f t="shared" si="55"/>
        <v>368.50821526633263</v>
      </c>
      <c r="S108" s="1">
        <f t="shared" si="56"/>
        <v>320.77034849087522</v>
      </c>
      <c r="T108" s="1">
        <f t="shared" si="57"/>
        <v>167.94691248763283</v>
      </c>
      <c r="U108" s="1" t="str">
        <f t="shared" si="58"/>
        <v>charge</v>
      </c>
      <c r="Y108" s="1">
        <f t="shared" si="37"/>
        <v>9.5976432558139535E-2</v>
      </c>
      <c r="AA108" s="1">
        <f t="shared" si="41"/>
        <v>-0.43849884669962558</v>
      </c>
      <c r="AD108" s="1">
        <f t="shared" si="42"/>
        <v>0.25</v>
      </c>
    </row>
    <row r="109" spans="1:30" ht="15">
      <c r="A109" s="1">
        <v>108</v>
      </c>
      <c r="B109" s="1">
        <f t="shared" si="45"/>
        <v>2.4068000000000001</v>
      </c>
      <c r="C109" s="1">
        <f t="shared" si="38"/>
        <v>0</v>
      </c>
      <c r="D109" s="1">
        <f t="shared" si="43"/>
        <v>4.4946127906976745</v>
      </c>
      <c r="E109">
        <v>184.38</v>
      </c>
      <c r="K109" s="1">
        <f>'Solar Availability and Gener GR'!F109</f>
        <v>2.6568000000000001</v>
      </c>
      <c r="L109" s="1">
        <f>'System Load'!D109</f>
        <v>0.49744186046511629</v>
      </c>
      <c r="M109" s="1">
        <f t="shared" si="39"/>
        <v>2.1593581395348838</v>
      </c>
      <c r="N109" s="1" t="str">
        <f t="shared" si="40"/>
        <v>sell the surplus or charge</v>
      </c>
      <c r="O109" s="1">
        <v>0.25</v>
      </c>
      <c r="P109" s="1">
        <f t="shared" si="53"/>
        <v>0.5025712949976624</v>
      </c>
      <c r="Q109" s="1">
        <f t="shared" si="54"/>
        <v>2.4068000000000001</v>
      </c>
      <c r="R109" s="1">
        <f t="shared" si="55"/>
        <v>443.7582657269856</v>
      </c>
      <c r="S109" s="1">
        <f t="shared" si="56"/>
        <v>398.13866681265796</v>
      </c>
      <c r="T109" s="1">
        <f t="shared" si="57"/>
        <v>165.42589619657005</v>
      </c>
      <c r="U109" s="1" t="str">
        <f t="shared" si="58"/>
        <v>charge</v>
      </c>
      <c r="Y109" s="1">
        <f t="shared" si="37"/>
        <v>9.171833023255814E-2</v>
      </c>
      <c r="AA109" s="1">
        <f t="shared" si="41"/>
        <v>1.7208592928352582</v>
      </c>
      <c r="AD109" s="1">
        <f t="shared" si="42"/>
        <v>0.25</v>
      </c>
    </row>
    <row r="110" spans="1:30" ht="15">
      <c r="A110" s="1">
        <v>109</v>
      </c>
      <c r="B110" s="1">
        <f t="shared" si="45"/>
        <v>2.6732000000000005</v>
      </c>
      <c r="C110" s="1">
        <f t="shared" si="38"/>
        <v>0</v>
      </c>
      <c r="D110" s="1">
        <f t="shared" si="43"/>
        <v>6.6331727906976745</v>
      </c>
      <c r="E110">
        <v>165</v>
      </c>
      <c r="K110" s="1">
        <f>'Solar Availability and Gener GR'!F110</f>
        <v>2.9232000000000005</v>
      </c>
      <c r="L110" s="1">
        <f>'System Load'!D110</f>
        <v>0.49744186046511629</v>
      </c>
      <c r="M110" s="1">
        <f t="shared" si="39"/>
        <v>2.4257581395348842</v>
      </c>
      <c r="N110" s="1" t="str">
        <f t="shared" si="40"/>
        <v>sell the surplus or charge</v>
      </c>
      <c r="O110" s="1">
        <v>0.25</v>
      </c>
      <c r="P110" s="1">
        <f t="shared" si="53"/>
        <v>0.5025712949976624</v>
      </c>
      <c r="Q110" s="1">
        <f t="shared" si="54"/>
        <v>2.6732000000000005</v>
      </c>
      <c r="R110" s="1">
        <f t="shared" si="55"/>
        <v>441.06959872516148</v>
      </c>
      <c r="S110" s="1">
        <f t="shared" si="56"/>
        <v>400.24586130037483</v>
      </c>
      <c r="T110" s="1">
        <f t="shared" si="57"/>
        <v>149.72883435597456</v>
      </c>
      <c r="U110" s="1" t="str">
        <f t="shared" si="58"/>
        <v>charge</v>
      </c>
      <c r="Y110" s="1">
        <f t="shared" si="37"/>
        <v>8.2077906976744192E-2</v>
      </c>
      <c r="AA110" s="1">
        <f t="shared" si="41"/>
        <v>4.1466174323701424</v>
      </c>
      <c r="AD110" s="1">
        <f t="shared" si="42"/>
        <v>0.25</v>
      </c>
    </row>
    <row r="111" spans="1:30" ht="15">
      <c r="A111" s="1">
        <v>110</v>
      </c>
      <c r="B111" s="1">
        <f t="shared" si="45"/>
        <v>2.7307999999999995</v>
      </c>
      <c r="C111" s="1">
        <f t="shared" si="38"/>
        <v>0</v>
      </c>
      <c r="D111" s="1">
        <f t="shared" si="43"/>
        <v>8.8178127906976744</v>
      </c>
      <c r="E111">
        <v>165.1</v>
      </c>
      <c r="K111" s="1">
        <f>'Solar Availability and Gener GR'!F111</f>
        <v>2.9807999999999995</v>
      </c>
      <c r="L111" s="1">
        <f>'System Load'!D111</f>
        <v>0.49744186046511629</v>
      </c>
      <c r="M111" s="1">
        <f t="shared" si="39"/>
        <v>2.4833581395348832</v>
      </c>
      <c r="N111" s="1" t="str">
        <f t="shared" si="40"/>
        <v>sell the surplus or charge</v>
      </c>
      <c r="O111" s="1">
        <v>0.25</v>
      </c>
      <c r="P111" s="1">
        <f t="shared" si="53"/>
        <v>0.5025712949976624</v>
      </c>
      <c r="Q111" s="1">
        <f t="shared" si="54"/>
        <v>2.7307999999999995</v>
      </c>
      <c r="R111" s="1">
        <f t="shared" si="55"/>
        <v>450.8466838134508</v>
      </c>
      <c r="S111" s="1">
        <f t="shared" si="56"/>
        <v>409.99819967730008</v>
      </c>
      <c r="T111" s="1">
        <f t="shared" si="57"/>
        <v>150.14187524044118</v>
      </c>
      <c r="U111" s="1" t="str">
        <f t="shared" si="58"/>
        <v>charge</v>
      </c>
      <c r="Y111" s="1">
        <f t="shared" si="37"/>
        <v>8.2127651162790694E-2</v>
      </c>
      <c r="AA111" s="1">
        <f t="shared" si="41"/>
        <v>6.6299755719050255</v>
      </c>
      <c r="AD111" s="1">
        <f t="shared" si="42"/>
        <v>0.25</v>
      </c>
    </row>
    <row r="112" spans="1:30" ht="15">
      <c r="A112" s="1">
        <v>111</v>
      </c>
      <c r="B112" s="1">
        <f t="shared" si="45"/>
        <v>2.5580000000000003</v>
      </c>
      <c r="C112" s="1">
        <f t="shared" si="38"/>
        <v>0</v>
      </c>
      <c r="D112" s="1">
        <f t="shared" si="43"/>
        <v>10.864212790697675</v>
      </c>
      <c r="E112">
        <v>202.42</v>
      </c>
      <c r="K112" s="1">
        <f>'Solar Availability and Gener GR'!F112</f>
        <v>2.8080000000000003</v>
      </c>
      <c r="L112" s="1">
        <f>'System Load'!D112</f>
        <v>0.49744186046511629</v>
      </c>
      <c r="M112" s="1">
        <f t="shared" si="39"/>
        <v>2.310558139534884</v>
      </c>
      <c r="N112" s="1" t="str">
        <f t="shared" si="40"/>
        <v>sell the surplus or charge</v>
      </c>
      <c r="O112" s="1">
        <v>0.25</v>
      </c>
      <c r="P112" s="1">
        <f t="shared" si="53"/>
        <v>0.5025712949976624</v>
      </c>
      <c r="Q112" s="1">
        <f t="shared" si="54"/>
        <v>2.5580000000000003</v>
      </c>
      <c r="R112" s="1">
        <f t="shared" si="55"/>
        <v>517.78351173461886</v>
      </c>
      <c r="S112" s="1">
        <f t="shared" si="56"/>
        <v>467.69972913277155</v>
      </c>
      <c r="T112" s="1">
        <f t="shared" si="57"/>
        <v>182.8410129393541</v>
      </c>
      <c r="U112" s="1" t="str">
        <f t="shared" si="58"/>
        <v>charge</v>
      </c>
      <c r="Y112" s="1">
        <f t="shared" si="37"/>
        <v>0.10069218139534884</v>
      </c>
      <c r="AA112" s="1">
        <f t="shared" si="41"/>
        <v>8.9405337114399099</v>
      </c>
      <c r="AD112" s="1">
        <f t="shared" si="42"/>
        <v>0.25</v>
      </c>
    </row>
    <row r="113" spans="1:30" ht="15">
      <c r="A113" s="1">
        <v>112</v>
      </c>
      <c r="B113" s="1">
        <f t="shared" si="45"/>
        <v>2.27</v>
      </c>
      <c r="C113" s="1">
        <f t="shared" si="38"/>
        <v>0</v>
      </c>
      <c r="D113" s="1">
        <f t="shared" si="43"/>
        <v>12.680212790697675</v>
      </c>
      <c r="E113">
        <v>261.05</v>
      </c>
      <c r="K113" s="1">
        <f>'Solar Availability and Gener GR'!F113</f>
        <v>2.52</v>
      </c>
      <c r="L113" s="1">
        <f>'System Load'!D113</f>
        <v>0.49744186046511629</v>
      </c>
      <c r="M113" s="1">
        <f t="shared" si="39"/>
        <v>2.0225581395348837</v>
      </c>
      <c r="N113" s="1" t="str">
        <f t="shared" si="40"/>
        <v>sell the surplus or charge</v>
      </c>
      <c r="O113" s="1">
        <v>0.25</v>
      </c>
      <c r="P113" s="1">
        <f t="shared" si="53"/>
        <v>0.5025712949976624</v>
      </c>
      <c r="Q113" s="1">
        <f t="shared" si="54"/>
        <v>2.27</v>
      </c>
      <c r="R113" s="1">
        <f t="shared" si="55"/>
        <v>592.5781897480997</v>
      </c>
      <c r="S113" s="1">
        <f t="shared" si="56"/>
        <v>527.98612755122838</v>
      </c>
      <c r="T113" s="1">
        <f t="shared" si="57"/>
        <v>232.59563332866671</v>
      </c>
      <c r="U113" s="1" t="str">
        <f t="shared" si="58"/>
        <v>charge</v>
      </c>
      <c r="Y113" s="1">
        <f t="shared" si="37"/>
        <v>0.12985719767441861</v>
      </c>
      <c r="AA113" s="1">
        <f t="shared" si="41"/>
        <v>10.963091850974793</v>
      </c>
      <c r="AD113" s="1">
        <f t="shared" si="42"/>
        <v>0.25</v>
      </c>
    </row>
    <row r="114" spans="1:30" ht="15">
      <c r="A114" s="1">
        <v>113</v>
      </c>
      <c r="B114" s="1">
        <f t="shared" si="45"/>
        <v>1.8487999999999998</v>
      </c>
      <c r="C114" s="1">
        <f t="shared" si="38"/>
        <v>0</v>
      </c>
      <c r="D114" s="1">
        <f t="shared" si="43"/>
        <v>14.159252790697675</v>
      </c>
      <c r="E114">
        <v>261.04000000000002</v>
      </c>
      <c r="K114" s="1">
        <f>'Solar Availability and Gener GR'!F114</f>
        <v>2.0987999999999998</v>
      </c>
      <c r="L114" s="1">
        <f>'System Load'!D114</f>
        <v>0.49744186046511629</v>
      </c>
      <c r="M114" s="1">
        <f t="shared" si="39"/>
        <v>1.6013581395348835</v>
      </c>
      <c r="N114" s="1" t="str">
        <f t="shared" si="40"/>
        <v>sell the surplus or charge</v>
      </c>
      <c r="O114" s="1">
        <v>0.25</v>
      </c>
      <c r="P114" s="1">
        <f t="shared" si="53"/>
        <v>0.5025712949976624</v>
      </c>
      <c r="Q114" s="1">
        <f t="shared" si="54"/>
        <v>1.8487999999999998</v>
      </c>
      <c r="R114" s="1">
        <f t="shared" si="55"/>
        <v>482.60544154468062</v>
      </c>
      <c r="S114" s="1">
        <f t="shared" si="56"/>
        <v>418.01585386737088</v>
      </c>
      <c r="T114" s="1">
        <f t="shared" si="57"/>
        <v>226.10449214540392</v>
      </c>
      <c r="U114" s="1" t="str">
        <f t="shared" si="58"/>
        <v>charge</v>
      </c>
      <c r="Y114" s="1">
        <f t="shared" si="37"/>
        <v>0.12985222325581394</v>
      </c>
      <c r="AA114" s="1">
        <f t="shared" si="41"/>
        <v>12.564449990509676</v>
      </c>
      <c r="AD114" s="1">
        <f t="shared" si="42"/>
        <v>0.25</v>
      </c>
    </row>
    <row r="115" spans="1:30" ht="15">
      <c r="A115" s="1">
        <v>114</v>
      </c>
      <c r="B115" s="1">
        <f t="shared" si="45"/>
        <v>0</v>
      </c>
      <c r="C115" s="1">
        <f t="shared" si="38"/>
        <v>0</v>
      </c>
      <c r="D115" s="1">
        <f t="shared" si="43"/>
        <v>14.159252790697675</v>
      </c>
      <c r="E115">
        <v>293</v>
      </c>
      <c r="K115" s="1">
        <f>'Solar Availability and Gener GR'!F115</f>
        <v>1.4867999999999999</v>
      </c>
      <c r="L115" s="1">
        <f>'System Load'!D115</f>
        <v>0.83441860465116291</v>
      </c>
      <c r="M115" s="1">
        <f t="shared" si="39"/>
        <v>0.65238139534883699</v>
      </c>
      <c r="N115" s="1" t="str">
        <f t="shared" si="40"/>
        <v>sell the surplus or charge</v>
      </c>
      <c r="O115" s="1">
        <v>0.25</v>
      </c>
      <c r="P115" s="1">
        <f t="shared" si="53"/>
        <v>0.29960981047937563</v>
      </c>
      <c r="Q115" s="1">
        <f t="shared" si="54"/>
        <v>1.2367999999999999</v>
      </c>
      <c r="R115" s="1">
        <f t="shared" si="55"/>
        <v>362.37766878140292</v>
      </c>
      <c r="S115" s="1">
        <f t="shared" si="56"/>
        <v>191.14713104232681</v>
      </c>
      <c r="T115" s="1">
        <f t="shared" si="57"/>
        <v>154.55700235454538</v>
      </c>
      <c r="U115" s="1" t="str">
        <f t="shared" si="58"/>
        <v>sell to the Grid</v>
      </c>
      <c r="W115" s="1">
        <f>(Q115*E115)/1000</f>
        <v>0.36238239999999994</v>
      </c>
      <c r="Y115" s="1">
        <f t="shared" si="37"/>
        <v>0.24448465116279072</v>
      </c>
      <c r="AA115" s="1">
        <f t="shared" si="41"/>
        <v>13.216831385858512</v>
      </c>
      <c r="AD115" s="1">
        <f t="shared" si="42"/>
        <v>0.25</v>
      </c>
    </row>
    <row r="116" spans="1:30" ht="15">
      <c r="A116" s="1">
        <v>115</v>
      </c>
      <c r="B116" s="1">
        <f t="shared" si="45"/>
        <v>0</v>
      </c>
      <c r="C116" s="1">
        <f t="shared" si="38"/>
        <v>0</v>
      </c>
      <c r="D116" s="1">
        <f t="shared" si="43"/>
        <v>14.159252790697675</v>
      </c>
      <c r="E116">
        <v>261.22000000000003</v>
      </c>
      <c r="K116" s="1">
        <f>'Solar Availability and Gener GR'!F116</f>
        <v>0.89279999999999993</v>
      </c>
      <c r="L116" s="1">
        <f>'System Load'!D116</f>
        <v>0.83441860465116291</v>
      </c>
      <c r="M116" s="1">
        <f t="shared" si="39"/>
        <v>5.8381395348837017E-2</v>
      </c>
      <c r="N116" s="1" t="str">
        <f t="shared" si="40"/>
        <v>sell the surplus or charge</v>
      </c>
      <c r="O116" s="1">
        <v>0.25</v>
      </c>
      <c r="P116" s="1">
        <f t="shared" si="53"/>
        <v>0.29960981047937563</v>
      </c>
      <c r="Q116" s="1">
        <f t="shared" si="54"/>
        <v>0.64279999999999993</v>
      </c>
      <c r="R116" s="1">
        <f t="shared" si="55"/>
        <v>167.90690920383906</v>
      </c>
      <c r="S116" s="1">
        <f t="shared" si="56"/>
        <v>15.249695140152163</v>
      </c>
      <c r="T116" s="1">
        <f t="shared" si="57"/>
        <v>23.814417452938574</v>
      </c>
      <c r="U116" s="1" t="str">
        <f t="shared" si="58"/>
        <v>sell to the Grid</v>
      </c>
      <c r="W116" s="1">
        <f>(Q116*E116)/1000</f>
        <v>0.167912216</v>
      </c>
      <c r="Y116" s="1">
        <f t="shared" si="37"/>
        <v>0.2179668279069768</v>
      </c>
      <c r="AA116" s="1">
        <f t="shared" si="41"/>
        <v>13.275212781207349</v>
      </c>
      <c r="AD116" s="1">
        <f t="shared" si="42"/>
        <v>0.25</v>
      </c>
    </row>
    <row r="117" spans="1:30" ht="15">
      <c r="A117" s="1">
        <v>116</v>
      </c>
      <c r="B117" s="1">
        <f t="shared" si="45"/>
        <v>0</v>
      </c>
      <c r="C117" s="1">
        <f t="shared" si="38"/>
        <v>0</v>
      </c>
      <c r="D117" s="1">
        <f t="shared" si="43"/>
        <v>14.159252790697675</v>
      </c>
      <c r="E117">
        <v>261.79000000000002</v>
      </c>
      <c r="K117" s="1">
        <f>'Solar Availability and Gener GR'!F117</f>
        <v>0.31679999999999997</v>
      </c>
      <c r="L117" s="1">
        <f>'System Load'!D117</f>
        <v>0.83441860465116291</v>
      </c>
      <c r="M117" s="1">
        <f t="shared" si="39"/>
        <v>-0.51761860465116294</v>
      </c>
      <c r="N117" s="1" t="str">
        <f t="shared" si="40"/>
        <v>Buy from Grid</v>
      </c>
      <c r="V117" s="1" t="str">
        <f t="shared" ref="V117:V129" si="59">IF(D117+M117&gt;0,"discharge","buy from the Grid")</f>
        <v>discharge</v>
      </c>
      <c r="Y117" s="1">
        <f t="shared" si="37"/>
        <v>0.21844244651162797</v>
      </c>
      <c r="AA117" s="1">
        <f t="shared" si="41"/>
        <v>12.757594176556186</v>
      </c>
      <c r="AD117" s="1">
        <f t="shared" si="42"/>
        <v>0</v>
      </c>
    </row>
    <row r="118" spans="1:30" ht="15">
      <c r="A118" s="1">
        <v>117</v>
      </c>
      <c r="B118" s="1">
        <f t="shared" si="45"/>
        <v>0</v>
      </c>
      <c r="C118" s="1">
        <f t="shared" si="38"/>
        <v>-0.81281860465116296</v>
      </c>
      <c r="D118" s="1">
        <f t="shared" si="43"/>
        <v>13.143229534883721</v>
      </c>
      <c r="E118">
        <v>216.3</v>
      </c>
      <c r="K118" s="1">
        <f>'Solar Availability and Gener GR'!F118</f>
        <v>2.1599999999999998E-2</v>
      </c>
      <c r="L118" s="1">
        <f>'System Load'!D118</f>
        <v>0.83441860465116291</v>
      </c>
      <c r="M118" s="1">
        <f t="shared" si="39"/>
        <v>-0.81281860465116296</v>
      </c>
      <c r="N118" s="1" t="str">
        <f t="shared" si="40"/>
        <v>Buy from Grid</v>
      </c>
      <c r="V118" s="1" t="str">
        <f t="shared" si="59"/>
        <v>discharge</v>
      </c>
      <c r="Y118" s="1">
        <f t="shared" si="37"/>
        <v>0.18048474418604654</v>
      </c>
      <c r="AA118" s="1">
        <f t="shared" si="41"/>
        <v>11.944775571905023</v>
      </c>
      <c r="AD118" s="1">
        <f t="shared" si="42"/>
        <v>0</v>
      </c>
    </row>
    <row r="119" spans="1:30" ht="15">
      <c r="A119" s="1">
        <v>118</v>
      </c>
      <c r="B119" s="1">
        <f t="shared" si="45"/>
        <v>0</v>
      </c>
      <c r="C119" s="1">
        <f t="shared" si="38"/>
        <v>-0.49744186046511629</v>
      </c>
      <c r="D119" s="1">
        <f t="shared" si="43"/>
        <v>12.521427209302326</v>
      </c>
      <c r="E119">
        <v>205</v>
      </c>
      <c r="K119" s="1">
        <f>'Solar Availability and Gener GR'!F119</f>
        <v>0</v>
      </c>
      <c r="L119" s="1">
        <f>'System Load'!D119</f>
        <v>0.49744186046511629</v>
      </c>
      <c r="M119" s="1">
        <f t="shared" si="39"/>
        <v>-0.49744186046511629</v>
      </c>
      <c r="N119" s="1" t="str">
        <f t="shared" si="40"/>
        <v>Buy from Grid</v>
      </c>
      <c r="V119" s="1" t="str">
        <f t="shared" si="59"/>
        <v>discharge</v>
      </c>
      <c r="Y119" s="1">
        <f t="shared" si="37"/>
        <v>0.10197558139534885</v>
      </c>
      <c r="AA119" s="1">
        <f t="shared" si="41"/>
        <v>11.447333711439907</v>
      </c>
      <c r="AD119" s="1">
        <f t="shared" si="42"/>
        <v>0</v>
      </c>
    </row>
    <row r="120" spans="1:30" ht="15">
      <c r="A120" s="1">
        <v>119</v>
      </c>
      <c r="B120" s="1">
        <f t="shared" si="45"/>
        <v>0</v>
      </c>
      <c r="C120" s="1">
        <f t="shared" si="38"/>
        <v>-0.49744186046511629</v>
      </c>
      <c r="D120" s="1">
        <f t="shared" si="43"/>
        <v>11.89962488372093</v>
      </c>
      <c r="E120">
        <v>184.99</v>
      </c>
      <c r="K120" s="1">
        <f>'Solar Availability and Gener GR'!F120</f>
        <v>0</v>
      </c>
      <c r="L120" s="1">
        <f>'System Load'!D120</f>
        <v>0.49744186046511629</v>
      </c>
      <c r="M120" s="1">
        <f t="shared" si="39"/>
        <v>-0.49744186046511629</v>
      </c>
      <c r="N120" s="1" t="str">
        <f t="shared" si="40"/>
        <v>Buy from Grid</v>
      </c>
      <c r="V120" s="1" t="str">
        <f t="shared" si="59"/>
        <v>discharge</v>
      </c>
      <c r="Y120" s="1">
        <f t="shared" si="37"/>
        <v>9.2021769767441863E-2</v>
      </c>
      <c r="AA120" s="1">
        <f t="shared" si="41"/>
        <v>10.94989185097479</v>
      </c>
      <c r="AD120" s="1">
        <f t="shared" si="42"/>
        <v>0</v>
      </c>
    </row>
    <row r="121" spans="1:30" ht="15">
      <c r="A121" s="1">
        <v>120</v>
      </c>
      <c r="B121" s="1">
        <f t="shared" si="45"/>
        <v>0</v>
      </c>
      <c r="C121" s="1">
        <f t="shared" si="38"/>
        <v>-0.36906976744186054</v>
      </c>
      <c r="D121" s="1">
        <f t="shared" si="43"/>
        <v>11.438287674418605</v>
      </c>
      <c r="E121">
        <v>160.86000000000001</v>
      </c>
      <c r="K121" s="1">
        <f>'Solar Availability and Gener GR'!F121</f>
        <v>0</v>
      </c>
      <c r="L121" s="1">
        <f>'System Load'!D121</f>
        <v>0.36906976744186054</v>
      </c>
      <c r="M121" s="1">
        <f t="shared" si="39"/>
        <v>-0.36906976744186054</v>
      </c>
      <c r="N121" s="1" t="str">
        <f t="shared" si="40"/>
        <v>Buy from Grid</v>
      </c>
      <c r="V121" s="1" t="str">
        <f t="shared" si="59"/>
        <v>discharge</v>
      </c>
      <c r="Y121" s="1">
        <f t="shared" si="37"/>
        <v>5.9368562790697695E-2</v>
      </c>
      <c r="AA121" s="1">
        <f t="shared" si="41"/>
        <v>10.580822083532929</v>
      </c>
      <c r="AD121" s="1">
        <f t="shared" si="42"/>
        <v>0</v>
      </c>
    </row>
    <row r="122" spans="1:30" ht="15">
      <c r="A122" s="1">
        <v>121</v>
      </c>
      <c r="B122" s="1">
        <f t="shared" si="45"/>
        <v>0</v>
      </c>
      <c r="C122" s="1">
        <f t="shared" si="38"/>
        <v>-0.36906976744186054</v>
      </c>
      <c r="D122" s="1">
        <f t="shared" si="43"/>
        <v>10.97695046511628</v>
      </c>
      <c r="E122">
        <v>173.13</v>
      </c>
      <c r="K122" s="1">
        <f>'Solar Availability and Gener GR'!F122</f>
        <v>0</v>
      </c>
      <c r="L122" s="1">
        <f>'System Load'!D122</f>
        <v>0.36906976744186054</v>
      </c>
      <c r="M122" s="1">
        <f t="shared" si="39"/>
        <v>-0.36906976744186054</v>
      </c>
      <c r="N122" s="1" t="str">
        <f t="shared" si="40"/>
        <v>Buy from Grid</v>
      </c>
      <c r="V122" s="1" t="str">
        <f t="shared" si="59"/>
        <v>discharge</v>
      </c>
      <c r="Y122" s="1">
        <f t="shared" si="37"/>
        <v>6.3897048837209314E-2</v>
      </c>
      <c r="AA122" s="1">
        <f t="shared" si="41"/>
        <v>10.211752316091069</v>
      </c>
      <c r="AD122" s="1">
        <f t="shared" si="42"/>
        <v>0</v>
      </c>
    </row>
    <row r="123" spans="1:30" ht="15">
      <c r="A123" s="1">
        <v>122</v>
      </c>
      <c r="B123" s="1">
        <f t="shared" si="45"/>
        <v>0</v>
      </c>
      <c r="C123" s="1">
        <f t="shared" si="38"/>
        <v>-0.38511627906976742</v>
      </c>
      <c r="D123" s="1">
        <f t="shared" si="43"/>
        <v>10.495555116279071</v>
      </c>
      <c r="E123">
        <v>170.77</v>
      </c>
      <c r="K123" s="1">
        <f>'Solar Availability and Gener GR'!F123</f>
        <v>0</v>
      </c>
      <c r="L123" s="1">
        <f>'System Load'!D123</f>
        <v>0.38511627906976742</v>
      </c>
      <c r="M123" s="1">
        <f t="shared" si="39"/>
        <v>-0.38511627906976742</v>
      </c>
      <c r="N123" s="1" t="str">
        <f t="shared" si="40"/>
        <v>Buy from Grid</v>
      </c>
      <c r="V123" s="1" t="str">
        <f t="shared" si="59"/>
        <v>discharge</v>
      </c>
      <c r="Y123" s="1">
        <f t="shared" si="37"/>
        <v>6.5766306976744196E-2</v>
      </c>
      <c r="AA123" s="1">
        <f t="shared" si="41"/>
        <v>9.8266360370213004</v>
      </c>
      <c r="AD123" s="1">
        <f t="shared" si="42"/>
        <v>0</v>
      </c>
    </row>
    <row r="124" spans="1:30" ht="15">
      <c r="A124" s="1">
        <v>123</v>
      </c>
      <c r="B124" s="1">
        <f t="shared" si="45"/>
        <v>0</v>
      </c>
      <c r="C124" s="1">
        <f t="shared" si="38"/>
        <v>-0.38511627906976742</v>
      </c>
      <c r="D124" s="1">
        <f t="shared" si="43"/>
        <v>10.014159767441862</v>
      </c>
      <c r="E124">
        <v>160</v>
      </c>
      <c r="K124" s="1">
        <f>'Solar Availability and Gener GR'!F124</f>
        <v>0</v>
      </c>
      <c r="L124" s="1">
        <f>'System Load'!D124</f>
        <v>0.38511627906976742</v>
      </c>
      <c r="M124" s="1">
        <f t="shared" si="39"/>
        <v>-0.38511627906976742</v>
      </c>
      <c r="N124" s="1" t="str">
        <f t="shared" si="40"/>
        <v>Buy from Grid</v>
      </c>
      <c r="V124" s="1" t="str">
        <f t="shared" si="59"/>
        <v>discharge</v>
      </c>
      <c r="Y124" s="1">
        <f t="shared" si="37"/>
        <v>6.1618604651162784E-2</v>
      </c>
      <c r="AA124" s="1">
        <f t="shared" si="41"/>
        <v>9.4415197579515322</v>
      </c>
      <c r="AD124" s="1">
        <f t="shared" si="42"/>
        <v>0</v>
      </c>
    </row>
    <row r="125" spans="1:30" ht="15">
      <c r="A125" s="1">
        <v>124</v>
      </c>
      <c r="B125" s="1">
        <f t="shared" si="45"/>
        <v>0</v>
      </c>
      <c r="C125" s="1">
        <f t="shared" si="38"/>
        <v>-0.38511627906976742</v>
      </c>
      <c r="D125" s="1">
        <f t="shared" si="43"/>
        <v>9.5327644186046534</v>
      </c>
      <c r="E125">
        <v>150</v>
      </c>
      <c r="K125" s="1">
        <f>'Solar Availability and Gener GR'!F125</f>
        <v>0</v>
      </c>
      <c r="L125" s="1">
        <f>'System Load'!D125</f>
        <v>0.38511627906976742</v>
      </c>
      <c r="M125" s="1">
        <f t="shared" si="39"/>
        <v>-0.38511627906976742</v>
      </c>
      <c r="N125" s="1" t="str">
        <f t="shared" si="40"/>
        <v>Buy from Grid</v>
      </c>
      <c r="V125" s="1" t="str">
        <f t="shared" si="59"/>
        <v>discharge</v>
      </c>
      <c r="Y125" s="1">
        <f t="shared" si="37"/>
        <v>5.7767441860465112E-2</v>
      </c>
      <c r="AA125" s="1">
        <f t="shared" si="41"/>
        <v>9.056403478881764</v>
      </c>
      <c r="AD125" s="1">
        <f t="shared" si="42"/>
        <v>0</v>
      </c>
    </row>
    <row r="126" spans="1:30" ht="15">
      <c r="A126" s="1">
        <v>125</v>
      </c>
      <c r="B126" s="1">
        <f t="shared" si="45"/>
        <v>0</v>
      </c>
      <c r="C126" s="1">
        <f t="shared" si="38"/>
        <v>-0.49744186046511629</v>
      </c>
      <c r="D126" s="1">
        <f t="shared" si="43"/>
        <v>8.910962093023258</v>
      </c>
      <c r="E126">
        <v>152.1</v>
      </c>
      <c r="K126" s="1">
        <f>'Solar Availability and Gener GR'!F126</f>
        <v>0</v>
      </c>
      <c r="L126" s="1">
        <f>'System Load'!D126</f>
        <v>0.49744186046511629</v>
      </c>
      <c r="M126" s="1">
        <f t="shared" si="39"/>
        <v>-0.49744186046511629</v>
      </c>
      <c r="N126" s="1" t="str">
        <f t="shared" si="40"/>
        <v>Buy from Grid</v>
      </c>
      <c r="V126" s="1" t="str">
        <f t="shared" si="59"/>
        <v>discharge</v>
      </c>
      <c r="Y126" s="1">
        <f t="shared" si="37"/>
        <v>7.5660906976744186E-2</v>
      </c>
      <c r="AA126" s="1">
        <f t="shared" si="41"/>
        <v>8.5589616184166477</v>
      </c>
      <c r="AD126" s="1">
        <f t="shared" si="42"/>
        <v>0</v>
      </c>
    </row>
    <row r="127" spans="1:30" ht="15">
      <c r="A127" s="1">
        <v>126</v>
      </c>
      <c r="B127" s="1">
        <f t="shared" si="45"/>
        <v>0</v>
      </c>
      <c r="C127" s="1">
        <f t="shared" si="38"/>
        <v>-0.81837209302325586</v>
      </c>
      <c r="D127" s="1">
        <f t="shared" si="43"/>
        <v>7.887996976744188</v>
      </c>
      <c r="E127">
        <v>160.08000000000001</v>
      </c>
      <c r="K127" s="1">
        <f>'Solar Availability and Gener GR'!F127</f>
        <v>0</v>
      </c>
      <c r="L127" s="1">
        <f>'System Load'!D127</f>
        <v>0.81837209302325586</v>
      </c>
      <c r="M127" s="1">
        <f t="shared" si="39"/>
        <v>-0.81837209302325586</v>
      </c>
      <c r="N127" s="1" t="str">
        <f t="shared" si="40"/>
        <v>Buy from Grid</v>
      </c>
      <c r="V127" s="1" t="str">
        <f t="shared" si="59"/>
        <v>discharge</v>
      </c>
      <c r="Y127" s="1">
        <f t="shared" si="37"/>
        <v>0.1310050046511628</v>
      </c>
      <c r="AA127" s="1">
        <f t="shared" si="41"/>
        <v>7.7405895253933918</v>
      </c>
      <c r="AD127" s="1">
        <f t="shared" si="42"/>
        <v>0</v>
      </c>
    </row>
    <row r="128" spans="1:30" ht="15">
      <c r="A128" s="1">
        <v>127</v>
      </c>
      <c r="B128" s="1">
        <f t="shared" si="45"/>
        <v>0</v>
      </c>
      <c r="C128" s="1">
        <f t="shared" si="38"/>
        <v>-0.76031996670938429</v>
      </c>
      <c r="D128" s="1">
        <f t="shared" si="43"/>
        <v>6.937597018357458</v>
      </c>
      <c r="E128">
        <v>262.60000000000002</v>
      </c>
      <c r="K128" s="1">
        <f>'Solar Availability and Gener GR'!F128</f>
        <v>7.4098637941778636E-2</v>
      </c>
      <c r="L128" s="1">
        <f>'System Load'!D128</f>
        <v>0.83441860465116291</v>
      </c>
      <c r="M128" s="1">
        <f t="shared" si="39"/>
        <v>-0.76031996670938429</v>
      </c>
      <c r="N128" s="1" t="str">
        <f t="shared" si="40"/>
        <v>Buy from Grid</v>
      </c>
      <c r="V128" s="1" t="str">
        <f t="shared" si="59"/>
        <v>discharge</v>
      </c>
      <c r="Y128" s="1">
        <f t="shared" si="37"/>
        <v>0.21911832558139541</v>
      </c>
      <c r="AA128" s="1">
        <f t="shared" si="41"/>
        <v>6.9802695586840073</v>
      </c>
      <c r="AD128" s="1">
        <f t="shared" si="42"/>
        <v>0</v>
      </c>
    </row>
    <row r="129" spans="1:30" ht="15">
      <c r="A129" s="1">
        <v>128</v>
      </c>
      <c r="B129" s="1">
        <f t="shared" si="45"/>
        <v>0</v>
      </c>
      <c r="C129" s="1">
        <f t="shared" si="38"/>
        <v>-0.4191554990590447</v>
      </c>
      <c r="D129" s="1">
        <f t="shared" si="43"/>
        <v>6.4136526445336521</v>
      </c>
      <c r="E129">
        <v>203.15</v>
      </c>
      <c r="K129" s="1">
        <f>'Solar Availability and Gener GR'!F129</f>
        <v>0.39921659396421116</v>
      </c>
      <c r="L129" s="1">
        <f>'System Load'!D129</f>
        <v>0.81837209302325586</v>
      </c>
      <c r="M129" s="1">
        <f t="shared" si="39"/>
        <v>-0.4191554990590447</v>
      </c>
      <c r="N129" s="1" t="str">
        <f t="shared" si="40"/>
        <v>Buy from Grid</v>
      </c>
      <c r="V129" s="1" t="str">
        <f t="shared" si="59"/>
        <v>discharge</v>
      </c>
      <c r="Y129" s="1">
        <f t="shared" si="37"/>
        <v>0.16625229069767442</v>
      </c>
      <c r="AA129" s="1">
        <f t="shared" si="41"/>
        <v>6.5611140596249626</v>
      </c>
      <c r="AD129" s="1">
        <f t="shared" si="42"/>
        <v>0</v>
      </c>
    </row>
    <row r="130" spans="1:30" ht="15">
      <c r="A130" s="1">
        <v>129</v>
      </c>
      <c r="B130" s="1">
        <f t="shared" si="45"/>
        <v>0</v>
      </c>
      <c r="C130" s="1">
        <f t="shared" si="38"/>
        <v>0.32262401686061737</v>
      </c>
      <c r="D130" s="1">
        <f t="shared" si="43"/>
        <v>6.816932665609424</v>
      </c>
      <c r="E130">
        <v>174.34</v>
      </c>
      <c r="K130" s="1">
        <f>'Solar Availability and Gener GR'!F130</f>
        <v>0.82006587732573366</v>
      </c>
      <c r="L130" s="1">
        <f>'System Load'!D130</f>
        <v>0.49744186046511629</v>
      </c>
      <c r="M130" s="1">
        <f t="shared" si="39"/>
        <v>0.32262401686061737</v>
      </c>
      <c r="N130" s="1" t="str">
        <f t="shared" si="40"/>
        <v>sell the surplus or charge</v>
      </c>
      <c r="O130" s="1">
        <v>0.25</v>
      </c>
      <c r="P130" s="1">
        <f t="shared" ref="P130:P140" si="60">0.25/L130</f>
        <v>0.5025712949976624</v>
      </c>
      <c r="Q130" s="1">
        <f t="shared" ref="Q130:Q140" si="61">K130-P130*L130</f>
        <v>0.57006587732573366</v>
      </c>
      <c r="R130" s="1">
        <f t="shared" ref="R130:R140" si="62">((1/(E130+0.01))*LN(0.25))+(E130*(K130-0.25))</f>
        <v>99.377333837820032</v>
      </c>
      <c r="S130" s="1">
        <f t="shared" ref="S130:S140" si="63">((1/(E130+0.01))*LN(L130))+(E130*(K130-L130))</f>
        <v>56.242266071704876</v>
      </c>
      <c r="T130" s="1">
        <f t="shared" ref="T130:T140" si="64">(S130+((S130^2)-4*(K130-L130*P130)*LN(L130*P130))^(0.5))/(2*(K130-L130*P130))</f>
        <v>98.68388222990059</v>
      </c>
      <c r="U130" s="1" t="str">
        <f t="shared" ref="U130:U140" si="65">IF(E130&gt;=T130*1.2,"sell to the Grid","charge")</f>
        <v>sell to the Grid</v>
      </c>
      <c r="W130" s="1">
        <f>(Q130*E130)/1000</f>
        <v>9.9385285052968411E-2</v>
      </c>
      <c r="Y130" s="1">
        <f t="shared" ref="Y130:Y193" si="66">(L130*E130)/1000</f>
        <v>8.6724013953488374E-2</v>
      </c>
      <c r="AA130" s="1">
        <f t="shared" si="41"/>
        <v>6.8837380764855798</v>
      </c>
      <c r="AD130" s="1">
        <f t="shared" si="42"/>
        <v>0.25</v>
      </c>
    </row>
    <row r="131" spans="1:30" ht="15">
      <c r="A131" s="1">
        <v>130</v>
      </c>
      <c r="B131" s="1">
        <f t="shared" si="45"/>
        <v>0</v>
      </c>
      <c r="C131" s="1">
        <f t="shared" ref="C131:C194" si="67">IF(V130="discharge",M131,0)</f>
        <v>0</v>
      </c>
      <c r="D131" s="1">
        <f t="shared" si="43"/>
        <v>6.816932665609424</v>
      </c>
      <c r="E131">
        <v>174.14</v>
      </c>
      <c r="K131" s="1">
        <f>'Solar Availability and Gener GR'!F131</f>
        <v>1.4132288791952279</v>
      </c>
      <c r="L131" s="1">
        <f>'System Load'!D131</f>
        <v>0.49744186046511629</v>
      </c>
      <c r="M131" s="1">
        <f t="shared" ref="M131:M194" si="68">K131-L131</f>
        <v>0.91578701873011159</v>
      </c>
      <c r="N131" s="1" t="str">
        <f t="shared" ref="N131:N194" si="69">IF(M131&lt;0,"Buy from Grid","sell the surplus or charge")</f>
        <v>sell the surplus or charge</v>
      </c>
      <c r="O131" s="1">
        <v>0.25</v>
      </c>
      <c r="P131" s="1">
        <f t="shared" si="60"/>
        <v>0.5025712949976624</v>
      </c>
      <c r="Q131" s="1">
        <f t="shared" si="61"/>
        <v>1.1632288791952279</v>
      </c>
      <c r="R131" s="1">
        <f t="shared" si="62"/>
        <v>202.55671667645277</v>
      </c>
      <c r="S131" s="1">
        <f t="shared" si="63"/>
        <v>159.47114181437135</v>
      </c>
      <c r="T131" s="1">
        <f t="shared" si="64"/>
        <v>137.10221269417016</v>
      </c>
      <c r="U131" s="1" t="str">
        <f t="shared" si="65"/>
        <v>sell to the Grid</v>
      </c>
      <c r="Y131" s="1">
        <f t="shared" si="66"/>
        <v>8.6624525581395342E-2</v>
      </c>
      <c r="AA131" s="1">
        <f t="shared" ref="AA131:AA194" si="70">M131+AA130</f>
        <v>7.7995250952156914</v>
      </c>
      <c r="AD131" s="1">
        <f t="shared" ref="AD131:AD194" si="71">AC131+O131</f>
        <v>0.25</v>
      </c>
    </row>
    <row r="132" spans="1:30" ht="15">
      <c r="A132" s="1">
        <v>131</v>
      </c>
      <c r="B132" s="1">
        <f t="shared" si="45"/>
        <v>2.1777485978812412</v>
      </c>
      <c r="C132" s="1">
        <f t="shared" si="67"/>
        <v>0</v>
      </c>
      <c r="D132" s="1">
        <f t="shared" ref="D132:D195" si="72">(D131)+(B132*0.8)+(C132/0.8)</f>
        <v>8.5591315439144164</v>
      </c>
      <c r="E132">
        <v>156.68</v>
      </c>
      <c r="K132" s="1">
        <f>'Solar Availability and Gener GR'!F132</f>
        <v>2.4277485978812412</v>
      </c>
      <c r="L132" s="1">
        <f>'System Load'!D132</f>
        <v>0.49744186046511629</v>
      </c>
      <c r="M132" s="1">
        <f t="shared" si="68"/>
        <v>1.9303067374161249</v>
      </c>
      <c r="N132" s="1" t="str">
        <f t="shared" si="69"/>
        <v>sell the surplus or charge</v>
      </c>
      <c r="O132" s="1">
        <v>0.25</v>
      </c>
      <c r="P132" s="1">
        <f t="shared" si="60"/>
        <v>0.5025712949976624</v>
      </c>
      <c r="Q132" s="1">
        <f t="shared" si="61"/>
        <v>2.1777485978812412</v>
      </c>
      <c r="R132" s="1">
        <f t="shared" si="62"/>
        <v>341.20080294631481</v>
      </c>
      <c r="S132" s="1">
        <f t="shared" si="63"/>
        <v>302.43600319744712</v>
      </c>
      <c r="T132" s="1">
        <f t="shared" si="64"/>
        <v>138.88011933120706</v>
      </c>
      <c r="U132" s="1" t="str">
        <f t="shared" si="65"/>
        <v>charge</v>
      </c>
      <c r="Y132" s="1">
        <f t="shared" si="66"/>
        <v>7.7939190697674424E-2</v>
      </c>
      <c r="AA132" s="1">
        <f t="shared" si="70"/>
        <v>9.7298318326318167</v>
      </c>
      <c r="AD132" s="1">
        <f t="shared" si="71"/>
        <v>0.25</v>
      </c>
    </row>
    <row r="133" spans="1:30" ht="15">
      <c r="A133" s="1">
        <v>132</v>
      </c>
      <c r="B133" s="1">
        <f t="shared" si="45"/>
        <v>2.6751936259236153</v>
      </c>
      <c r="C133" s="1">
        <f t="shared" si="67"/>
        <v>0</v>
      </c>
      <c r="D133" s="1">
        <f t="shared" si="72"/>
        <v>10.699286444653309</v>
      </c>
      <c r="E133">
        <v>147.6</v>
      </c>
      <c r="K133" s="1">
        <f>'Solar Availability and Gener GR'!F133</f>
        <v>2.9251936259236153</v>
      </c>
      <c r="L133" s="1">
        <f>'System Load'!D133</f>
        <v>0.49744186046511629</v>
      </c>
      <c r="M133" s="1">
        <f t="shared" si="68"/>
        <v>2.427751765458499</v>
      </c>
      <c r="N133" s="1" t="str">
        <f t="shared" si="69"/>
        <v>sell the surplus or charge</v>
      </c>
      <c r="O133" s="1">
        <v>0.25</v>
      </c>
      <c r="P133" s="1">
        <f t="shared" si="60"/>
        <v>0.5025712949976624</v>
      </c>
      <c r="Q133" s="1">
        <f t="shared" si="61"/>
        <v>2.6751936259236153</v>
      </c>
      <c r="R133" s="1">
        <f t="shared" si="62"/>
        <v>394.84918758439403</v>
      </c>
      <c r="S133" s="1">
        <f t="shared" si="63"/>
        <v>358.33143003094887</v>
      </c>
      <c r="T133" s="1">
        <f t="shared" si="64"/>
        <v>133.9498479333366</v>
      </c>
      <c r="U133" s="1" t="str">
        <f t="shared" si="65"/>
        <v>charge</v>
      </c>
      <c r="Y133" s="1">
        <f t="shared" si="66"/>
        <v>7.3422418604651152E-2</v>
      </c>
      <c r="AA133" s="1">
        <f t="shared" si="70"/>
        <v>12.157583598090316</v>
      </c>
      <c r="AD133" s="1">
        <f t="shared" si="71"/>
        <v>0.25</v>
      </c>
    </row>
    <row r="134" spans="1:30" ht="15">
      <c r="A134" s="1">
        <v>133</v>
      </c>
      <c r="B134" s="1">
        <f t="shared" si="45"/>
        <v>2.9428647734354128</v>
      </c>
      <c r="C134" s="1">
        <f t="shared" si="67"/>
        <v>0</v>
      </c>
      <c r="D134" s="1">
        <f t="shared" si="72"/>
        <v>13.05357826340164</v>
      </c>
      <c r="E134">
        <v>145.5</v>
      </c>
      <c r="K134" s="1">
        <f>'Solar Availability and Gener GR'!F134</f>
        <v>3.1928647734354128</v>
      </c>
      <c r="L134" s="1">
        <f>'System Load'!D134</f>
        <v>0.48139534883720936</v>
      </c>
      <c r="M134" s="1">
        <f t="shared" si="68"/>
        <v>2.7114694245982034</v>
      </c>
      <c r="N134" s="1" t="str">
        <f t="shared" si="69"/>
        <v>sell the surplus or charge</v>
      </c>
      <c r="O134" s="1">
        <v>0.25</v>
      </c>
      <c r="P134" s="1">
        <f t="shared" si="60"/>
        <v>0.51932367149758452</v>
      </c>
      <c r="Q134" s="1">
        <f t="shared" si="61"/>
        <v>2.9428647734354128</v>
      </c>
      <c r="R134" s="1">
        <f t="shared" si="62"/>
        <v>428.1772973933426</v>
      </c>
      <c r="S134" s="1">
        <f t="shared" si="63"/>
        <v>394.51377711289592</v>
      </c>
      <c r="T134" s="1">
        <f t="shared" si="64"/>
        <v>134.06124584050033</v>
      </c>
      <c r="U134" s="1" t="str">
        <f t="shared" si="65"/>
        <v>charge</v>
      </c>
      <c r="Y134" s="1">
        <f t="shared" si="66"/>
        <v>7.0043023255813963E-2</v>
      </c>
      <c r="AA134" s="1">
        <f t="shared" si="70"/>
        <v>14.869053022688519</v>
      </c>
      <c r="AD134" s="1">
        <f t="shared" si="71"/>
        <v>0.25</v>
      </c>
    </row>
    <row r="135" spans="1:30" ht="15">
      <c r="A135" s="1">
        <v>134</v>
      </c>
      <c r="B135" s="1">
        <f t="shared" si="45"/>
        <v>2.9424241075402815</v>
      </c>
      <c r="C135" s="1">
        <f t="shared" si="67"/>
        <v>0</v>
      </c>
      <c r="D135" s="1">
        <f t="shared" si="72"/>
        <v>15.407517549433866</v>
      </c>
      <c r="E135">
        <v>135.44999999999999</v>
      </c>
      <c r="K135" s="1">
        <f>'Solar Availability and Gener GR'!F135</f>
        <v>3.1924241075402815</v>
      </c>
      <c r="L135" s="1">
        <f>'System Load'!D135</f>
        <v>0.49744186046511629</v>
      </c>
      <c r="M135" s="1">
        <f t="shared" si="68"/>
        <v>2.6949822470751652</v>
      </c>
      <c r="N135" s="1" t="str">
        <f t="shared" si="69"/>
        <v>sell the surplus or charge</v>
      </c>
      <c r="O135" s="1">
        <v>0.25</v>
      </c>
      <c r="P135" s="1">
        <f t="shared" si="60"/>
        <v>0.5025712949976624</v>
      </c>
      <c r="Q135" s="1">
        <f t="shared" si="61"/>
        <v>2.9424241075402815</v>
      </c>
      <c r="R135" s="1">
        <f t="shared" si="62"/>
        <v>398.54111139053663</v>
      </c>
      <c r="S135" s="1">
        <f t="shared" si="63"/>
        <v>365.03019051181616</v>
      </c>
      <c r="T135" s="1">
        <f t="shared" si="64"/>
        <v>124.06143758581449</v>
      </c>
      <c r="U135" s="1" t="str">
        <f t="shared" si="65"/>
        <v>charge</v>
      </c>
      <c r="Y135" s="1">
        <f t="shared" si="66"/>
        <v>6.7378500000000008E-2</v>
      </c>
      <c r="AA135" s="1">
        <f t="shared" si="70"/>
        <v>17.564035269763686</v>
      </c>
      <c r="AD135" s="1">
        <f t="shared" si="71"/>
        <v>0.25</v>
      </c>
    </row>
    <row r="136" spans="1:30" ht="15">
      <c r="A136" s="1">
        <v>135</v>
      </c>
      <c r="B136" s="1">
        <f t="shared" si="45"/>
        <v>2.8079809489895817</v>
      </c>
      <c r="C136" s="1">
        <f t="shared" si="67"/>
        <v>0</v>
      </c>
      <c r="D136" s="1">
        <f t="shared" si="72"/>
        <v>17.653902308625533</v>
      </c>
      <c r="E136">
        <v>149.99</v>
      </c>
      <c r="K136" s="1">
        <f>'Solar Availability and Gener GR'!F136</f>
        <v>3.0579809489895817</v>
      </c>
      <c r="L136" s="1">
        <f>'System Load'!D136</f>
        <v>0.49744186046511629</v>
      </c>
      <c r="M136" s="1">
        <f t="shared" si="68"/>
        <v>2.5605390885244654</v>
      </c>
      <c r="N136" s="1" t="str">
        <f t="shared" si="69"/>
        <v>sell the surplus or charge</v>
      </c>
      <c r="O136" s="1">
        <v>0.25</v>
      </c>
      <c r="P136" s="1">
        <f t="shared" si="60"/>
        <v>0.5025712949976624</v>
      </c>
      <c r="Q136" s="1">
        <f t="shared" si="61"/>
        <v>2.8079809489895817</v>
      </c>
      <c r="R136" s="1">
        <f t="shared" si="62"/>
        <v>421.15982057653991</v>
      </c>
      <c r="S136" s="1">
        <f t="shared" si="63"/>
        <v>384.05060271050058</v>
      </c>
      <c r="T136" s="1">
        <f t="shared" si="64"/>
        <v>136.77469516104196</v>
      </c>
      <c r="U136" s="1" t="str">
        <f t="shared" si="65"/>
        <v>charge</v>
      </c>
      <c r="Y136" s="1">
        <f t="shared" si="66"/>
        <v>7.4611304651162794E-2</v>
      </c>
      <c r="AA136" s="1">
        <f t="shared" si="70"/>
        <v>20.12457435828815</v>
      </c>
      <c r="AD136" s="1">
        <f t="shared" si="71"/>
        <v>0.25</v>
      </c>
    </row>
    <row r="137" spans="1:30" ht="15">
      <c r="A137" s="1">
        <v>136</v>
      </c>
      <c r="B137" s="1">
        <f t="shared" si="45"/>
        <v>2.5394952372473929</v>
      </c>
      <c r="C137" s="1">
        <f t="shared" si="67"/>
        <v>0</v>
      </c>
      <c r="D137" s="1">
        <f t="shared" si="72"/>
        <v>19.685498498423446</v>
      </c>
      <c r="E137">
        <v>227.23</v>
      </c>
      <c r="K137" s="1">
        <f>'Solar Availability and Gener GR'!F137</f>
        <v>2.7894952372473929</v>
      </c>
      <c r="L137" s="1">
        <f>'System Load'!D137</f>
        <v>0.49744186046511629</v>
      </c>
      <c r="M137" s="1">
        <f t="shared" si="68"/>
        <v>2.2920533767822766</v>
      </c>
      <c r="N137" s="1" t="str">
        <f t="shared" si="69"/>
        <v>sell the surplus or charge</v>
      </c>
      <c r="O137" s="1">
        <v>0.25</v>
      </c>
      <c r="P137" s="1">
        <f t="shared" si="60"/>
        <v>0.5025712949976624</v>
      </c>
      <c r="Q137" s="1">
        <f t="shared" si="61"/>
        <v>2.5394952372473929</v>
      </c>
      <c r="R137" s="1">
        <f t="shared" si="62"/>
        <v>577.04340218605353</v>
      </c>
      <c r="S137" s="1">
        <f t="shared" si="63"/>
        <v>520.82021594673756</v>
      </c>
      <c r="T137" s="1">
        <f t="shared" si="64"/>
        <v>205.09074706145415</v>
      </c>
      <c r="U137" s="1" t="str">
        <f t="shared" si="65"/>
        <v>charge</v>
      </c>
      <c r="Y137" s="1">
        <f t="shared" si="66"/>
        <v>0.11303371395348838</v>
      </c>
      <c r="AA137" s="1">
        <f t="shared" si="70"/>
        <v>22.416627735070428</v>
      </c>
      <c r="AD137" s="1">
        <f t="shared" si="71"/>
        <v>0.25</v>
      </c>
    </row>
    <row r="138" spans="1:30" ht="15">
      <c r="A138" s="1">
        <v>137</v>
      </c>
      <c r="B138" s="1">
        <f t="shared" si="45"/>
        <v>0</v>
      </c>
      <c r="C138" s="1">
        <f t="shared" si="67"/>
        <v>0</v>
      </c>
      <c r="D138" s="1">
        <f t="shared" si="72"/>
        <v>19.685498498423446</v>
      </c>
      <c r="E138">
        <v>265.91000000000003</v>
      </c>
      <c r="K138" s="1">
        <f>'Solar Availability and Gener GR'!F138</f>
        <v>2.3678046826315309</v>
      </c>
      <c r="L138" s="1">
        <f>'System Load'!D138</f>
        <v>0.83441860465116291</v>
      </c>
      <c r="M138" s="1">
        <f t="shared" si="68"/>
        <v>1.5333860779803681</v>
      </c>
      <c r="N138" s="1" t="str">
        <f t="shared" si="69"/>
        <v>sell the surplus or charge</v>
      </c>
      <c r="O138" s="1">
        <v>0.25</v>
      </c>
      <c r="P138" s="1">
        <f t="shared" si="60"/>
        <v>0.29960981047937563</v>
      </c>
      <c r="Q138" s="1">
        <f t="shared" si="61"/>
        <v>2.1178046826315309</v>
      </c>
      <c r="R138" s="1">
        <f t="shared" si="62"/>
        <v>563.14022995773394</v>
      </c>
      <c r="S138" s="1">
        <f t="shared" si="63"/>
        <v>407.74201126441761</v>
      </c>
      <c r="T138" s="1">
        <f t="shared" si="64"/>
        <v>192.53390780995974</v>
      </c>
      <c r="U138" s="1" t="str">
        <f t="shared" si="65"/>
        <v>sell to the Grid</v>
      </c>
      <c r="W138" s="1">
        <f>(Q138*E138)/1000</f>
        <v>0.56314544315855042</v>
      </c>
      <c r="Y138" s="1">
        <f t="shared" si="66"/>
        <v>0.22188025116279075</v>
      </c>
      <c r="AA138" s="1">
        <f t="shared" si="70"/>
        <v>23.950013813050795</v>
      </c>
      <c r="AD138" s="1">
        <f t="shared" si="71"/>
        <v>0.25</v>
      </c>
    </row>
    <row r="139" spans="1:30" ht="15">
      <c r="A139" s="1">
        <v>138</v>
      </c>
      <c r="B139" s="1">
        <f t="shared" si="45"/>
        <v>0</v>
      </c>
      <c r="C139" s="1">
        <f t="shared" si="67"/>
        <v>0</v>
      </c>
      <c r="D139" s="1">
        <f t="shared" si="72"/>
        <v>19.685498498423446</v>
      </c>
      <c r="E139">
        <v>278.12</v>
      </c>
      <c r="K139" s="1">
        <f>'Solar Availability and Gener GR'!F139</f>
        <v>1.7929226386539647</v>
      </c>
      <c r="L139" s="1">
        <f>'System Load'!D139</f>
        <v>0.81837209302325586</v>
      </c>
      <c r="M139" s="1">
        <f t="shared" si="68"/>
        <v>0.97455054563070886</v>
      </c>
      <c r="N139" s="1" t="str">
        <f t="shared" si="69"/>
        <v>sell the surplus or charge</v>
      </c>
      <c r="O139" s="1">
        <v>0.25</v>
      </c>
      <c r="P139" s="1">
        <f t="shared" si="60"/>
        <v>0.30548451264563797</v>
      </c>
      <c r="Q139" s="1">
        <f t="shared" si="61"/>
        <v>1.5429226386539647</v>
      </c>
      <c r="R139" s="1">
        <f t="shared" si="62"/>
        <v>429.11265992288315</v>
      </c>
      <c r="S139" s="1">
        <f t="shared" si="63"/>
        <v>271.04127708722251</v>
      </c>
      <c r="T139" s="1">
        <f t="shared" si="64"/>
        <v>175.67255911011571</v>
      </c>
      <c r="U139" s="1" t="str">
        <f t="shared" si="65"/>
        <v>sell to the Grid</v>
      </c>
      <c r="W139" s="1">
        <f>(Q139*E139)/1000</f>
        <v>0.42911764426244065</v>
      </c>
      <c r="Y139" s="1">
        <f t="shared" si="66"/>
        <v>0.22760564651162793</v>
      </c>
      <c r="AA139" s="1">
        <f t="shared" si="70"/>
        <v>24.924564358681504</v>
      </c>
      <c r="AD139" s="1">
        <f t="shared" si="71"/>
        <v>0.25</v>
      </c>
    </row>
    <row r="140" spans="1:30" ht="15">
      <c r="A140" s="1">
        <v>139</v>
      </c>
      <c r="B140" s="1">
        <f t="shared" si="45"/>
        <v>0</v>
      </c>
      <c r="C140" s="1">
        <f t="shared" si="67"/>
        <v>0</v>
      </c>
      <c r="D140" s="1">
        <f t="shared" si="72"/>
        <v>19.685498498423446</v>
      </c>
      <c r="E140">
        <v>269.14999999999998</v>
      </c>
      <c r="K140" s="1">
        <f>'Solar Availability and Gener GR'!F140</f>
        <v>1.1222825603133602</v>
      </c>
      <c r="L140" s="1">
        <f>'System Load'!D140</f>
        <v>0.83441860465116291</v>
      </c>
      <c r="M140" s="1">
        <f t="shared" si="68"/>
        <v>0.28786395566219725</v>
      </c>
      <c r="N140" s="1" t="str">
        <f t="shared" si="69"/>
        <v>sell the surplus or charge</v>
      </c>
      <c r="O140" s="1">
        <v>0.25</v>
      </c>
      <c r="P140" s="1">
        <f t="shared" si="60"/>
        <v>0.29960981047937563</v>
      </c>
      <c r="Q140" s="1">
        <f t="shared" si="61"/>
        <v>0.87228256031336016</v>
      </c>
      <c r="R140" s="1">
        <f t="shared" si="62"/>
        <v>234.76970066116775</v>
      </c>
      <c r="S140" s="1">
        <f t="shared" si="63"/>
        <v>77.477911129407616</v>
      </c>
      <c r="T140" s="1">
        <f t="shared" si="64"/>
        <v>88.839923050924952</v>
      </c>
      <c r="U140" s="1" t="str">
        <f t="shared" si="65"/>
        <v>sell to the Grid</v>
      </c>
      <c r="W140" s="1">
        <f>(Q140*E140)/1000</f>
        <v>0.23477485110834087</v>
      </c>
      <c r="Y140" s="1">
        <f t="shared" si="66"/>
        <v>0.22458376744186048</v>
      </c>
      <c r="AA140" s="1">
        <f t="shared" si="70"/>
        <v>25.2124283143437</v>
      </c>
      <c r="AD140" s="1">
        <f t="shared" si="71"/>
        <v>0.25</v>
      </c>
    </row>
    <row r="141" spans="1:30" ht="15">
      <c r="A141" s="1">
        <v>140</v>
      </c>
      <c r="B141" s="1">
        <f t="shared" si="45"/>
        <v>0</v>
      </c>
      <c r="C141" s="1">
        <f t="shared" si="67"/>
        <v>0</v>
      </c>
      <c r="D141" s="1">
        <f t="shared" si="72"/>
        <v>19.685498498423446</v>
      </c>
      <c r="E141">
        <v>295.81</v>
      </c>
      <c r="K141" s="1">
        <f>'Solar Availability and Gener GR'!F141</f>
        <v>0.45164248197275875</v>
      </c>
      <c r="L141" s="1">
        <f>'System Load'!D141</f>
        <v>0.81837209302325586</v>
      </c>
      <c r="M141" s="1">
        <f t="shared" si="68"/>
        <v>-0.36672961105049712</v>
      </c>
      <c r="N141" s="1" t="str">
        <f t="shared" si="69"/>
        <v>Buy from Grid</v>
      </c>
      <c r="V141" s="1" t="str">
        <f t="shared" ref="V141:V153" si="73">IF(D141+M141&gt;0,"discharge","buy from the Grid")</f>
        <v>discharge</v>
      </c>
      <c r="Y141" s="1">
        <f t="shared" si="66"/>
        <v>0.24208264883720931</v>
      </c>
      <c r="AA141" s="1">
        <f t="shared" si="70"/>
        <v>24.845698703293202</v>
      </c>
      <c r="AD141" s="1">
        <f t="shared" si="71"/>
        <v>0</v>
      </c>
    </row>
    <row r="142" spans="1:30" ht="15">
      <c r="A142" s="1">
        <v>141</v>
      </c>
      <c r="B142" s="1">
        <f t="shared" si="45"/>
        <v>0</v>
      </c>
      <c r="C142" s="1">
        <f t="shared" si="67"/>
        <v>-0.44832764342603487</v>
      </c>
      <c r="D142" s="1">
        <f t="shared" si="72"/>
        <v>19.125088944140902</v>
      </c>
      <c r="E142">
        <v>294.83</v>
      </c>
      <c r="K142" s="1">
        <f>'Solar Availability and Gener GR'!F142</f>
        <v>4.91142170390814E-2</v>
      </c>
      <c r="L142" s="1">
        <f>'System Load'!D142</f>
        <v>0.49744186046511629</v>
      </c>
      <c r="M142" s="1">
        <f t="shared" si="68"/>
        <v>-0.44832764342603487</v>
      </c>
      <c r="N142" s="1" t="str">
        <f t="shared" si="69"/>
        <v>Buy from Grid</v>
      </c>
      <c r="V142" s="1" t="str">
        <f t="shared" si="73"/>
        <v>discharge</v>
      </c>
      <c r="Y142" s="1">
        <f t="shared" si="66"/>
        <v>0.14666078372093022</v>
      </c>
      <c r="AA142" s="1">
        <f t="shared" si="70"/>
        <v>24.397371059867169</v>
      </c>
      <c r="AD142" s="1">
        <f t="shared" si="71"/>
        <v>0</v>
      </c>
    </row>
    <row r="143" spans="1:30" ht="15">
      <c r="A143" s="1">
        <v>142</v>
      </c>
      <c r="B143" s="1">
        <f t="shared" si="45"/>
        <v>0</v>
      </c>
      <c r="C143" s="1">
        <f t="shared" si="67"/>
        <v>-0.49744186046511629</v>
      </c>
      <c r="D143" s="1">
        <f t="shared" si="72"/>
        <v>18.503286618559507</v>
      </c>
      <c r="E143">
        <v>265.18</v>
      </c>
      <c r="K143" s="1">
        <f>'Solar Availability and Gener GR'!F143</f>
        <v>0</v>
      </c>
      <c r="L143" s="1">
        <f>'System Load'!D143</f>
        <v>0.49744186046511629</v>
      </c>
      <c r="M143" s="1">
        <f t="shared" si="68"/>
        <v>-0.49744186046511629</v>
      </c>
      <c r="N143" s="1" t="str">
        <f t="shared" si="69"/>
        <v>Buy from Grid</v>
      </c>
      <c r="V143" s="1" t="str">
        <f t="shared" si="73"/>
        <v>discharge</v>
      </c>
      <c r="Y143" s="1">
        <f t="shared" si="66"/>
        <v>0.13191163255813954</v>
      </c>
      <c r="AA143" s="1">
        <f t="shared" si="70"/>
        <v>23.899929199402052</v>
      </c>
      <c r="AD143" s="1">
        <f t="shared" si="71"/>
        <v>0</v>
      </c>
    </row>
    <row r="144" spans="1:30" ht="15">
      <c r="A144" s="1">
        <v>143</v>
      </c>
      <c r="B144" s="1">
        <f t="shared" ref="B144:B207" si="74">IF(U144="charge",Q144,0)</f>
        <v>0</v>
      </c>
      <c r="C144" s="1">
        <f t="shared" si="67"/>
        <v>-0.49744186046511629</v>
      </c>
      <c r="D144" s="1">
        <f t="shared" si="72"/>
        <v>17.881484292978111</v>
      </c>
      <c r="E144">
        <v>290.77999999999997</v>
      </c>
      <c r="K144" s="1">
        <f>'Solar Availability and Gener GR'!F144</f>
        <v>0</v>
      </c>
      <c r="L144" s="1">
        <f>'System Load'!D144</f>
        <v>0.49744186046511629</v>
      </c>
      <c r="M144" s="1">
        <f t="shared" si="68"/>
        <v>-0.49744186046511629</v>
      </c>
      <c r="N144" s="1" t="str">
        <f t="shared" si="69"/>
        <v>Buy from Grid</v>
      </c>
      <c r="V144" s="1" t="str">
        <f t="shared" si="73"/>
        <v>discharge</v>
      </c>
      <c r="Y144" s="1">
        <f t="shared" si="66"/>
        <v>0.14464614418604652</v>
      </c>
      <c r="AA144" s="1">
        <f t="shared" si="70"/>
        <v>23.402487338936936</v>
      </c>
      <c r="AD144" s="1">
        <f t="shared" si="71"/>
        <v>0</v>
      </c>
    </row>
    <row r="145" spans="1:30" ht="15">
      <c r="A145" s="1">
        <v>144</v>
      </c>
      <c r="B145" s="1">
        <f t="shared" si="74"/>
        <v>0</v>
      </c>
      <c r="C145" s="1">
        <f t="shared" si="67"/>
        <v>-0.36906976744186054</v>
      </c>
      <c r="D145" s="1">
        <f t="shared" si="72"/>
        <v>17.420147083675786</v>
      </c>
      <c r="E145">
        <v>263.42</v>
      </c>
      <c r="K145" s="1">
        <f>'Solar Availability and Gener GR'!F145</f>
        <v>0</v>
      </c>
      <c r="L145" s="1">
        <f>'System Load'!D145</f>
        <v>0.36906976744186054</v>
      </c>
      <c r="M145" s="1">
        <f t="shared" si="68"/>
        <v>-0.36906976744186054</v>
      </c>
      <c r="N145" s="1" t="str">
        <f t="shared" si="69"/>
        <v>Buy from Grid</v>
      </c>
      <c r="V145" s="1" t="str">
        <f t="shared" si="73"/>
        <v>discharge</v>
      </c>
      <c r="Y145" s="1">
        <f t="shared" si="66"/>
        <v>9.7220358139534904E-2</v>
      </c>
      <c r="AA145" s="1">
        <f t="shared" si="70"/>
        <v>23.033417571495075</v>
      </c>
      <c r="AD145" s="1">
        <f t="shared" si="71"/>
        <v>0</v>
      </c>
    </row>
    <row r="146" spans="1:30" ht="15">
      <c r="A146" s="1">
        <v>145</v>
      </c>
      <c r="B146" s="1">
        <f t="shared" si="74"/>
        <v>0</v>
      </c>
      <c r="C146" s="1">
        <f t="shared" si="67"/>
        <v>-0.36906976744186054</v>
      </c>
      <c r="D146" s="1">
        <f t="shared" si="72"/>
        <v>16.958809874373461</v>
      </c>
      <c r="E146">
        <v>272.58</v>
      </c>
      <c r="K146" s="1">
        <f>'Solar Availability and Gener GR'!F146</f>
        <v>0</v>
      </c>
      <c r="L146" s="1">
        <f>'System Load'!D146</f>
        <v>0.36906976744186054</v>
      </c>
      <c r="M146" s="1">
        <f t="shared" si="68"/>
        <v>-0.36906976744186054</v>
      </c>
      <c r="N146" s="1" t="str">
        <f t="shared" si="69"/>
        <v>Buy from Grid</v>
      </c>
      <c r="V146" s="1" t="str">
        <f t="shared" si="73"/>
        <v>discharge</v>
      </c>
      <c r="Y146" s="1">
        <f t="shared" si="66"/>
        <v>0.10060103720930233</v>
      </c>
      <c r="AA146" s="1">
        <f t="shared" si="70"/>
        <v>22.664347804053214</v>
      </c>
      <c r="AD146" s="1">
        <f t="shared" si="71"/>
        <v>0</v>
      </c>
    </row>
    <row r="147" spans="1:30" ht="15">
      <c r="A147" s="1">
        <v>146</v>
      </c>
      <c r="B147" s="1">
        <f t="shared" si="74"/>
        <v>0</v>
      </c>
      <c r="C147" s="1">
        <f t="shared" si="67"/>
        <v>-0.36906976744186054</v>
      </c>
      <c r="D147" s="1">
        <f t="shared" si="72"/>
        <v>16.497472665071136</v>
      </c>
      <c r="E147">
        <v>311</v>
      </c>
      <c r="K147" s="1">
        <f>'Solar Availability and Gener GR'!F147</f>
        <v>0</v>
      </c>
      <c r="L147" s="1">
        <f>'System Load'!D147</f>
        <v>0.36906976744186054</v>
      </c>
      <c r="M147" s="1">
        <f t="shared" si="68"/>
        <v>-0.36906976744186054</v>
      </c>
      <c r="N147" s="1" t="str">
        <f t="shared" si="69"/>
        <v>Buy from Grid</v>
      </c>
      <c r="V147" s="1" t="str">
        <f t="shared" si="73"/>
        <v>discharge</v>
      </c>
      <c r="Y147" s="1">
        <f t="shared" si="66"/>
        <v>0.11478069767441863</v>
      </c>
      <c r="AA147" s="1">
        <f t="shared" si="70"/>
        <v>22.295278036611354</v>
      </c>
      <c r="AD147" s="1">
        <f t="shared" si="71"/>
        <v>0</v>
      </c>
    </row>
    <row r="148" spans="1:30" ht="15">
      <c r="A148" s="1">
        <v>147</v>
      </c>
      <c r="B148" s="1">
        <f t="shared" si="74"/>
        <v>0</v>
      </c>
      <c r="C148" s="1">
        <f t="shared" si="67"/>
        <v>-0.38511627906976742</v>
      </c>
      <c r="D148" s="1">
        <f t="shared" si="72"/>
        <v>16.016077316233925</v>
      </c>
      <c r="E148">
        <v>174.01</v>
      </c>
      <c r="K148" s="1">
        <f>'Solar Availability and Gener GR'!F148</f>
        <v>0</v>
      </c>
      <c r="L148" s="1">
        <f>'System Load'!D148</f>
        <v>0.38511627906976742</v>
      </c>
      <c r="M148" s="1">
        <f t="shared" si="68"/>
        <v>-0.38511627906976742</v>
      </c>
      <c r="N148" s="1" t="str">
        <f t="shared" si="69"/>
        <v>Buy from Grid</v>
      </c>
      <c r="V148" s="1" t="str">
        <f t="shared" si="73"/>
        <v>discharge</v>
      </c>
      <c r="Y148" s="1">
        <f t="shared" si="66"/>
        <v>6.7014083720930234E-2</v>
      </c>
      <c r="AA148" s="1">
        <f t="shared" si="70"/>
        <v>21.910161757541587</v>
      </c>
      <c r="AD148" s="1">
        <f t="shared" si="71"/>
        <v>0</v>
      </c>
    </row>
    <row r="149" spans="1:30" ht="15">
      <c r="A149" s="1">
        <v>148</v>
      </c>
      <c r="B149" s="1">
        <f t="shared" si="74"/>
        <v>0</v>
      </c>
      <c r="C149" s="1">
        <f t="shared" si="67"/>
        <v>-0.36906976744186054</v>
      </c>
      <c r="D149" s="1">
        <f t="shared" si="72"/>
        <v>15.5547401069316</v>
      </c>
      <c r="E149">
        <v>173.05</v>
      </c>
      <c r="K149" s="1">
        <f>'Solar Availability and Gener GR'!F149</f>
        <v>0</v>
      </c>
      <c r="L149" s="1">
        <f>'System Load'!D149</f>
        <v>0.36906976744186054</v>
      </c>
      <c r="M149" s="1">
        <f t="shared" si="68"/>
        <v>-0.36906976744186054</v>
      </c>
      <c r="N149" s="1" t="str">
        <f t="shared" si="69"/>
        <v>Buy from Grid</v>
      </c>
      <c r="V149" s="1" t="str">
        <f t="shared" si="73"/>
        <v>discharge</v>
      </c>
      <c r="Y149" s="1">
        <f t="shared" si="66"/>
        <v>6.3867523255813977E-2</v>
      </c>
      <c r="AA149" s="1">
        <f t="shared" si="70"/>
        <v>21.541091990099726</v>
      </c>
      <c r="AD149" s="1">
        <f t="shared" si="71"/>
        <v>0</v>
      </c>
    </row>
    <row r="150" spans="1:30" ht="15">
      <c r="A150" s="1">
        <v>149</v>
      </c>
      <c r="B150" s="1">
        <f t="shared" si="74"/>
        <v>0</v>
      </c>
      <c r="C150" s="1">
        <f t="shared" si="67"/>
        <v>-0.49744186046511629</v>
      </c>
      <c r="D150" s="1">
        <f t="shared" si="72"/>
        <v>14.932937781350205</v>
      </c>
      <c r="E150">
        <v>173.03</v>
      </c>
      <c r="K150" s="1">
        <f>'Solar Availability and Gener GR'!F150</f>
        <v>0</v>
      </c>
      <c r="L150" s="1">
        <f>'System Load'!D150</f>
        <v>0.49744186046511629</v>
      </c>
      <c r="M150" s="1">
        <f t="shared" si="68"/>
        <v>-0.49744186046511629</v>
      </c>
      <c r="N150" s="1" t="str">
        <f t="shared" si="69"/>
        <v>Buy from Grid</v>
      </c>
      <c r="V150" s="1" t="str">
        <f t="shared" si="73"/>
        <v>discharge</v>
      </c>
      <c r="Y150" s="1">
        <f t="shared" si="66"/>
        <v>8.6072365116279068E-2</v>
      </c>
      <c r="AA150" s="1">
        <f t="shared" si="70"/>
        <v>21.04365012963461</v>
      </c>
      <c r="AD150" s="1">
        <f t="shared" si="71"/>
        <v>0</v>
      </c>
    </row>
    <row r="151" spans="1:30" ht="15">
      <c r="A151" s="1">
        <v>150</v>
      </c>
      <c r="B151" s="1">
        <f t="shared" si="74"/>
        <v>0</v>
      </c>
      <c r="C151" s="1">
        <f t="shared" si="67"/>
        <v>-0.83441860465116291</v>
      </c>
      <c r="D151" s="1">
        <f t="shared" si="72"/>
        <v>13.889914525536252</v>
      </c>
      <c r="E151">
        <v>264.45999999999998</v>
      </c>
      <c r="K151" s="1">
        <f>'Solar Availability and Gener GR'!F151</f>
        <v>0</v>
      </c>
      <c r="L151" s="1">
        <f>'System Load'!D151</f>
        <v>0.83441860465116291</v>
      </c>
      <c r="M151" s="1">
        <f t="shared" si="68"/>
        <v>-0.83441860465116291</v>
      </c>
      <c r="N151" s="1" t="str">
        <f t="shared" si="69"/>
        <v>Buy from Grid</v>
      </c>
      <c r="V151" s="1" t="str">
        <f t="shared" si="73"/>
        <v>discharge</v>
      </c>
      <c r="Y151" s="1">
        <f t="shared" si="66"/>
        <v>0.22067034418604653</v>
      </c>
      <c r="AA151" s="1">
        <f t="shared" si="70"/>
        <v>20.209231524983448</v>
      </c>
      <c r="AD151" s="1">
        <f t="shared" si="71"/>
        <v>0</v>
      </c>
    </row>
    <row r="152" spans="1:30" ht="15">
      <c r="A152" s="1">
        <v>151</v>
      </c>
      <c r="B152" s="1">
        <f t="shared" si="74"/>
        <v>0</v>
      </c>
      <c r="C152" s="1">
        <f t="shared" si="67"/>
        <v>-0.78041860465116286</v>
      </c>
      <c r="D152" s="1">
        <f t="shared" si="72"/>
        <v>12.914391269722298</v>
      </c>
      <c r="E152">
        <v>339.1</v>
      </c>
      <c r="K152" s="1">
        <f>'Solar Availability and Gener GR'!F152</f>
        <v>5.3999999999999999E-2</v>
      </c>
      <c r="L152" s="1">
        <f>'System Load'!D152</f>
        <v>0.83441860465116291</v>
      </c>
      <c r="M152" s="1">
        <f t="shared" si="68"/>
        <v>-0.78041860465116286</v>
      </c>
      <c r="N152" s="1" t="str">
        <f t="shared" si="69"/>
        <v>Buy from Grid</v>
      </c>
      <c r="V152" s="1" t="str">
        <f t="shared" si="73"/>
        <v>discharge</v>
      </c>
      <c r="Y152" s="1">
        <f t="shared" si="66"/>
        <v>0.28295134883720935</v>
      </c>
      <c r="AA152" s="1">
        <f t="shared" si="70"/>
        <v>19.428812920332284</v>
      </c>
      <c r="AD152" s="1">
        <f t="shared" si="71"/>
        <v>0</v>
      </c>
    </row>
    <row r="153" spans="1:30" ht="15">
      <c r="A153" s="1">
        <v>152</v>
      </c>
      <c r="B153" s="1">
        <f t="shared" si="74"/>
        <v>0</v>
      </c>
      <c r="C153" s="1">
        <f t="shared" si="67"/>
        <v>-0.50321860465116297</v>
      </c>
      <c r="D153" s="1">
        <f t="shared" si="72"/>
        <v>12.285368013908345</v>
      </c>
      <c r="E153">
        <v>344.1</v>
      </c>
      <c r="K153" s="1">
        <f>'Solar Availability and Gener GR'!F153</f>
        <v>0.33119999999999994</v>
      </c>
      <c r="L153" s="1">
        <f>'System Load'!D153</f>
        <v>0.83441860465116291</v>
      </c>
      <c r="M153" s="1">
        <f t="shared" si="68"/>
        <v>-0.50321860465116297</v>
      </c>
      <c r="N153" s="1" t="str">
        <f t="shared" si="69"/>
        <v>Buy from Grid</v>
      </c>
      <c r="V153" s="1" t="str">
        <f t="shared" si="73"/>
        <v>discharge</v>
      </c>
      <c r="Y153" s="1">
        <f t="shared" si="66"/>
        <v>0.28712344186046518</v>
      </c>
      <c r="AA153" s="1">
        <f t="shared" si="70"/>
        <v>18.925594315681121</v>
      </c>
      <c r="AD153" s="1">
        <f t="shared" si="71"/>
        <v>0</v>
      </c>
    </row>
    <row r="154" spans="1:30" ht="15">
      <c r="A154" s="1">
        <v>153</v>
      </c>
      <c r="B154" s="1">
        <f t="shared" si="74"/>
        <v>0</v>
      </c>
      <c r="C154" s="1">
        <f t="shared" si="67"/>
        <v>0.18858146366912976</v>
      </c>
      <c r="D154" s="1">
        <f t="shared" si="72"/>
        <v>12.521094843494756</v>
      </c>
      <c r="E154">
        <v>204.99</v>
      </c>
      <c r="K154" s="1">
        <f>'Solar Availability and Gener GR'!F154</f>
        <v>0.68602332413424605</v>
      </c>
      <c r="L154" s="1">
        <f>'System Load'!D154</f>
        <v>0.49744186046511629</v>
      </c>
      <c r="M154" s="1">
        <f t="shared" si="68"/>
        <v>0.18858146366912976</v>
      </c>
      <c r="N154" s="1" t="str">
        <f t="shared" si="69"/>
        <v>sell the surplus or charge</v>
      </c>
      <c r="O154" s="1">
        <v>0.25</v>
      </c>
      <c r="P154" s="1">
        <f t="shared" ref="P154:P165" si="75">0.25/L154</f>
        <v>0.5025712949976624</v>
      </c>
      <c r="Q154" s="1">
        <f t="shared" ref="Q154:Q165" si="76">K154-P154*L154</f>
        <v>0.43602332413424605</v>
      </c>
      <c r="R154" s="1">
        <f t="shared" ref="R154:R165" si="77">((1/(E154+0.01))*LN(0.25))+(E154*(K154-0.25))</f>
        <v>89.37365880276144</v>
      </c>
      <c r="S154" s="1">
        <f t="shared" ref="S154:S165" si="78">((1/(E154+0.01))*LN(L154))+(E154*(K154-L154))</f>
        <v>38.653908010253943</v>
      </c>
      <c r="T154" s="1">
        <f t="shared" ref="T154:T165" si="79">(S154+((S154^2)-4*(K154-L154*P154)*LN(L154*P154))^(0.5))/(2*(K154-L154*P154))</f>
        <v>88.686859644396222</v>
      </c>
      <c r="U154" s="1" t="str">
        <f t="shared" ref="U154:U165" si="80">IF(E154&gt;=T154*1.2,"sell to the Grid","charge")</f>
        <v>sell to the Grid</v>
      </c>
      <c r="W154" s="1">
        <f>(Q154*E154)/1000</f>
        <v>8.9380421214279096E-2</v>
      </c>
      <c r="Y154" s="1">
        <f t="shared" si="66"/>
        <v>0.10197060697674419</v>
      </c>
      <c r="AA154" s="1">
        <f t="shared" si="70"/>
        <v>19.114175779350251</v>
      </c>
      <c r="AD154" s="1">
        <f t="shared" si="71"/>
        <v>0.25</v>
      </c>
    </row>
    <row r="155" spans="1:30" ht="15">
      <c r="A155" s="1">
        <v>154</v>
      </c>
      <c r="B155" s="1">
        <f t="shared" si="74"/>
        <v>0</v>
      </c>
      <c r="C155" s="1">
        <f t="shared" si="67"/>
        <v>0</v>
      </c>
      <c r="D155" s="1">
        <f t="shared" si="72"/>
        <v>12.521094843494756</v>
      </c>
      <c r="E155">
        <v>206.09</v>
      </c>
      <c r="K155" s="1">
        <f>'Solar Availability and Gener GR'!F155</f>
        <v>1.2600640968574714</v>
      </c>
      <c r="L155" s="1">
        <f>'System Load'!D155</f>
        <v>0.49744186046511629</v>
      </c>
      <c r="M155" s="1">
        <f t="shared" si="68"/>
        <v>0.76262223639235516</v>
      </c>
      <c r="N155" s="1" t="str">
        <f t="shared" si="69"/>
        <v>sell the surplus or charge</v>
      </c>
      <c r="O155" s="1">
        <v>0.25</v>
      </c>
      <c r="P155" s="1">
        <f t="shared" si="75"/>
        <v>0.5025712949976624</v>
      </c>
      <c r="Q155" s="1">
        <f t="shared" si="76"/>
        <v>1.0100640968574714</v>
      </c>
      <c r="R155" s="1">
        <f t="shared" si="77"/>
        <v>208.15738340228245</v>
      </c>
      <c r="S155" s="1">
        <f t="shared" si="78"/>
        <v>157.16542865058665</v>
      </c>
      <c r="T155" s="1">
        <f t="shared" si="79"/>
        <v>155.6082807143348</v>
      </c>
      <c r="U155" s="1" t="str">
        <f t="shared" si="80"/>
        <v>sell to the Grid</v>
      </c>
      <c r="Y155" s="1">
        <f t="shared" si="66"/>
        <v>0.10251779302325582</v>
      </c>
      <c r="AA155" s="1">
        <f t="shared" si="70"/>
        <v>19.876798015742608</v>
      </c>
      <c r="AD155" s="1">
        <f t="shared" si="71"/>
        <v>0.25</v>
      </c>
    </row>
    <row r="156" spans="1:30" ht="15">
      <c r="A156" s="1">
        <v>155</v>
      </c>
      <c r="B156" s="1">
        <f t="shared" si="74"/>
        <v>1.9766981216059798</v>
      </c>
      <c r="C156" s="1">
        <f t="shared" si="67"/>
        <v>0</v>
      </c>
      <c r="D156" s="1">
        <f t="shared" si="72"/>
        <v>14.10245334077954</v>
      </c>
      <c r="E156">
        <v>186.39</v>
      </c>
      <c r="K156" s="1">
        <f>'Solar Availability and Gener GR'!F156</f>
        <v>2.2266981216059798</v>
      </c>
      <c r="L156" s="1">
        <f>'System Load'!D156</f>
        <v>0.49744186046511629</v>
      </c>
      <c r="M156" s="1">
        <f t="shared" si="68"/>
        <v>1.7292562611408635</v>
      </c>
      <c r="N156" s="1" t="str">
        <f t="shared" si="69"/>
        <v>sell the surplus or charge</v>
      </c>
      <c r="O156" s="1">
        <v>0.25</v>
      </c>
      <c r="P156" s="1">
        <f t="shared" si="75"/>
        <v>0.5025712949976624</v>
      </c>
      <c r="Q156" s="1">
        <f t="shared" si="76"/>
        <v>1.9766981216059798</v>
      </c>
      <c r="R156" s="1">
        <f t="shared" si="77"/>
        <v>368.42932568463038</v>
      </c>
      <c r="S156" s="1">
        <f t="shared" si="78"/>
        <v>322.31232839498648</v>
      </c>
      <c r="T156" s="1">
        <f t="shared" si="79"/>
        <v>163.06021976970433</v>
      </c>
      <c r="U156" s="1" t="str">
        <f t="shared" si="80"/>
        <v>charge</v>
      </c>
      <c r="Y156" s="1">
        <f t="shared" si="66"/>
        <v>9.271818837209303E-2</v>
      </c>
      <c r="AA156" s="1">
        <f t="shared" si="70"/>
        <v>21.606054276883473</v>
      </c>
      <c r="AD156" s="1">
        <f t="shared" si="71"/>
        <v>0.25</v>
      </c>
    </row>
    <row r="157" spans="1:30" ht="15">
      <c r="A157" s="1">
        <v>156</v>
      </c>
      <c r="B157" s="1">
        <f t="shared" si="74"/>
        <v>2.6560179827294559</v>
      </c>
      <c r="C157" s="1">
        <f t="shared" si="67"/>
        <v>0</v>
      </c>
      <c r="D157" s="1">
        <f t="shared" si="72"/>
        <v>16.227267726963106</v>
      </c>
      <c r="E157">
        <v>178.54</v>
      </c>
      <c r="K157" s="1">
        <f>'Solar Availability and Gener GR'!F157</f>
        <v>2.9060179827294559</v>
      </c>
      <c r="L157" s="1">
        <f>'System Load'!D157</f>
        <v>0.49744186046511629</v>
      </c>
      <c r="M157" s="1">
        <f t="shared" si="68"/>
        <v>2.4085761222643396</v>
      </c>
      <c r="N157" s="1" t="str">
        <f t="shared" si="69"/>
        <v>sell the surplus or charge</v>
      </c>
      <c r="O157" s="1">
        <v>0.25</v>
      </c>
      <c r="P157" s="1">
        <f t="shared" si="75"/>
        <v>0.5025712949976624</v>
      </c>
      <c r="Q157" s="1">
        <f t="shared" si="76"/>
        <v>2.6560179827294559</v>
      </c>
      <c r="R157" s="1">
        <f t="shared" si="77"/>
        <v>474.19768645639311</v>
      </c>
      <c r="S157" s="1">
        <f t="shared" si="78"/>
        <v>430.0232700508584</v>
      </c>
      <c r="T157" s="1">
        <f t="shared" si="79"/>
        <v>161.90847918081454</v>
      </c>
      <c r="U157" s="1" t="str">
        <f t="shared" si="80"/>
        <v>charge</v>
      </c>
      <c r="Y157" s="1">
        <f t="shared" si="66"/>
        <v>8.8813269767441846E-2</v>
      </c>
      <c r="AA157" s="1">
        <f t="shared" si="70"/>
        <v>24.014630399147812</v>
      </c>
      <c r="AD157" s="1">
        <f t="shared" si="71"/>
        <v>0.25</v>
      </c>
    </row>
    <row r="158" spans="1:30" ht="15">
      <c r="A158" s="1">
        <v>157</v>
      </c>
      <c r="B158" s="1">
        <f t="shared" si="74"/>
        <v>2.923729190777173</v>
      </c>
      <c r="C158" s="1">
        <f t="shared" si="67"/>
        <v>0</v>
      </c>
      <c r="D158" s="1">
        <f t="shared" si="72"/>
        <v>18.566251079584845</v>
      </c>
      <c r="E158">
        <v>165</v>
      </c>
      <c r="K158" s="1">
        <f>'Solar Availability and Gener GR'!F158</f>
        <v>3.173729190777173</v>
      </c>
      <c r="L158" s="1">
        <f>'System Load'!D158</f>
        <v>0.49744186046511629</v>
      </c>
      <c r="M158" s="1">
        <f t="shared" si="68"/>
        <v>2.6762873303120567</v>
      </c>
      <c r="N158" s="1" t="str">
        <f t="shared" si="69"/>
        <v>sell the surplus or charge</v>
      </c>
      <c r="O158" s="1">
        <v>0.25</v>
      </c>
      <c r="P158" s="1">
        <f t="shared" si="75"/>
        <v>0.5025712949976624</v>
      </c>
      <c r="Q158" s="1">
        <f t="shared" si="76"/>
        <v>2.923729190777173</v>
      </c>
      <c r="R158" s="1">
        <f t="shared" si="77"/>
        <v>482.40691520339493</v>
      </c>
      <c r="S158" s="1">
        <f t="shared" si="78"/>
        <v>441.58317777860827</v>
      </c>
      <c r="T158" s="1">
        <f t="shared" si="79"/>
        <v>151.0373661342062</v>
      </c>
      <c r="U158" s="1" t="str">
        <f t="shared" si="80"/>
        <v>charge</v>
      </c>
      <c r="Y158" s="1">
        <f t="shared" si="66"/>
        <v>8.2077906976744192E-2</v>
      </c>
      <c r="AA158" s="1">
        <f t="shared" si="70"/>
        <v>26.690917729459869</v>
      </c>
      <c r="AD158" s="1">
        <f t="shared" si="71"/>
        <v>0.25</v>
      </c>
    </row>
    <row r="159" spans="1:30" ht="15">
      <c r="A159" s="1">
        <v>158</v>
      </c>
      <c r="B159" s="1">
        <f t="shared" si="74"/>
        <v>3.0190465592450799</v>
      </c>
      <c r="C159" s="1">
        <f t="shared" si="67"/>
        <v>0</v>
      </c>
      <c r="D159" s="1">
        <f t="shared" si="72"/>
        <v>20.981488326980909</v>
      </c>
      <c r="E159">
        <v>163.94</v>
      </c>
      <c r="K159" s="1">
        <f>'Solar Availability and Gener GR'!F159</f>
        <v>3.2690465592450799</v>
      </c>
      <c r="L159" s="1">
        <f>'System Load'!D159</f>
        <v>0.49744186046511629</v>
      </c>
      <c r="M159" s="1">
        <f t="shared" si="68"/>
        <v>2.7716046987799636</v>
      </c>
      <c r="N159" s="1" t="str">
        <f t="shared" si="69"/>
        <v>sell the surplus or charge</v>
      </c>
      <c r="O159" s="1">
        <v>0.25</v>
      </c>
      <c r="P159" s="1">
        <f t="shared" si="75"/>
        <v>0.5025712949976624</v>
      </c>
      <c r="Q159" s="1">
        <f t="shared" si="76"/>
        <v>3.0190465592450799</v>
      </c>
      <c r="R159" s="1">
        <f t="shared" si="77"/>
        <v>494.93403733031681</v>
      </c>
      <c r="S159" s="1">
        <f t="shared" si="78"/>
        <v>454.37261523538524</v>
      </c>
      <c r="T159" s="1">
        <f t="shared" si="79"/>
        <v>150.50507412402075</v>
      </c>
      <c r="U159" s="1" t="str">
        <f t="shared" si="80"/>
        <v>charge</v>
      </c>
      <c r="Y159" s="1">
        <f t="shared" si="66"/>
        <v>8.1550618604651168E-2</v>
      </c>
      <c r="AA159" s="1">
        <f t="shared" si="70"/>
        <v>29.462522428239833</v>
      </c>
      <c r="AD159" s="1">
        <f t="shared" si="71"/>
        <v>0.25</v>
      </c>
    </row>
    <row r="160" spans="1:30" ht="15">
      <c r="A160" s="1">
        <v>159</v>
      </c>
      <c r="B160" s="1">
        <f t="shared" si="74"/>
        <v>2.9228745660108606</v>
      </c>
      <c r="C160" s="1">
        <f t="shared" si="67"/>
        <v>0</v>
      </c>
      <c r="D160" s="1">
        <f t="shared" si="72"/>
        <v>23.319787979789599</v>
      </c>
      <c r="E160">
        <v>177.44</v>
      </c>
      <c r="K160" s="1">
        <f>'Solar Availability and Gener GR'!F160</f>
        <v>3.1728745660108606</v>
      </c>
      <c r="L160" s="1">
        <f>'System Load'!D160</f>
        <v>0.49744186046511629</v>
      </c>
      <c r="M160" s="1">
        <f t="shared" si="68"/>
        <v>2.6754327055457443</v>
      </c>
      <c r="N160" s="1" t="str">
        <f t="shared" si="69"/>
        <v>sell the surplus or charge</v>
      </c>
      <c r="O160" s="1">
        <v>0.25</v>
      </c>
      <c r="P160" s="1">
        <f t="shared" si="75"/>
        <v>0.5025712949976624</v>
      </c>
      <c r="Q160" s="1">
        <f t="shared" si="76"/>
        <v>2.9228745660108606</v>
      </c>
      <c r="R160" s="1">
        <f t="shared" si="77"/>
        <v>518.62705068323976</v>
      </c>
      <c r="S160" s="1">
        <f t="shared" si="78"/>
        <v>474.72484421093463</v>
      </c>
      <c r="T160" s="1">
        <f t="shared" si="79"/>
        <v>162.42003162707641</v>
      </c>
      <c r="U160" s="1" t="str">
        <f t="shared" si="80"/>
        <v>charge</v>
      </c>
      <c r="Y160" s="1">
        <f t="shared" si="66"/>
        <v>8.8266083720930241E-2</v>
      </c>
      <c r="AA160" s="1">
        <f t="shared" si="70"/>
        <v>32.137955133785574</v>
      </c>
      <c r="AD160" s="1">
        <f t="shared" si="71"/>
        <v>0.25</v>
      </c>
    </row>
    <row r="161" spans="1:30" ht="15">
      <c r="A161" s="1">
        <v>160</v>
      </c>
      <c r="B161" s="1">
        <f t="shared" si="74"/>
        <v>0</v>
      </c>
      <c r="C161" s="1">
        <f t="shared" si="67"/>
        <v>0</v>
      </c>
      <c r="D161" s="1">
        <f t="shared" si="72"/>
        <v>23.319787979789599</v>
      </c>
      <c r="E161">
        <v>216</v>
      </c>
      <c r="K161" s="1">
        <f>'Solar Availability and Gener GR'!F161</f>
        <v>2.9426733730971213</v>
      </c>
      <c r="L161" s="1">
        <f>'System Load'!D161</f>
        <v>0.83441860465116291</v>
      </c>
      <c r="M161" s="1">
        <f t="shared" si="68"/>
        <v>2.1082547684459585</v>
      </c>
      <c r="N161" s="1" t="str">
        <f t="shared" si="69"/>
        <v>sell the surplus or charge</v>
      </c>
      <c r="O161" s="1">
        <v>0.25</v>
      </c>
      <c r="P161" s="1">
        <f t="shared" si="75"/>
        <v>0.29960981047937563</v>
      </c>
      <c r="Q161" s="1">
        <f t="shared" si="76"/>
        <v>2.6926733730971213</v>
      </c>
      <c r="R161" s="1">
        <f t="shared" si="77"/>
        <v>581.61103085664581</v>
      </c>
      <c r="S161" s="1">
        <f t="shared" si="78"/>
        <v>455.38219196720513</v>
      </c>
      <c r="T161" s="1">
        <f t="shared" si="79"/>
        <v>169.12203073845936</v>
      </c>
      <c r="U161" s="1" t="str">
        <f t="shared" si="80"/>
        <v>sell to the Grid</v>
      </c>
      <c r="Y161" s="1">
        <f t="shared" si="66"/>
        <v>0.18023441860465117</v>
      </c>
      <c r="AA161" s="1">
        <f t="shared" si="70"/>
        <v>34.246209902231534</v>
      </c>
      <c r="AD161" s="1">
        <f t="shared" si="71"/>
        <v>0.25</v>
      </c>
    </row>
    <row r="162" spans="1:30" ht="15">
      <c r="A162" s="1">
        <v>161</v>
      </c>
      <c r="B162" s="1">
        <f t="shared" si="74"/>
        <v>0</v>
      </c>
      <c r="C162" s="1">
        <f t="shared" si="67"/>
        <v>0</v>
      </c>
      <c r="D162" s="1">
        <f t="shared" si="72"/>
        <v>23.319787979789599</v>
      </c>
      <c r="E162">
        <v>329.94</v>
      </c>
      <c r="K162" s="1">
        <f>'Solar Availability and Gener GR'!F162</f>
        <v>2.5114083503961528</v>
      </c>
      <c r="L162" s="1">
        <f>'System Load'!D162</f>
        <v>0.83441860465116291</v>
      </c>
      <c r="M162" s="1">
        <f t="shared" si="68"/>
        <v>1.67698974574499</v>
      </c>
      <c r="N162" s="1" t="str">
        <f t="shared" si="69"/>
        <v>sell the surplus or charge</v>
      </c>
      <c r="O162" s="1">
        <v>0.25</v>
      </c>
      <c r="P162" s="1">
        <f t="shared" si="75"/>
        <v>0.29960981047937563</v>
      </c>
      <c r="Q162" s="1">
        <f t="shared" si="76"/>
        <v>2.2614083503961528</v>
      </c>
      <c r="R162" s="1">
        <f t="shared" si="77"/>
        <v>746.124869601108</v>
      </c>
      <c r="S162" s="1">
        <f t="shared" si="78"/>
        <v>553.30544808228399</v>
      </c>
      <c r="T162" s="1">
        <f t="shared" si="79"/>
        <v>244.67545361063128</v>
      </c>
      <c r="U162" s="1" t="str">
        <f t="shared" si="80"/>
        <v>sell to the Grid</v>
      </c>
      <c r="W162" s="1">
        <f>(Q162*E162)/1000</f>
        <v>0.74612907112970661</v>
      </c>
      <c r="Y162" s="1">
        <f t="shared" si="66"/>
        <v>0.27530807441860466</v>
      </c>
      <c r="AA162" s="1">
        <f t="shared" si="70"/>
        <v>35.923199647976524</v>
      </c>
      <c r="AD162" s="1">
        <f t="shared" si="71"/>
        <v>0.25</v>
      </c>
    </row>
    <row r="163" spans="1:30" ht="15">
      <c r="A163" s="1">
        <v>162</v>
      </c>
      <c r="B163" s="1">
        <f t="shared" si="74"/>
        <v>0</v>
      </c>
      <c r="C163" s="1">
        <f t="shared" si="67"/>
        <v>0</v>
      </c>
      <c r="D163" s="1">
        <f t="shared" si="72"/>
        <v>23.319787979789599</v>
      </c>
      <c r="E163">
        <v>344.1</v>
      </c>
      <c r="K163" s="1">
        <f>'Solar Availability and Gener GR'!F163</f>
        <v>1.8790794979079473</v>
      </c>
      <c r="L163" s="1">
        <f>'System Load'!D163</f>
        <v>0.83441860465116291</v>
      </c>
      <c r="M163" s="1">
        <f t="shared" si="68"/>
        <v>1.0446608932567845</v>
      </c>
      <c r="N163" s="1" t="str">
        <f t="shared" si="69"/>
        <v>sell the surplus or charge</v>
      </c>
      <c r="O163" s="1">
        <v>0.25</v>
      </c>
      <c r="P163" s="1">
        <f t="shared" si="75"/>
        <v>0.29960981047937563</v>
      </c>
      <c r="Q163" s="1">
        <f t="shared" si="76"/>
        <v>1.6290794979079473</v>
      </c>
      <c r="R163" s="1">
        <f t="shared" si="77"/>
        <v>560.56222659288335</v>
      </c>
      <c r="S163" s="1">
        <f t="shared" si="78"/>
        <v>359.46728731671573</v>
      </c>
      <c r="T163" s="1">
        <f t="shared" si="79"/>
        <v>220.66054496012441</v>
      </c>
      <c r="U163" s="1" t="str">
        <f t="shared" si="80"/>
        <v>sell to the Grid</v>
      </c>
      <c r="W163" s="1">
        <f>(Q163*E163)/1000</f>
        <v>0.56056625523012471</v>
      </c>
      <c r="Y163" s="1">
        <f t="shared" si="66"/>
        <v>0.28712344186046518</v>
      </c>
      <c r="AA163" s="1">
        <f t="shared" si="70"/>
        <v>36.967860541233307</v>
      </c>
      <c r="AD163" s="1">
        <f t="shared" si="71"/>
        <v>0.25</v>
      </c>
    </row>
    <row r="164" spans="1:30" ht="15">
      <c r="A164" s="1">
        <v>163</v>
      </c>
      <c r="B164" s="1">
        <f t="shared" si="74"/>
        <v>0</v>
      </c>
      <c r="C164" s="1">
        <f t="shared" si="67"/>
        <v>0</v>
      </c>
      <c r="D164" s="1">
        <f t="shared" si="72"/>
        <v>23.319787979789599</v>
      </c>
      <c r="E164">
        <v>290</v>
      </c>
      <c r="K164" s="1">
        <f>'Solar Availability and Gener GR'!F164</f>
        <v>1.2276017092495295</v>
      </c>
      <c r="L164" s="1">
        <f>'System Load'!D164</f>
        <v>0.81837209302325586</v>
      </c>
      <c r="M164" s="1">
        <f t="shared" si="68"/>
        <v>0.40922961622627363</v>
      </c>
      <c r="N164" s="1" t="str">
        <f t="shared" si="69"/>
        <v>sell the surplus or charge</v>
      </c>
      <c r="O164" s="1">
        <v>0.25</v>
      </c>
      <c r="P164" s="1">
        <f t="shared" si="75"/>
        <v>0.30548451264563797</v>
      </c>
      <c r="Q164" s="1">
        <f t="shared" si="76"/>
        <v>0.97760170924952949</v>
      </c>
      <c r="R164" s="1">
        <f t="shared" si="77"/>
        <v>283.49971552181347</v>
      </c>
      <c r="S164" s="1">
        <f t="shared" si="78"/>
        <v>118.67589756336784</v>
      </c>
      <c r="T164" s="1">
        <f t="shared" si="79"/>
        <v>121.40661687343687</v>
      </c>
      <c r="U164" s="1" t="str">
        <f t="shared" si="80"/>
        <v>sell to the Grid</v>
      </c>
      <c r="W164" s="1">
        <f>(Q164*E164)/1000</f>
        <v>0.28350449568236352</v>
      </c>
      <c r="Y164" s="1">
        <f t="shared" si="66"/>
        <v>0.23732790697674419</v>
      </c>
      <c r="AA164" s="1">
        <f t="shared" si="70"/>
        <v>37.377090157459584</v>
      </c>
      <c r="AD164" s="1">
        <f t="shared" si="71"/>
        <v>0.25</v>
      </c>
    </row>
    <row r="165" spans="1:30" ht="15">
      <c r="A165" s="1">
        <v>164</v>
      </c>
      <c r="B165" s="1">
        <f t="shared" si="74"/>
        <v>0</v>
      </c>
      <c r="C165" s="1">
        <f t="shared" si="67"/>
        <v>0</v>
      </c>
      <c r="D165" s="1">
        <f t="shared" si="72"/>
        <v>23.319787979789599</v>
      </c>
      <c r="E165">
        <v>298.2</v>
      </c>
      <c r="K165" s="1">
        <f>'Solar Availability and Gener GR'!F165</f>
        <v>0.48992700080121115</v>
      </c>
      <c r="L165" s="1">
        <f>'System Load'!D165</f>
        <v>0.49744186046511629</v>
      </c>
      <c r="M165" s="1">
        <f t="shared" si="68"/>
        <v>-7.5148596639051379E-3</v>
      </c>
      <c r="N165" s="1" t="str">
        <f t="shared" si="69"/>
        <v>Buy from Grid</v>
      </c>
      <c r="O165" s="1">
        <v>0.25</v>
      </c>
      <c r="P165" s="1">
        <f t="shared" si="75"/>
        <v>0.5025712949976624</v>
      </c>
      <c r="Q165" s="1">
        <f t="shared" si="76"/>
        <v>0.23992700080121118</v>
      </c>
      <c r="R165" s="1">
        <f t="shared" si="77"/>
        <v>71.541582920363368</v>
      </c>
      <c r="S165" s="1">
        <f t="shared" si="78"/>
        <v>-2.2432727117262092</v>
      </c>
      <c r="T165" s="1">
        <f t="shared" si="79"/>
        <v>0.58177823915312465</v>
      </c>
      <c r="U165" s="1" t="str">
        <f t="shared" si="80"/>
        <v>sell to the Grid</v>
      </c>
      <c r="W165" s="1">
        <f>(Q165*E165)/1000</f>
        <v>7.1546231638921168E-2</v>
      </c>
      <c r="Y165" s="1">
        <f t="shared" si="66"/>
        <v>0.14833716279069767</v>
      </c>
      <c r="AA165" s="1">
        <f t="shared" si="70"/>
        <v>37.369575297795677</v>
      </c>
      <c r="AD165" s="1">
        <f t="shared" si="71"/>
        <v>0.25</v>
      </c>
    </row>
    <row r="166" spans="1:30" ht="15">
      <c r="A166" s="1">
        <v>165</v>
      </c>
      <c r="B166" s="1">
        <f t="shared" si="74"/>
        <v>0</v>
      </c>
      <c r="C166" s="1">
        <f t="shared" si="67"/>
        <v>0</v>
      </c>
      <c r="D166" s="1">
        <f t="shared" si="72"/>
        <v>23.319787979789599</v>
      </c>
      <c r="E166">
        <v>263</v>
      </c>
      <c r="K166" s="1">
        <f>'Solar Availability and Gener GR'!F166</f>
        <v>6.8263153209294117E-2</v>
      </c>
      <c r="L166" s="1">
        <f>'System Load'!D166</f>
        <v>0.49744186046511629</v>
      </c>
      <c r="M166" s="1">
        <f t="shared" si="68"/>
        <v>-0.42917870725582219</v>
      </c>
      <c r="N166" s="1" t="str">
        <f t="shared" si="69"/>
        <v>Buy from Grid</v>
      </c>
      <c r="V166" s="1" t="str">
        <f t="shared" ref="V166:V177" si="81">IF(D166+M166&gt;0,"discharge","buy from the Grid")</f>
        <v>discharge</v>
      </c>
      <c r="Y166" s="1">
        <f t="shared" si="66"/>
        <v>0.13082720930232558</v>
      </c>
      <c r="AA166" s="1">
        <f t="shared" si="70"/>
        <v>36.940396590539855</v>
      </c>
      <c r="AD166" s="1">
        <f t="shared" si="71"/>
        <v>0</v>
      </c>
    </row>
    <row r="167" spans="1:30" ht="15">
      <c r="A167" s="1">
        <v>166</v>
      </c>
      <c r="B167" s="1">
        <f t="shared" si="74"/>
        <v>0</v>
      </c>
      <c r="C167" s="1">
        <f t="shared" si="67"/>
        <v>-0.49744186046511629</v>
      </c>
      <c r="D167" s="1">
        <f t="shared" si="72"/>
        <v>22.697985654208203</v>
      </c>
      <c r="E167">
        <v>210</v>
      </c>
      <c r="K167" s="1">
        <f>'Solar Availability and Gener GR'!F167</f>
        <v>0</v>
      </c>
      <c r="L167" s="1">
        <f>'System Load'!D167</f>
        <v>0.49744186046511629</v>
      </c>
      <c r="M167" s="1">
        <f t="shared" si="68"/>
        <v>-0.49744186046511629</v>
      </c>
      <c r="N167" s="1" t="str">
        <f t="shared" si="69"/>
        <v>Buy from Grid</v>
      </c>
      <c r="V167" s="1" t="str">
        <f t="shared" si="81"/>
        <v>discharge</v>
      </c>
      <c r="Y167" s="1">
        <f t="shared" si="66"/>
        <v>0.10446279069767442</v>
      </c>
      <c r="AA167" s="1">
        <f t="shared" si="70"/>
        <v>36.442954730074739</v>
      </c>
      <c r="AD167" s="1">
        <f t="shared" si="71"/>
        <v>0</v>
      </c>
    </row>
    <row r="168" spans="1:30" ht="15">
      <c r="A168" s="1">
        <v>167</v>
      </c>
      <c r="B168" s="1">
        <f t="shared" si="74"/>
        <v>0</v>
      </c>
      <c r="C168" s="1">
        <f t="shared" si="67"/>
        <v>-0.36906976744186054</v>
      </c>
      <c r="D168" s="1">
        <f t="shared" si="72"/>
        <v>22.236648444905878</v>
      </c>
      <c r="E168">
        <v>183.59</v>
      </c>
      <c r="K168" s="1">
        <f>'Solar Availability and Gener GR'!F168</f>
        <v>0</v>
      </c>
      <c r="L168" s="1">
        <f>'System Load'!D168</f>
        <v>0.36906976744186054</v>
      </c>
      <c r="M168" s="1">
        <f t="shared" si="68"/>
        <v>-0.36906976744186054</v>
      </c>
      <c r="N168" s="1" t="str">
        <f t="shared" si="69"/>
        <v>Buy from Grid</v>
      </c>
      <c r="V168" s="1" t="str">
        <f t="shared" si="81"/>
        <v>discharge</v>
      </c>
      <c r="Y168" s="1">
        <f t="shared" si="66"/>
        <v>6.7757518604651179E-2</v>
      </c>
      <c r="AA168" s="1">
        <f t="shared" si="70"/>
        <v>36.073884962632881</v>
      </c>
      <c r="AD168" s="1">
        <f t="shared" si="71"/>
        <v>0</v>
      </c>
    </row>
    <row r="169" spans="1:30" ht="15">
      <c r="A169" s="1">
        <v>168</v>
      </c>
      <c r="B169" s="1">
        <f t="shared" si="74"/>
        <v>0</v>
      </c>
      <c r="C169" s="1">
        <f t="shared" si="67"/>
        <v>-0.36906976744186054</v>
      </c>
      <c r="D169" s="1">
        <f t="shared" si="72"/>
        <v>21.775311235603553</v>
      </c>
      <c r="E169">
        <v>210</v>
      </c>
      <c r="K169" s="1">
        <f>'Solar Availability and Gener GR'!F169</f>
        <v>0</v>
      </c>
      <c r="L169" s="1">
        <f>'System Load'!D169</f>
        <v>0.36906976744186054</v>
      </c>
      <c r="M169" s="1">
        <f t="shared" si="68"/>
        <v>-0.36906976744186054</v>
      </c>
      <c r="N169" s="1" t="str">
        <f t="shared" si="69"/>
        <v>Buy from Grid</v>
      </c>
      <c r="V169" s="1" t="str">
        <f t="shared" si="81"/>
        <v>discharge</v>
      </c>
      <c r="Y169" s="1">
        <f t="shared" si="66"/>
        <v>7.7504651162790705E-2</v>
      </c>
      <c r="AA169" s="1">
        <f t="shared" si="70"/>
        <v>35.704815195191024</v>
      </c>
      <c r="AD169" s="1">
        <f t="shared" si="71"/>
        <v>0</v>
      </c>
    </row>
    <row r="170" spans="1:30" ht="15">
      <c r="A170" s="1">
        <v>169</v>
      </c>
      <c r="B170" s="1">
        <f t="shared" si="74"/>
        <v>0</v>
      </c>
      <c r="C170" s="1">
        <f t="shared" si="67"/>
        <v>-0.36906976744186054</v>
      </c>
      <c r="D170" s="1">
        <f t="shared" si="72"/>
        <v>21.313974026301228</v>
      </c>
      <c r="E170">
        <v>165.01</v>
      </c>
      <c r="K170" s="1">
        <f>'Solar Availability and Gener GR'!F170</f>
        <v>0</v>
      </c>
      <c r="L170" s="1">
        <f>'System Load'!D170</f>
        <v>0.36906976744186054</v>
      </c>
      <c r="M170" s="1">
        <f t="shared" si="68"/>
        <v>-0.36906976744186054</v>
      </c>
      <c r="N170" s="1" t="str">
        <f t="shared" si="69"/>
        <v>Buy from Grid</v>
      </c>
      <c r="V170" s="1" t="str">
        <f t="shared" si="81"/>
        <v>discharge</v>
      </c>
      <c r="Y170" s="1">
        <f t="shared" si="66"/>
        <v>6.0900202325581403E-2</v>
      </c>
      <c r="AA170" s="1">
        <f t="shared" si="70"/>
        <v>35.335745427749167</v>
      </c>
      <c r="AD170" s="1">
        <f t="shared" si="71"/>
        <v>0</v>
      </c>
    </row>
    <row r="171" spans="1:30" ht="15">
      <c r="A171" s="1">
        <v>170</v>
      </c>
      <c r="B171" s="1">
        <f t="shared" si="74"/>
        <v>0</v>
      </c>
      <c r="C171" s="1">
        <f t="shared" si="67"/>
        <v>-0.36906976744186054</v>
      </c>
      <c r="D171" s="1">
        <f t="shared" si="72"/>
        <v>20.852636816998903</v>
      </c>
      <c r="E171">
        <v>155.72999999999999</v>
      </c>
      <c r="K171" s="1">
        <f>'Solar Availability and Gener GR'!F171</f>
        <v>0</v>
      </c>
      <c r="L171" s="1">
        <f>'System Load'!D171</f>
        <v>0.36906976744186054</v>
      </c>
      <c r="M171" s="1">
        <f t="shared" si="68"/>
        <v>-0.36906976744186054</v>
      </c>
      <c r="N171" s="1" t="str">
        <f t="shared" si="69"/>
        <v>Buy from Grid</v>
      </c>
      <c r="V171" s="1" t="str">
        <f t="shared" si="81"/>
        <v>discharge</v>
      </c>
      <c r="Y171" s="1">
        <f t="shared" si="66"/>
        <v>5.7475234883720937E-2</v>
      </c>
      <c r="AA171" s="1">
        <f t="shared" si="70"/>
        <v>34.96667566030731</v>
      </c>
      <c r="AD171" s="1">
        <f t="shared" si="71"/>
        <v>0</v>
      </c>
    </row>
    <row r="172" spans="1:30" ht="15">
      <c r="A172" s="1">
        <v>171</v>
      </c>
      <c r="B172" s="1">
        <f t="shared" si="74"/>
        <v>0</v>
      </c>
      <c r="C172" s="1">
        <f t="shared" si="67"/>
        <v>-0.49744186046511629</v>
      </c>
      <c r="D172" s="1">
        <f t="shared" si="72"/>
        <v>20.230834491417507</v>
      </c>
      <c r="E172">
        <v>150</v>
      </c>
      <c r="K172" s="1">
        <f>'Solar Availability and Gener GR'!F172</f>
        <v>0</v>
      </c>
      <c r="L172" s="1">
        <f>'System Load'!D172</f>
        <v>0.49744186046511629</v>
      </c>
      <c r="M172" s="1">
        <f t="shared" si="68"/>
        <v>-0.49744186046511629</v>
      </c>
      <c r="N172" s="1" t="str">
        <f t="shared" si="69"/>
        <v>Buy from Grid</v>
      </c>
      <c r="V172" s="1" t="str">
        <f t="shared" si="81"/>
        <v>discharge</v>
      </c>
      <c r="Y172" s="1">
        <f t="shared" si="66"/>
        <v>7.4616279069767449E-2</v>
      </c>
      <c r="AA172" s="1">
        <f t="shared" si="70"/>
        <v>34.469233799842193</v>
      </c>
      <c r="AD172" s="1">
        <f t="shared" si="71"/>
        <v>0</v>
      </c>
    </row>
    <row r="173" spans="1:30" ht="15">
      <c r="A173" s="1">
        <v>172</v>
      </c>
      <c r="B173" s="1">
        <f t="shared" si="74"/>
        <v>0</v>
      </c>
      <c r="C173" s="1">
        <f t="shared" si="67"/>
        <v>-0.83441860465116291</v>
      </c>
      <c r="D173" s="1">
        <f t="shared" si="72"/>
        <v>19.187811235603554</v>
      </c>
      <c r="E173">
        <v>179.51</v>
      </c>
      <c r="K173" s="1">
        <f>'Solar Availability and Gener GR'!F173</f>
        <v>0</v>
      </c>
      <c r="L173" s="1">
        <f>'System Load'!D173</f>
        <v>0.83441860465116291</v>
      </c>
      <c r="M173" s="1">
        <f t="shared" si="68"/>
        <v>-0.83441860465116291</v>
      </c>
      <c r="N173" s="1" t="str">
        <f t="shared" si="69"/>
        <v>Buy from Grid</v>
      </c>
      <c r="V173" s="1" t="str">
        <f t="shared" si="81"/>
        <v>discharge</v>
      </c>
      <c r="Y173" s="1">
        <f t="shared" si="66"/>
        <v>0.14978648372093026</v>
      </c>
      <c r="AA173" s="1">
        <f t="shared" si="70"/>
        <v>33.634815195191031</v>
      </c>
      <c r="AD173" s="1">
        <f t="shared" si="71"/>
        <v>0</v>
      </c>
    </row>
    <row r="174" spans="1:30" ht="15">
      <c r="A174" s="1">
        <v>173</v>
      </c>
      <c r="B174" s="1">
        <f t="shared" si="74"/>
        <v>0</v>
      </c>
      <c r="C174" s="1">
        <f t="shared" si="67"/>
        <v>-0.83441860465116291</v>
      </c>
      <c r="D174" s="1">
        <f t="shared" si="72"/>
        <v>18.144787979789601</v>
      </c>
      <c r="E174">
        <v>216.28</v>
      </c>
      <c r="K174" s="1">
        <f>'Solar Availability and Gener GR'!F174</f>
        <v>0</v>
      </c>
      <c r="L174" s="1">
        <f>'System Load'!D174</f>
        <v>0.83441860465116291</v>
      </c>
      <c r="M174" s="1">
        <f t="shared" si="68"/>
        <v>-0.83441860465116291</v>
      </c>
      <c r="N174" s="1" t="str">
        <f t="shared" si="69"/>
        <v>Buy from Grid</v>
      </c>
      <c r="V174" s="1" t="str">
        <f t="shared" si="81"/>
        <v>discharge</v>
      </c>
      <c r="Y174" s="1">
        <f t="shared" si="66"/>
        <v>0.18046805581395353</v>
      </c>
      <c r="AA174" s="1">
        <f t="shared" si="70"/>
        <v>32.800396590539869</v>
      </c>
      <c r="AD174" s="1">
        <f t="shared" si="71"/>
        <v>0</v>
      </c>
    </row>
    <row r="175" spans="1:30" ht="15">
      <c r="A175" s="1">
        <v>174</v>
      </c>
      <c r="B175" s="1">
        <f t="shared" si="74"/>
        <v>0</v>
      </c>
      <c r="C175" s="1">
        <f t="shared" si="67"/>
        <v>-0.81837209302325586</v>
      </c>
      <c r="D175" s="1">
        <f t="shared" si="72"/>
        <v>17.121822863510531</v>
      </c>
      <c r="E175">
        <v>216.3</v>
      </c>
      <c r="K175" s="1">
        <f>'Solar Availability and Gener GR'!F175</f>
        <v>0</v>
      </c>
      <c r="L175" s="1">
        <f>'System Load'!D175</f>
        <v>0.81837209302325586</v>
      </c>
      <c r="M175" s="1">
        <f t="shared" si="68"/>
        <v>-0.81837209302325586</v>
      </c>
      <c r="N175" s="1" t="str">
        <f t="shared" si="69"/>
        <v>Buy from Grid</v>
      </c>
      <c r="V175" s="1" t="str">
        <f t="shared" si="81"/>
        <v>discharge</v>
      </c>
      <c r="Y175" s="1">
        <f t="shared" si="66"/>
        <v>0.17701388372093027</v>
      </c>
      <c r="AA175" s="1">
        <f t="shared" si="70"/>
        <v>31.982024497516612</v>
      </c>
      <c r="AD175" s="1">
        <f t="shared" si="71"/>
        <v>0</v>
      </c>
    </row>
    <row r="176" spans="1:30" ht="15">
      <c r="A176" s="1">
        <v>175</v>
      </c>
      <c r="B176" s="1">
        <f t="shared" si="74"/>
        <v>0</v>
      </c>
      <c r="C176" s="1">
        <f t="shared" si="67"/>
        <v>-0.48083009156989637</v>
      </c>
      <c r="D176" s="1">
        <f t="shared" si="72"/>
        <v>16.52078524904816</v>
      </c>
      <c r="E176">
        <v>270.76</v>
      </c>
      <c r="K176" s="1">
        <f>'Solar Availability and Gener GR'!F176</f>
        <v>1.6611768895219918E-2</v>
      </c>
      <c r="L176" s="1">
        <f>'System Load'!D176</f>
        <v>0.49744186046511629</v>
      </c>
      <c r="M176" s="1">
        <f t="shared" si="68"/>
        <v>-0.48083009156989637</v>
      </c>
      <c r="N176" s="1" t="str">
        <f t="shared" si="69"/>
        <v>Buy from Grid</v>
      </c>
      <c r="V176" s="1" t="str">
        <f t="shared" si="81"/>
        <v>discharge</v>
      </c>
      <c r="Y176" s="1">
        <f t="shared" si="66"/>
        <v>0.13468735813953489</v>
      </c>
      <c r="AA176" s="1">
        <f t="shared" si="70"/>
        <v>31.501194405946716</v>
      </c>
      <c r="AD176" s="1">
        <f t="shared" si="71"/>
        <v>0</v>
      </c>
    </row>
    <row r="177" spans="1:30" ht="15">
      <c r="A177" s="1">
        <v>176</v>
      </c>
      <c r="B177" s="1">
        <f t="shared" si="74"/>
        <v>0</v>
      </c>
      <c r="C177" s="1">
        <f t="shared" si="67"/>
        <v>-0.30886356437324425</v>
      </c>
      <c r="D177" s="1">
        <f t="shared" si="72"/>
        <v>16.134705793581606</v>
      </c>
      <c r="E177">
        <v>263.67</v>
      </c>
      <c r="K177" s="1">
        <f>'Solar Availability and Gener GR'!F177</f>
        <v>0.18857829609187202</v>
      </c>
      <c r="L177" s="1">
        <f>'System Load'!D177</f>
        <v>0.49744186046511629</v>
      </c>
      <c r="M177" s="1">
        <f t="shared" si="68"/>
        <v>-0.30886356437324425</v>
      </c>
      <c r="N177" s="1" t="str">
        <f t="shared" si="69"/>
        <v>Buy from Grid</v>
      </c>
      <c r="V177" s="1" t="str">
        <f t="shared" si="81"/>
        <v>discharge</v>
      </c>
      <c r="Y177" s="1">
        <f t="shared" si="66"/>
        <v>0.13116049534883722</v>
      </c>
      <c r="AA177" s="1">
        <f t="shared" si="70"/>
        <v>31.192330841573472</v>
      </c>
      <c r="AD177" s="1">
        <f t="shared" si="71"/>
        <v>0</v>
      </c>
    </row>
    <row r="178" spans="1:30" ht="15">
      <c r="A178" s="1">
        <v>177</v>
      </c>
      <c r="B178" s="1">
        <f t="shared" si="74"/>
        <v>0</v>
      </c>
      <c r="C178" s="1">
        <f t="shared" si="67"/>
        <v>-2.2043480691237904E-2</v>
      </c>
      <c r="D178" s="1">
        <f t="shared" si="72"/>
        <v>16.107151442717559</v>
      </c>
      <c r="E178">
        <v>170.5</v>
      </c>
      <c r="K178" s="1">
        <f>'Solar Availability and Gener GR'!F178</f>
        <v>0.47539837977387839</v>
      </c>
      <c r="L178" s="1">
        <f>'System Load'!D178</f>
        <v>0.49744186046511629</v>
      </c>
      <c r="M178" s="1">
        <f t="shared" si="68"/>
        <v>-2.2043480691237904E-2</v>
      </c>
      <c r="N178" s="1" t="str">
        <f t="shared" si="69"/>
        <v>Buy from Grid</v>
      </c>
      <c r="O178" s="1">
        <v>0.25</v>
      </c>
      <c r="P178" s="1">
        <f t="shared" ref="P178:P189" si="82">0.25/L178</f>
        <v>0.5025712949976624</v>
      </c>
      <c r="Q178" s="1">
        <f t="shared" ref="Q178:Q189" si="83">K178-P178*L178</f>
        <v>0.22539837977387842</v>
      </c>
      <c r="R178" s="1">
        <f t="shared" ref="R178:R189" si="84">((1/(E178+0.01))*LN(0.25))+(E178*(K178-0.25))</f>
        <v>38.422293469579394</v>
      </c>
      <c r="S178" s="1">
        <f t="shared" ref="S178:S189" si="85">((1/(E178+0.01))*LN(L178))+(E178*(K178-L178))</f>
        <v>-3.7625086815532023</v>
      </c>
      <c r="T178" s="1">
        <f t="shared" ref="T178:T189" si="86">(S178+((S178^2)-4*(K178-L178*P178)*LN(L178*P178))^(0.5))/(2*(K178-L178*P178))</f>
        <v>0.36065723382783682</v>
      </c>
      <c r="U178" s="1" t="str">
        <f t="shared" ref="U178:U189" si="87">IF(E178&gt;=T178*1.2,"sell to the Grid","charge")</f>
        <v>sell to the Grid</v>
      </c>
      <c r="W178" s="1">
        <f>(Q178*E178)/1000</f>
        <v>3.8430423751446272E-2</v>
      </c>
      <c r="Y178" s="1">
        <f t="shared" si="66"/>
        <v>8.4813837209302329E-2</v>
      </c>
      <c r="AA178" s="1">
        <f t="shared" si="70"/>
        <v>31.170287360882234</v>
      </c>
      <c r="AD178" s="1">
        <f t="shared" si="71"/>
        <v>0.25</v>
      </c>
    </row>
    <row r="179" spans="1:30" ht="15">
      <c r="A179" s="1">
        <v>178</v>
      </c>
      <c r="B179" s="1">
        <f t="shared" si="74"/>
        <v>0</v>
      </c>
      <c r="C179" s="1">
        <f t="shared" si="67"/>
        <v>0</v>
      </c>
      <c r="D179" s="1">
        <f t="shared" si="72"/>
        <v>16.107151442717559</v>
      </c>
      <c r="E179">
        <v>170.14</v>
      </c>
      <c r="K179" s="1">
        <f>'Solar Availability and Gener GR'!F179</f>
        <v>0.86753761239205807</v>
      </c>
      <c r="L179" s="1">
        <f>'System Load'!D179</f>
        <v>0.49744186046511629</v>
      </c>
      <c r="M179" s="1">
        <f t="shared" si="68"/>
        <v>0.37009575192694177</v>
      </c>
      <c r="N179" s="1" t="str">
        <f t="shared" si="69"/>
        <v>sell the surplus or charge</v>
      </c>
      <c r="O179" s="1">
        <v>0.25</v>
      </c>
      <c r="P179" s="1">
        <f t="shared" si="82"/>
        <v>0.5025712949976624</v>
      </c>
      <c r="Q179" s="1">
        <f t="shared" si="83"/>
        <v>0.61753761239205807</v>
      </c>
      <c r="R179" s="1">
        <f t="shared" si="84"/>
        <v>105.05970188862854</v>
      </c>
      <c r="S179" s="1">
        <f t="shared" si="85"/>
        <v>62.963987344559534</v>
      </c>
      <c r="T179" s="1">
        <f t="shared" si="86"/>
        <v>101.98177346777703</v>
      </c>
      <c r="U179" s="1" t="str">
        <f t="shared" si="87"/>
        <v>sell to the Grid</v>
      </c>
      <c r="W179" s="1">
        <f>(Q179*E179)/1000</f>
        <v>0.10506784937238475</v>
      </c>
      <c r="Y179" s="1">
        <f t="shared" si="66"/>
        <v>8.4634758139534888E-2</v>
      </c>
      <c r="AA179" s="1">
        <f t="shared" si="70"/>
        <v>31.540383112809177</v>
      </c>
      <c r="AD179" s="1">
        <f t="shared" si="71"/>
        <v>0.25</v>
      </c>
    </row>
    <row r="180" spans="1:30" ht="15">
      <c r="A180" s="1">
        <v>179</v>
      </c>
      <c r="B180" s="1">
        <f t="shared" si="74"/>
        <v>1.5937193982017253</v>
      </c>
      <c r="C180" s="1">
        <f t="shared" si="67"/>
        <v>0</v>
      </c>
      <c r="D180" s="1">
        <f t="shared" si="72"/>
        <v>17.382126961278939</v>
      </c>
      <c r="E180">
        <v>165</v>
      </c>
      <c r="K180" s="1">
        <f>'Solar Availability and Gener GR'!F180</f>
        <v>1.8437193982017253</v>
      </c>
      <c r="L180" s="1">
        <f>'System Load'!D180</f>
        <v>0.49744186046511629</v>
      </c>
      <c r="M180" s="1">
        <f t="shared" si="68"/>
        <v>1.346277537736609</v>
      </c>
      <c r="N180" s="1" t="str">
        <f t="shared" si="69"/>
        <v>sell the surplus or charge</v>
      </c>
      <c r="O180" s="1">
        <v>0.25</v>
      </c>
      <c r="P180" s="1">
        <f t="shared" si="82"/>
        <v>0.5025712949976624</v>
      </c>
      <c r="Q180" s="1">
        <f t="shared" si="83"/>
        <v>1.5937193982017253</v>
      </c>
      <c r="R180" s="1">
        <f t="shared" si="84"/>
        <v>262.95529942844604</v>
      </c>
      <c r="S180" s="1">
        <f t="shared" si="85"/>
        <v>222.13156200365944</v>
      </c>
      <c r="T180" s="1">
        <f t="shared" si="86"/>
        <v>139.38558318718296</v>
      </c>
      <c r="U180" s="1" t="str">
        <f t="shared" si="87"/>
        <v>charge</v>
      </c>
      <c r="Y180" s="1">
        <f t="shared" si="66"/>
        <v>8.2077906976744192E-2</v>
      </c>
      <c r="AA180" s="1">
        <f t="shared" si="70"/>
        <v>32.886660650545785</v>
      </c>
      <c r="AD180" s="1">
        <f t="shared" si="71"/>
        <v>0.25</v>
      </c>
    </row>
    <row r="181" spans="1:30" ht="15">
      <c r="A181" s="1">
        <v>180</v>
      </c>
      <c r="B181" s="1">
        <f t="shared" si="74"/>
        <v>2.4645820350752228</v>
      </c>
      <c r="C181" s="1">
        <f t="shared" si="67"/>
        <v>0</v>
      </c>
      <c r="D181" s="1">
        <f t="shared" si="72"/>
        <v>19.353792589339118</v>
      </c>
      <c r="E181">
        <v>150</v>
      </c>
      <c r="K181" s="1">
        <f>'Solar Availability and Gener GR'!F181</f>
        <v>2.7145820350752228</v>
      </c>
      <c r="L181" s="1">
        <f>'System Load'!D181</f>
        <v>0.49744186046511629</v>
      </c>
      <c r="M181" s="1">
        <f t="shared" si="68"/>
        <v>2.2171401746101065</v>
      </c>
      <c r="N181" s="1" t="str">
        <f t="shared" si="69"/>
        <v>sell the surplus or charge</v>
      </c>
      <c r="O181" s="1">
        <v>0.25</v>
      </c>
      <c r="P181" s="1">
        <f t="shared" si="82"/>
        <v>0.5025712949976624</v>
      </c>
      <c r="Q181" s="1">
        <f t="shared" si="83"/>
        <v>2.4645820350752228</v>
      </c>
      <c r="R181" s="1">
        <f t="shared" si="84"/>
        <v>369.67806391496572</v>
      </c>
      <c r="S181" s="1">
        <f t="shared" si="85"/>
        <v>332.56637132455643</v>
      </c>
      <c r="T181" s="1">
        <f t="shared" si="86"/>
        <v>134.94241206860505</v>
      </c>
      <c r="U181" s="1" t="str">
        <f t="shared" si="87"/>
        <v>charge</v>
      </c>
      <c r="Y181" s="1">
        <f t="shared" si="66"/>
        <v>7.4616279069767449E-2</v>
      </c>
      <c r="AA181" s="1">
        <f t="shared" si="70"/>
        <v>35.103800825155894</v>
      </c>
      <c r="AD181" s="1">
        <f t="shared" si="71"/>
        <v>0.25</v>
      </c>
    </row>
    <row r="182" spans="1:30" ht="15">
      <c r="A182" s="1">
        <v>181</v>
      </c>
      <c r="B182" s="1">
        <f t="shared" si="74"/>
        <v>2.7705377014154697</v>
      </c>
      <c r="C182" s="1">
        <f t="shared" si="67"/>
        <v>0</v>
      </c>
      <c r="D182" s="1">
        <f t="shared" si="72"/>
        <v>21.570222750471494</v>
      </c>
      <c r="E182">
        <v>160</v>
      </c>
      <c r="K182" s="1">
        <f>'Solar Availability and Gener GR'!F182</f>
        <v>3.0205377014154697</v>
      </c>
      <c r="L182" s="1">
        <f>'System Load'!D182</f>
        <v>0.49744186046511629</v>
      </c>
      <c r="M182" s="1">
        <f t="shared" si="68"/>
        <v>2.5230958409503534</v>
      </c>
      <c r="N182" s="1" t="str">
        <f t="shared" si="69"/>
        <v>sell the surplus or charge</v>
      </c>
      <c r="O182" s="1">
        <v>0.25</v>
      </c>
      <c r="P182" s="1">
        <f t="shared" si="82"/>
        <v>0.5025712949976624</v>
      </c>
      <c r="Q182" s="1">
        <f t="shared" si="83"/>
        <v>2.7705377014154697</v>
      </c>
      <c r="R182" s="1">
        <f t="shared" si="84"/>
        <v>443.27736842820559</v>
      </c>
      <c r="S182" s="1">
        <f t="shared" si="85"/>
        <v>403.6909705961001</v>
      </c>
      <c r="T182" s="1">
        <f t="shared" si="86"/>
        <v>145.71196209544217</v>
      </c>
      <c r="U182" s="1" t="str">
        <f t="shared" si="87"/>
        <v>charge</v>
      </c>
      <c r="Y182" s="1">
        <f t="shared" si="66"/>
        <v>7.9590697674418606E-2</v>
      </c>
      <c r="AA182" s="1">
        <f t="shared" si="70"/>
        <v>37.626896666106248</v>
      </c>
      <c r="AD182" s="1">
        <f t="shared" si="71"/>
        <v>0.25</v>
      </c>
    </row>
    <row r="183" spans="1:30" ht="15">
      <c r="A183" s="1">
        <v>182</v>
      </c>
      <c r="B183" s="1">
        <f t="shared" si="74"/>
        <v>2.8658417163714054</v>
      </c>
      <c r="C183" s="1">
        <f t="shared" si="67"/>
        <v>0</v>
      </c>
      <c r="D183" s="1">
        <f t="shared" si="72"/>
        <v>23.862896123568618</v>
      </c>
      <c r="E183">
        <v>152.4</v>
      </c>
      <c r="K183" s="1">
        <f>'Solar Availability and Gener GR'!F183</f>
        <v>3.1158417163714054</v>
      </c>
      <c r="L183" s="1">
        <f>'System Load'!D183</f>
        <v>0.49744186046511629</v>
      </c>
      <c r="M183" s="1">
        <f t="shared" si="68"/>
        <v>2.6183998559062891</v>
      </c>
      <c r="N183" s="1" t="str">
        <f t="shared" si="69"/>
        <v>sell the surplus or charge</v>
      </c>
      <c r="O183" s="1">
        <v>0.25</v>
      </c>
      <c r="P183" s="1">
        <f t="shared" si="82"/>
        <v>0.5025712949976624</v>
      </c>
      <c r="Q183" s="1">
        <f t="shared" si="83"/>
        <v>2.8658417163714054</v>
      </c>
      <c r="R183" s="1">
        <f t="shared" si="84"/>
        <v>436.7451817521486</v>
      </c>
      <c r="S183" s="1">
        <f t="shared" si="85"/>
        <v>399.03955647334072</v>
      </c>
      <c r="T183" s="1">
        <f t="shared" si="86"/>
        <v>139.24338881023226</v>
      </c>
      <c r="U183" s="1" t="str">
        <f t="shared" si="87"/>
        <v>charge</v>
      </c>
      <c r="Y183" s="1">
        <f t="shared" si="66"/>
        <v>7.5810139534883733E-2</v>
      </c>
      <c r="AA183" s="1">
        <f t="shared" si="70"/>
        <v>40.245296522012538</v>
      </c>
      <c r="AD183" s="1">
        <f t="shared" si="71"/>
        <v>0.25</v>
      </c>
    </row>
    <row r="184" spans="1:30" ht="15">
      <c r="A184" s="1">
        <v>183</v>
      </c>
      <c r="B184" s="1">
        <f t="shared" si="74"/>
        <v>2.7601086085640518</v>
      </c>
      <c r="C184" s="1">
        <f t="shared" si="67"/>
        <v>0</v>
      </c>
      <c r="D184" s="1">
        <f t="shared" si="72"/>
        <v>26.070983010419859</v>
      </c>
      <c r="E184">
        <v>165</v>
      </c>
      <c r="K184" s="1">
        <f>'Solar Availability and Gener GR'!F184</f>
        <v>3.0101086085640518</v>
      </c>
      <c r="L184" s="1">
        <f>'System Load'!D184</f>
        <v>0.49744186046511629</v>
      </c>
      <c r="M184" s="1">
        <f t="shared" si="68"/>
        <v>2.5126667480989355</v>
      </c>
      <c r="N184" s="1" t="str">
        <f t="shared" si="69"/>
        <v>sell the surplus or charge</v>
      </c>
      <c r="O184" s="1">
        <v>0.25</v>
      </c>
      <c r="P184" s="1">
        <f t="shared" si="82"/>
        <v>0.5025712949976624</v>
      </c>
      <c r="Q184" s="1">
        <f t="shared" si="83"/>
        <v>2.7601086085640518</v>
      </c>
      <c r="R184" s="1">
        <f t="shared" si="84"/>
        <v>455.40951913822994</v>
      </c>
      <c r="S184" s="1">
        <f t="shared" si="85"/>
        <v>414.58578171344328</v>
      </c>
      <c r="T184" s="1">
        <f t="shared" si="86"/>
        <v>150.20967272407216</v>
      </c>
      <c r="U184" s="1" t="str">
        <f t="shared" si="87"/>
        <v>charge</v>
      </c>
      <c r="Y184" s="1">
        <f t="shared" si="66"/>
        <v>8.2077906976744192E-2</v>
      </c>
      <c r="AA184" s="1">
        <f t="shared" si="70"/>
        <v>42.757963270111475</v>
      </c>
      <c r="AD184" s="1">
        <f t="shared" si="71"/>
        <v>0.25</v>
      </c>
    </row>
    <row r="185" spans="1:30" ht="15">
      <c r="A185" s="1">
        <v>184</v>
      </c>
      <c r="B185" s="1">
        <f t="shared" si="74"/>
        <v>0</v>
      </c>
      <c r="C185" s="1">
        <f t="shared" si="67"/>
        <v>0</v>
      </c>
      <c r="D185" s="1">
        <f t="shared" si="72"/>
        <v>26.070983010419859</v>
      </c>
      <c r="E185">
        <v>216</v>
      </c>
      <c r="K185" s="1">
        <f>'Solar Availability and Gener GR'!F185</f>
        <v>2.732048428736757</v>
      </c>
      <c r="L185" s="1">
        <f>'System Load'!D185</f>
        <v>0.81837209302325586</v>
      </c>
      <c r="M185" s="1">
        <f t="shared" si="68"/>
        <v>1.9136763357135012</v>
      </c>
      <c r="N185" s="1" t="str">
        <f t="shared" si="69"/>
        <v>sell the surplus or charge</v>
      </c>
      <c r="O185" s="1">
        <v>0.25</v>
      </c>
      <c r="P185" s="1">
        <f t="shared" si="82"/>
        <v>0.30548451264563797</v>
      </c>
      <c r="Q185" s="1">
        <f t="shared" si="83"/>
        <v>2.482048428736757</v>
      </c>
      <c r="R185" s="1">
        <f t="shared" si="84"/>
        <v>536.11604287480714</v>
      </c>
      <c r="S185" s="1">
        <f t="shared" si="85"/>
        <v>413.3531606026105</v>
      </c>
      <c r="T185" s="1">
        <f t="shared" si="86"/>
        <v>166.54045903629884</v>
      </c>
      <c r="U185" s="1" t="str">
        <f t="shared" si="87"/>
        <v>sell to the Grid</v>
      </c>
      <c r="Y185" s="1">
        <f t="shared" si="66"/>
        <v>0.17676837209302326</v>
      </c>
      <c r="AA185" s="1">
        <f t="shared" si="70"/>
        <v>44.671639605824979</v>
      </c>
      <c r="AD185" s="1">
        <f t="shared" si="71"/>
        <v>0.25</v>
      </c>
    </row>
    <row r="186" spans="1:30" ht="15">
      <c r="A186" s="1">
        <v>185</v>
      </c>
      <c r="B186" s="1">
        <f t="shared" si="74"/>
        <v>0</v>
      </c>
      <c r="C186" s="1">
        <f t="shared" si="67"/>
        <v>0</v>
      </c>
      <c r="D186" s="1">
        <f t="shared" si="72"/>
        <v>26.070983010419859</v>
      </c>
      <c r="E186">
        <v>244.56</v>
      </c>
      <c r="K186" s="1">
        <f>'Solar Availability and Gener GR'!F186</f>
        <v>2.2528977120982803</v>
      </c>
      <c r="L186" s="1">
        <f>'System Load'!D186</f>
        <v>0.83441860465116291</v>
      </c>
      <c r="M186" s="1">
        <f t="shared" si="68"/>
        <v>1.4184791074471175</v>
      </c>
      <c r="N186" s="1" t="str">
        <f t="shared" si="69"/>
        <v>sell the surplus or charge</v>
      </c>
      <c r="O186" s="1">
        <v>0.25</v>
      </c>
      <c r="P186" s="1">
        <f t="shared" si="82"/>
        <v>0.29960981047937563</v>
      </c>
      <c r="Q186" s="1">
        <f t="shared" si="83"/>
        <v>2.0028977120982803</v>
      </c>
      <c r="R186" s="1">
        <f t="shared" si="84"/>
        <v>489.82299617799214</v>
      </c>
      <c r="S186" s="1">
        <f t="shared" si="85"/>
        <v>346.90251036075358</v>
      </c>
      <c r="T186" s="1">
        <f t="shared" si="86"/>
        <v>173.20430897452681</v>
      </c>
      <c r="U186" s="1" t="str">
        <f t="shared" si="87"/>
        <v>sell to the Grid</v>
      </c>
      <c r="W186" s="1">
        <f>(Q186*E186)/1000</f>
        <v>0.4898286644707554</v>
      </c>
      <c r="Y186" s="1">
        <f t="shared" si="66"/>
        <v>0.20406541395348843</v>
      </c>
      <c r="AA186" s="1">
        <f t="shared" si="70"/>
        <v>46.090118713272098</v>
      </c>
      <c r="AD186" s="1">
        <f t="shared" si="71"/>
        <v>0.25</v>
      </c>
    </row>
    <row r="187" spans="1:30" ht="15">
      <c r="A187" s="1">
        <v>186</v>
      </c>
      <c r="B187" s="1">
        <f t="shared" si="74"/>
        <v>0</v>
      </c>
      <c r="C187" s="1">
        <f t="shared" si="67"/>
        <v>0</v>
      </c>
      <c r="D187" s="1">
        <f t="shared" si="72"/>
        <v>26.070983010419859</v>
      </c>
      <c r="E187">
        <v>328.16</v>
      </c>
      <c r="K187" s="1">
        <f>'Solar Availability and Gener GR'!F187</f>
        <v>1.6588800854624735</v>
      </c>
      <c r="L187" s="1">
        <f>'System Load'!D187</f>
        <v>0.81837209302325586</v>
      </c>
      <c r="M187" s="1">
        <f t="shared" si="68"/>
        <v>0.84050799243921759</v>
      </c>
      <c r="N187" s="1" t="str">
        <f t="shared" si="69"/>
        <v>sell the surplus or charge</v>
      </c>
      <c r="O187" s="1">
        <v>0.25</v>
      </c>
      <c r="P187" s="1">
        <f t="shared" si="82"/>
        <v>0.30548451264563797</v>
      </c>
      <c r="Q187" s="1">
        <f t="shared" si="83"/>
        <v>1.4088800854624735</v>
      </c>
      <c r="R187" s="1">
        <f t="shared" si="84"/>
        <v>462.33386452759981</v>
      </c>
      <c r="S187" s="1">
        <f t="shared" si="85"/>
        <v>275.82049202344956</v>
      </c>
      <c r="T187" s="1">
        <f t="shared" si="86"/>
        <v>195.77789183349412</v>
      </c>
      <c r="U187" s="1" t="str">
        <f t="shared" si="87"/>
        <v>sell to the Grid</v>
      </c>
      <c r="W187" s="1">
        <f>(Q187*E187)/1000</f>
        <v>0.46233808884536537</v>
      </c>
      <c r="Y187" s="1">
        <f t="shared" si="66"/>
        <v>0.26855698604651168</v>
      </c>
      <c r="AA187" s="1">
        <f t="shared" si="70"/>
        <v>46.930626705711319</v>
      </c>
      <c r="AD187" s="1">
        <f t="shared" si="71"/>
        <v>0.25</v>
      </c>
    </row>
    <row r="188" spans="1:30" ht="15">
      <c r="A188" s="1">
        <v>187</v>
      </c>
      <c r="B188" s="1">
        <f t="shared" si="74"/>
        <v>0</v>
      </c>
      <c r="C188" s="1">
        <f t="shared" si="67"/>
        <v>0</v>
      </c>
      <c r="D188" s="1">
        <f t="shared" si="72"/>
        <v>26.070983010419859</v>
      </c>
      <c r="E188">
        <v>293.60000000000002</v>
      </c>
      <c r="K188" s="1">
        <f>'Solar Availability and Gener GR'!F188</f>
        <v>1.6588800854624735</v>
      </c>
      <c r="L188" s="1">
        <f>'System Load'!D188</f>
        <v>0.83441860465116291</v>
      </c>
      <c r="M188" s="1">
        <f t="shared" si="68"/>
        <v>0.82446148081131054</v>
      </c>
      <c r="N188" s="1" t="str">
        <f t="shared" si="69"/>
        <v>sell the surplus or charge</v>
      </c>
      <c r="O188" s="1">
        <v>0.25</v>
      </c>
      <c r="P188" s="1">
        <f t="shared" si="82"/>
        <v>0.29960981047937563</v>
      </c>
      <c r="Q188" s="1">
        <f t="shared" si="83"/>
        <v>1.4088800854624735</v>
      </c>
      <c r="R188" s="1">
        <f t="shared" si="84"/>
        <v>413.64247154155873</v>
      </c>
      <c r="S188" s="1">
        <f t="shared" si="85"/>
        <v>242.06127423379897</v>
      </c>
      <c r="T188" s="1">
        <f t="shared" si="86"/>
        <v>171.81685309762429</v>
      </c>
      <c r="U188" s="1" t="str">
        <f t="shared" si="87"/>
        <v>sell to the Grid</v>
      </c>
      <c r="W188" s="1">
        <f>(Q188*E188)/1000</f>
        <v>0.41364719309178222</v>
      </c>
      <c r="Y188" s="1">
        <f t="shared" si="66"/>
        <v>0.24498530232558144</v>
      </c>
      <c r="AA188" s="1">
        <f t="shared" si="70"/>
        <v>47.755088186522627</v>
      </c>
      <c r="AD188" s="1">
        <f t="shared" si="71"/>
        <v>0.25</v>
      </c>
    </row>
    <row r="189" spans="1:30" ht="15">
      <c r="A189" s="1">
        <v>188</v>
      </c>
      <c r="B189" s="1">
        <f t="shared" si="74"/>
        <v>0</v>
      </c>
      <c r="C189" s="1">
        <f t="shared" si="67"/>
        <v>0</v>
      </c>
      <c r="D189" s="1">
        <f t="shared" si="72"/>
        <v>26.070983010419859</v>
      </c>
      <c r="E189">
        <v>341.35</v>
      </c>
      <c r="K189" s="1">
        <f>'Solar Availability and Gener GR'!F189</f>
        <v>0.89248197275883356</v>
      </c>
      <c r="L189" s="1">
        <f>'System Load'!D189</f>
        <v>0.49744186046511629</v>
      </c>
      <c r="M189" s="1">
        <f t="shared" si="68"/>
        <v>0.39504011229371727</v>
      </c>
      <c r="N189" s="1" t="str">
        <f t="shared" si="69"/>
        <v>sell the surplus or charge</v>
      </c>
      <c r="O189" s="1">
        <v>0.25</v>
      </c>
      <c r="P189" s="1">
        <f t="shared" si="82"/>
        <v>0.5025712949976624</v>
      </c>
      <c r="Q189" s="1">
        <f t="shared" si="83"/>
        <v>0.64248197275883356</v>
      </c>
      <c r="R189" s="1">
        <f t="shared" si="84"/>
        <v>219.30716030923955</v>
      </c>
      <c r="S189" s="1">
        <f t="shared" si="85"/>
        <v>134.84489675906588</v>
      </c>
      <c r="T189" s="1">
        <f t="shared" si="86"/>
        <v>209.89149468954631</v>
      </c>
      <c r="U189" s="1" t="str">
        <f t="shared" si="87"/>
        <v>sell to the Grid</v>
      </c>
      <c r="W189" s="1">
        <f>(Q189*E189)/1000</f>
        <v>0.21931122140122783</v>
      </c>
      <c r="Y189" s="1">
        <f t="shared" si="66"/>
        <v>0.16980177906976746</v>
      </c>
      <c r="AA189" s="1">
        <f t="shared" si="70"/>
        <v>48.150128298816341</v>
      </c>
      <c r="AD189" s="1">
        <f t="shared" si="71"/>
        <v>0.25</v>
      </c>
    </row>
    <row r="190" spans="1:30" ht="15">
      <c r="A190" s="1">
        <v>189</v>
      </c>
      <c r="B190" s="1">
        <f t="shared" si="74"/>
        <v>0</v>
      </c>
      <c r="C190" s="1">
        <f t="shared" si="67"/>
        <v>0</v>
      </c>
      <c r="D190" s="1">
        <f t="shared" si="72"/>
        <v>26.070983010419859</v>
      </c>
      <c r="E190">
        <v>310.06</v>
      </c>
      <c r="K190" s="1">
        <f>'Solar Availability and Gener GR'!F190</f>
        <v>0.26016647378260532</v>
      </c>
      <c r="L190" s="1">
        <f>'System Load'!D190</f>
        <v>0.49744186046511629</v>
      </c>
      <c r="M190" s="1">
        <f t="shared" si="68"/>
        <v>-0.23727538668251097</v>
      </c>
      <c r="N190" s="1" t="str">
        <f t="shared" si="69"/>
        <v>Buy from Grid</v>
      </c>
      <c r="V190" s="1" t="str">
        <f t="shared" ref="V190:V202" si="88">IF(D190+M190&gt;0,"discharge","buy from the Grid")</f>
        <v>discharge</v>
      </c>
      <c r="Y190" s="1">
        <f t="shared" si="66"/>
        <v>0.15423682325581395</v>
      </c>
      <c r="AA190" s="1">
        <f t="shared" si="70"/>
        <v>47.912852912133829</v>
      </c>
      <c r="AD190" s="1">
        <f t="shared" si="71"/>
        <v>0</v>
      </c>
    </row>
    <row r="191" spans="1:30" ht="15">
      <c r="A191" s="1">
        <v>190</v>
      </c>
      <c r="B191" s="1">
        <f t="shared" si="74"/>
        <v>0</v>
      </c>
      <c r="C191" s="1">
        <f t="shared" si="67"/>
        <v>-0.48658545523053914</v>
      </c>
      <c r="D191" s="1">
        <f t="shared" si="72"/>
        <v>25.462751191381685</v>
      </c>
      <c r="E191">
        <v>270.10000000000002</v>
      </c>
      <c r="K191" s="1">
        <f>'Solar Availability and Gener GR'!F191</f>
        <v>1.0856405234577132E-2</v>
      </c>
      <c r="L191" s="1">
        <f>'System Load'!D191</f>
        <v>0.49744186046511629</v>
      </c>
      <c r="M191" s="1">
        <f t="shared" si="68"/>
        <v>-0.48658545523053914</v>
      </c>
      <c r="N191" s="1" t="str">
        <f t="shared" si="69"/>
        <v>Buy from Grid</v>
      </c>
      <c r="V191" s="1" t="str">
        <f t="shared" si="88"/>
        <v>discharge</v>
      </c>
      <c r="Y191" s="1">
        <f t="shared" si="66"/>
        <v>0.13435904651162792</v>
      </c>
      <c r="AA191" s="1">
        <f t="shared" si="70"/>
        <v>47.42626745690329</v>
      </c>
      <c r="AD191" s="1">
        <f t="shared" si="71"/>
        <v>0</v>
      </c>
    </row>
    <row r="192" spans="1:30" ht="15">
      <c r="A192" s="1">
        <v>191</v>
      </c>
      <c r="B192" s="1">
        <f t="shared" si="74"/>
        <v>0</v>
      </c>
      <c r="C192" s="1">
        <f t="shared" si="67"/>
        <v>-0.36906976744186054</v>
      </c>
      <c r="D192" s="1">
        <f t="shared" si="72"/>
        <v>25.001413982079359</v>
      </c>
      <c r="E192">
        <v>264.81</v>
      </c>
      <c r="K192" s="1">
        <f>'Solar Availability and Gener GR'!F192</f>
        <v>0</v>
      </c>
      <c r="L192" s="1">
        <f>'System Load'!D192</f>
        <v>0.36906976744186054</v>
      </c>
      <c r="M192" s="1">
        <f t="shared" si="68"/>
        <v>-0.36906976744186054</v>
      </c>
      <c r="N192" s="1" t="str">
        <f t="shared" si="69"/>
        <v>Buy from Grid</v>
      </c>
      <c r="V192" s="1" t="str">
        <f t="shared" si="88"/>
        <v>discharge</v>
      </c>
      <c r="Y192" s="1">
        <f t="shared" si="66"/>
        <v>9.7733365116279086E-2</v>
      </c>
      <c r="AA192" s="1">
        <f t="shared" si="70"/>
        <v>47.057197689461432</v>
      </c>
      <c r="AD192" s="1">
        <f t="shared" si="71"/>
        <v>0</v>
      </c>
    </row>
    <row r="193" spans="1:30" ht="15">
      <c r="A193" s="1">
        <v>192</v>
      </c>
      <c r="B193" s="1">
        <f t="shared" si="74"/>
        <v>0</v>
      </c>
      <c r="C193" s="1">
        <f t="shared" si="67"/>
        <v>-0.38511627906976742</v>
      </c>
      <c r="D193" s="1">
        <f t="shared" si="72"/>
        <v>24.520018633242149</v>
      </c>
      <c r="E193">
        <v>211.47</v>
      </c>
      <c r="K193" s="1">
        <f>'Solar Availability and Gener GR'!F193</f>
        <v>0</v>
      </c>
      <c r="L193" s="1">
        <f>'System Load'!D193</f>
        <v>0.38511627906976742</v>
      </c>
      <c r="M193" s="1">
        <f t="shared" si="68"/>
        <v>-0.38511627906976742</v>
      </c>
      <c r="N193" s="1" t="str">
        <f t="shared" si="69"/>
        <v>Buy from Grid</v>
      </c>
      <c r="V193" s="1" t="str">
        <f t="shared" si="88"/>
        <v>discharge</v>
      </c>
      <c r="Y193" s="1">
        <f t="shared" si="66"/>
        <v>8.1440539534883713E-2</v>
      </c>
      <c r="AA193" s="1">
        <f t="shared" si="70"/>
        <v>46.672081410391662</v>
      </c>
      <c r="AD193" s="1">
        <f t="shared" si="71"/>
        <v>0</v>
      </c>
    </row>
    <row r="194" spans="1:30" ht="15">
      <c r="A194" s="1">
        <v>193</v>
      </c>
      <c r="B194" s="1">
        <f t="shared" si="74"/>
        <v>0</v>
      </c>
      <c r="C194" s="1">
        <f t="shared" si="67"/>
        <v>-0.36906976744186054</v>
      </c>
      <c r="D194" s="1">
        <f t="shared" si="72"/>
        <v>24.058681423939824</v>
      </c>
      <c r="E194">
        <v>164.67</v>
      </c>
      <c r="K194" s="1">
        <f>'Solar Availability and Gener GR'!F194</f>
        <v>0</v>
      </c>
      <c r="L194" s="1">
        <f>'System Load'!D194</f>
        <v>0.36906976744186054</v>
      </c>
      <c r="M194" s="1">
        <f t="shared" si="68"/>
        <v>-0.36906976744186054</v>
      </c>
      <c r="N194" s="1" t="str">
        <f t="shared" si="69"/>
        <v>Buy from Grid</v>
      </c>
      <c r="V194" s="1" t="str">
        <f t="shared" si="88"/>
        <v>discharge</v>
      </c>
      <c r="Y194" s="1">
        <f t="shared" ref="Y194:Y257" si="89">(L194*E194)/1000</f>
        <v>6.0774718604651168E-2</v>
      </c>
      <c r="AA194" s="1">
        <f t="shared" si="70"/>
        <v>46.303011642949805</v>
      </c>
      <c r="AD194" s="1">
        <f t="shared" si="71"/>
        <v>0</v>
      </c>
    </row>
    <row r="195" spans="1:30" ht="15">
      <c r="A195" s="1">
        <v>194</v>
      </c>
      <c r="B195" s="1">
        <f t="shared" si="74"/>
        <v>0</v>
      </c>
      <c r="C195" s="1">
        <f t="shared" ref="C195:C258" si="90">IF(V194="discharge",M195,0)</f>
        <v>-0.36906976744186054</v>
      </c>
      <c r="D195" s="1">
        <f t="shared" si="72"/>
        <v>23.597344214637499</v>
      </c>
      <c r="E195">
        <v>150</v>
      </c>
      <c r="K195" s="1">
        <f>'Solar Availability and Gener GR'!F195</f>
        <v>0</v>
      </c>
      <c r="L195" s="1">
        <f>'System Load'!D195</f>
        <v>0.36906976744186054</v>
      </c>
      <c r="M195" s="1">
        <f t="shared" ref="M195:M258" si="91">K195-L195</f>
        <v>-0.36906976744186054</v>
      </c>
      <c r="N195" s="1" t="str">
        <f t="shared" ref="N195:N258" si="92">IF(M195&lt;0,"Buy from Grid","sell the surplus or charge")</f>
        <v>Buy from Grid</v>
      </c>
      <c r="V195" s="1" t="str">
        <f t="shared" si="88"/>
        <v>discharge</v>
      </c>
      <c r="Y195" s="1">
        <f t="shared" si="89"/>
        <v>5.5360465116279081E-2</v>
      </c>
      <c r="AA195" s="1">
        <f t="shared" ref="AA195:AA258" si="93">M195+AA194</f>
        <v>45.933941875507948</v>
      </c>
      <c r="AD195" s="1">
        <f t="shared" ref="AD195:AD258" si="94">AC195+O195</f>
        <v>0</v>
      </c>
    </row>
    <row r="196" spans="1:30" ht="15">
      <c r="A196" s="1">
        <v>195</v>
      </c>
      <c r="B196" s="1">
        <f t="shared" si="74"/>
        <v>0</v>
      </c>
      <c r="C196" s="1">
        <f t="shared" si="90"/>
        <v>-0.36906976744186054</v>
      </c>
      <c r="D196" s="1">
        <f t="shared" ref="D196:D259" si="95">(D195)+(B196*0.8)+(C196/0.8)</f>
        <v>23.136007005335173</v>
      </c>
      <c r="E196">
        <v>151.04</v>
      </c>
      <c r="K196" s="1">
        <f>'Solar Availability and Gener GR'!F196</f>
        <v>0</v>
      </c>
      <c r="L196" s="1">
        <f>'System Load'!D196</f>
        <v>0.36906976744186054</v>
      </c>
      <c r="M196" s="1">
        <f t="shared" si="91"/>
        <v>-0.36906976744186054</v>
      </c>
      <c r="N196" s="1" t="str">
        <f t="shared" si="92"/>
        <v>Buy from Grid</v>
      </c>
      <c r="V196" s="1" t="str">
        <f t="shared" si="88"/>
        <v>discharge</v>
      </c>
      <c r="Y196" s="1">
        <f t="shared" si="89"/>
        <v>5.5744297674418609E-2</v>
      </c>
      <c r="AA196" s="1">
        <f t="shared" si="93"/>
        <v>45.564872108066091</v>
      </c>
      <c r="AD196" s="1">
        <f t="shared" si="94"/>
        <v>0</v>
      </c>
    </row>
    <row r="197" spans="1:30" ht="15">
      <c r="A197" s="1">
        <v>196</v>
      </c>
      <c r="B197" s="1">
        <f t="shared" si="74"/>
        <v>0</v>
      </c>
      <c r="C197" s="1">
        <f t="shared" si="90"/>
        <v>-0.49744186046511629</v>
      </c>
      <c r="D197" s="1">
        <f t="shared" si="95"/>
        <v>22.514204679753778</v>
      </c>
      <c r="E197">
        <v>100</v>
      </c>
      <c r="K197" s="1">
        <f>'Solar Availability and Gener GR'!F197</f>
        <v>0</v>
      </c>
      <c r="L197" s="1">
        <f>'System Load'!D197</f>
        <v>0.49744186046511629</v>
      </c>
      <c r="M197" s="1">
        <f t="shared" si="91"/>
        <v>-0.49744186046511629</v>
      </c>
      <c r="N197" s="1" t="str">
        <f t="shared" si="92"/>
        <v>Buy from Grid</v>
      </c>
      <c r="V197" s="1" t="str">
        <f t="shared" si="88"/>
        <v>discharge</v>
      </c>
      <c r="Y197" s="1">
        <f t="shared" si="89"/>
        <v>4.9744186046511631E-2</v>
      </c>
      <c r="AA197" s="1">
        <f t="shared" si="93"/>
        <v>45.067430247600974</v>
      </c>
      <c r="AD197" s="1">
        <f t="shared" si="94"/>
        <v>0</v>
      </c>
    </row>
    <row r="198" spans="1:30" ht="15">
      <c r="A198" s="1">
        <v>197</v>
      </c>
      <c r="B198" s="1">
        <f t="shared" si="74"/>
        <v>0</v>
      </c>
      <c r="C198" s="1">
        <f t="shared" si="90"/>
        <v>-0.83441860465116291</v>
      </c>
      <c r="D198" s="1">
        <f t="shared" si="95"/>
        <v>21.471181423939825</v>
      </c>
      <c r="E198">
        <v>152.37</v>
      </c>
      <c r="K198" s="1">
        <f>'Solar Availability and Gener GR'!F198</f>
        <v>0</v>
      </c>
      <c r="L198" s="1">
        <f>'System Load'!D198</f>
        <v>0.83441860465116291</v>
      </c>
      <c r="M198" s="1">
        <f t="shared" si="91"/>
        <v>-0.83441860465116291</v>
      </c>
      <c r="N198" s="1" t="str">
        <f t="shared" si="92"/>
        <v>Buy from Grid</v>
      </c>
      <c r="V198" s="1" t="str">
        <f t="shared" si="88"/>
        <v>discharge</v>
      </c>
      <c r="Y198" s="1">
        <f t="shared" si="89"/>
        <v>0.12714036279069768</v>
      </c>
      <c r="AA198" s="1">
        <f t="shared" si="93"/>
        <v>44.233011642949812</v>
      </c>
      <c r="AD198" s="1">
        <f t="shared" si="94"/>
        <v>0</v>
      </c>
    </row>
    <row r="199" spans="1:30" ht="15">
      <c r="A199" s="1">
        <v>198</v>
      </c>
      <c r="B199" s="1">
        <f t="shared" si="74"/>
        <v>0</v>
      </c>
      <c r="C199" s="1">
        <f t="shared" si="90"/>
        <v>-0.81837209302325586</v>
      </c>
      <c r="D199" s="1">
        <f t="shared" si="95"/>
        <v>20.448216307660754</v>
      </c>
      <c r="E199">
        <v>276.68</v>
      </c>
      <c r="K199" s="1">
        <f>'Solar Availability and Gener GR'!F199</f>
        <v>0</v>
      </c>
      <c r="L199" s="1">
        <f>'System Load'!D199</f>
        <v>0.81837209302325586</v>
      </c>
      <c r="M199" s="1">
        <f t="shared" si="91"/>
        <v>-0.81837209302325586</v>
      </c>
      <c r="N199" s="1" t="str">
        <f t="shared" si="92"/>
        <v>Buy from Grid</v>
      </c>
      <c r="V199" s="1" t="str">
        <f t="shared" si="88"/>
        <v>discharge</v>
      </c>
      <c r="Y199" s="1">
        <f t="shared" si="89"/>
        <v>0.22642719069767445</v>
      </c>
      <c r="AA199" s="1">
        <f t="shared" si="93"/>
        <v>43.414639549926555</v>
      </c>
      <c r="AD199" s="1">
        <f t="shared" si="94"/>
        <v>0</v>
      </c>
    </row>
    <row r="200" spans="1:30" ht="15">
      <c r="A200" s="1">
        <v>199</v>
      </c>
      <c r="B200" s="1">
        <f t="shared" si="74"/>
        <v>0</v>
      </c>
      <c r="C200" s="1">
        <f t="shared" si="90"/>
        <v>-0.80176032412803599</v>
      </c>
      <c r="D200" s="1">
        <f t="shared" si="95"/>
        <v>19.446015902500708</v>
      </c>
      <c r="E200">
        <v>351.1</v>
      </c>
      <c r="K200" s="1">
        <f>'Solar Availability and Gener GR'!F200</f>
        <v>1.6611768895219918E-2</v>
      </c>
      <c r="L200" s="1">
        <f>'System Load'!D200</f>
        <v>0.81837209302325586</v>
      </c>
      <c r="M200" s="1">
        <f t="shared" si="91"/>
        <v>-0.80176032412803599</v>
      </c>
      <c r="N200" s="1" t="str">
        <f t="shared" si="92"/>
        <v>Buy from Grid</v>
      </c>
      <c r="V200" s="1" t="str">
        <f t="shared" si="88"/>
        <v>discharge</v>
      </c>
      <c r="Y200" s="1">
        <f t="shared" si="89"/>
        <v>0.28733044186046514</v>
      </c>
      <c r="AA200" s="1">
        <f t="shared" si="93"/>
        <v>42.612879225798522</v>
      </c>
      <c r="AD200" s="1">
        <f t="shared" si="94"/>
        <v>0</v>
      </c>
    </row>
    <row r="201" spans="1:30" ht="15">
      <c r="A201" s="1">
        <v>200</v>
      </c>
      <c r="B201" s="1">
        <f t="shared" si="74"/>
        <v>0</v>
      </c>
      <c r="C201" s="1">
        <f t="shared" si="90"/>
        <v>-0.42375718139452095</v>
      </c>
      <c r="D201" s="1">
        <f t="shared" si="95"/>
        <v>18.916319425757557</v>
      </c>
      <c r="E201">
        <v>351.25</v>
      </c>
      <c r="K201" s="1">
        <f>'Solar Availability and Gener GR'!F201</f>
        <v>7.3684679070595324E-2</v>
      </c>
      <c r="L201" s="1">
        <f>'System Load'!D201</f>
        <v>0.49744186046511629</v>
      </c>
      <c r="M201" s="1">
        <f t="shared" si="91"/>
        <v>-0.42375718139452095</v>
      </c>
      <c r="N201" s="1" t="str">
        <f t="shared" si="92"/>
        <v>Buy from Grid</v>
      </c>
      <c r="V201" s="1" t="str">
        <f t="shared" si="88"/>
        <v>discharge</v>
      </c>
      <c r="Y201" s="1">
        <f t="shared" si="89"/>
        <v>0.1747264534883721</v>
      </c>
      <c r="AA201" s="1">
        <f t="shared" si="93"/>
        <v>42.189122044404002</v>
      </c>
      <c r="AD201" s="1">
        <f t="shared" si="94"/>
        <v>0</v>
      </c>
    </row>
    <row r="202" spans="1:30" ht="15">
      <c r="A202" s="1">
        <v>201</v>
      </c>
      <c r="B202" s="1">
        <f t="shared" si="74"/>
        <v>0</v>
      </c>
      <c r="C202" s="1">
        <f t="shared" si="90"/>
        <v>-0.20397172782023065</v>
      </c>
      <c r="D202" s="1">
        <f t="shared" si="95"/>
        <v>18.661354765982267</v>
      </c>
      <c r="E202">
        <v>283.37</v>
      </c>
      <c r="K202" s="1">
        <f>'Solar Availability and Gener GR'!F202</f>
        <v>0.29347013264488564</v>
      </c>
      <c r="L202" s="1">
        <f>'System Load'!D202</f>
        <v>0.49744186046511629</v>
      </c>
      <c r="M202" s="1">
        <f t="shared" si="91"/>
        <v>-0.20397172782023065</v>
      </c>
      <c r="N202" s="1" t="str">
        <f t="shared" si="92"/>
        <v>Buy from Grid</v>
      </c>
      <c r="V202" s="1" t="str">
        <f t="shared" si="88"/>
        <v>discharge</v>
      </c>
      <c r="Y202" s="1">
        <f t="shared" si="89"/>
        <v>0.1409601</v>
      </c>
      <c r="AA202" s="1">
        <f t="shared" si="93"/>
        <v>41.98515031658377</v>
      </c>
      <c r="AD202" s="1">
        <f t="shared" si="94"/>
        <v>0</v>
      </c>
    </row>
    <row r="203" spans="1:30" ht="15">
      <c r="A203" s="1">
        <v>202</v>
      </c>
      <c r="B203" s="1">
        <f t="shared" si="74"/>
        <v>0</v>
      </c>
      <c r="C203" s="1">
        <f t="shared" si="90"/>
        <v>0.24560095979660979</v>
      </c>
      <c r="D203" s="1">
        <f t="shared" si="95"/>
        <v>18.96835596572803</v>
      </c>
      <c r="E203">
        <v>193.39</v>
      </c>
      <c r="K203" s="1">
        <f>'Solar Availability and Gener GR'!F203</f>
        <v>0.74304282026172608</v>
      </c>
      <c r="L203" s="1">
        <f>'System Load'!D203</f>
        <v>0.49744186046511629</v>
      </c>
      <c r="M203" s="1">
        <f t="shared" si="91"/>
        <v>0.24560095979660979</v>
      </c>
      <c r="N203" s="1" t="str">
        <f t="shared" si="92"/>
        <v>sell the surplus or charge</v>
      </c>
      <c r="O203" s="1">
        <v>0.25</v>
      </c>
      <c r="P203" s="1">
        <f t="shared" ref="P203:P211" si="96">0.25/L203</f>
        <v>0.5025712949976624</v>
      </c>
      <c r="Q203" s="1">
        <f t="shared" ref="Q203:Q211" si="97">K203-P203*L203</f>
        <v>0.49304282026172608</v>
      </c>
      <c r="R203" s="1">
        <f t="shared" ref="R203:R211" si="98">((1/(E203+0.01))*LN(0.25))+(E203*(K203-0.25))</f>
        <v>95.342382994070221</v>
      </c>
      <c r="S203" s="1">
        <f t="shared" ref="S203:S211" si="99">((1/(E203+0.01))*LN(L203))+(E203*(K203-L203))</f>
        <v>47.493159084597906</v>
      </c>
      <c r="T203" s="1">
        <f t="shared" ref="T203:T211" si="100">(S203+((S203^2)-4*(K203-L203*P203)*LN(L203*P203))^(0.5))/(2*(K203-L203*P203))</f>
        <v>96.355822197360055</v>
      </c>
      <c r="U203" s="1" t="str">
        <f t="shared" ref="U203:U211" si="101">IF(E203&gt;=T203*1.2,"sell to the Grid","charge")</f>
        <v>sell to the Grid</v>
      </c>
      <c r="W203" s="1">
        <f>(Q203*E203)/1000</f>
        <v>9.5349551010415201E-2</v>
      </c>
      <c r="Y203" s="1">
        <f t="shared" si="89"/>
        <v>9.6200281395348836E-2</v>
      </c>
      <c r="AA203" s="1">
        <f t="shared" si="93"/>
        <v>42.230751276380381</v>
      </c>
      <c r="AD203" s="1">
        <f t="shared" si="94"/>
        <v>0.25</v>
      </c>
    </row>
    <row r="204" spans="1:30" ht="15">
      <c r="A204" s="1">
        <v>203</v>
      </c>
      <c r="B204" s="1">
        <f t="shared" si="74"/>
        <v>0</v>
      </c>
      <c r="C204" s="1">
        <f t="shared" si="90"/>
        <v>0</v>
      </c>
      <c r="D204" s="1">
        <f t="shared" si="95"/>
        <v>18.96835596572803</v>
      </c>
      <c r="E204">
        <v>180.8</v>
      </c>
      <c r="K204" s="1">
        <f>'Solar Availability and Gener GR'!F204</f>
        <v>1.7000890234131563</v>
      </c>
      <c r="L204" s="1">
        <f>'System Load'!D204</f>
        <v>0.49744186046511629</v>
      </c>
      <c r="M204" s="1">
        <f t="shared" si="91"/>
        <v>1.20264716294804</v>
      </c>
      <c r="N204" s="1" t="str">
        <f t="shared" si="92"/>
        <v>sell the surplus or charge</v>
      </c>
      <c r="O204" s="1">
        <v>0.25</v>
      </c>
      <c r="P204" s="1">
        <f t="shared" si="96"/>
        <v>0.5025712949976624</v>
      </c>
      <c r="Q204" s="1">
        <f t="shared" si="97"/>
        <v>1.4500890234131563</v>
      </c>
      <c r="R204" s="1">
        <f t="shared" si="98"/>
        <v>262.1684282998587</v>
      </c>
      <c r="S204" s="1">
        <f t="shared" si="99"/>
        <v>217.4347451253129</v>
      </c>
      <c r="T204" s="1">
        <f t="shared" si="100"/>
        <v>149.95216605670666</v>
      </c>
      <c r="U204" s="1" t="str">
        <f t="shared" si="101"/>
        <v>sell to the Grid</v>
      </c>
      <c r="Y204" s="1">
        <f t="shared" si="89"/>
        <v>8.9937488372093033E-2</v>
      </c>
      <c r="AA204" s="1">
        <f t="shared" si="93"/>
        <v>43.433398439328421</v>
      </c>
      <c r="AD204" s="1">
        <f t="shared" si="94"/>
        <v>0.25</v>
      </c>
    </row>
    <row r="205" spans="1:30" ht="15">
      <c r="A205" s="1">
        <v>204</v>
      </c>
      <c r="B205" s="1">
        <f t="shared" si="74"/>
        <v>2.0815899581589932</v>
      </c>
      <c r="C205" s="1">
        <f t="shared" si="90"/>
        <v>0</v>
      </c>
      <c r="D205" s="1">
        <f t="shared" si="95"/>
        <v>20.633627932255223</v>
      </c>
      <c r="E205">
        <v>178.89</v>
      </c>
      <c r="K205" s="1">
        <f>'Solar Availability and Gener GR'!F205</f>
        <v>2.3315899581589932</v>
      </c>
      <c r="L205" s="1">
        <f>'System Load'!D205</f>
        <v>0.49744186046511629</v>
      </c>
      <c r="M205" s="1">
        <f t="shared" si="91"/>
        <v>1.8341480976938769</v>
      </c>
      <c r="N205" s="1" t="str">
        <f t="shared" si="92"/>
        <v>sell the surplus or charge</v>
      </c>
      <c r="O205" s="1">
        <v>0.25</v>
      </c>
      <c r="P205" s="1">
        <f t="shared" si="96"/>
        <v>0.5025712949976624</v>
      </c>
      <c r="Q205" s="1">
        <f t="shared" si="97"/>
        <v>2.0815899581589932</v>
      </c>
      <c r="R205" s="1">
        <f t="shared" si="98"/>
        <v>372.36787862478212</v>
      </c>
      <c r="S205" s="1">
        <f t="shared" si="99"/>
        <v>328.10685002936651</v>
      </c>
      <c r="T205" s="1">
        <f t="shared" si="100"/>
        <v>157.62741528292483</v>
      </c>
      <c r="U205" s="1" t="str">
        <f t="shared" si="101"/>
        <v>charge</v>
      </c>
      <c r="Y205" s="1">
        <f t="shared" si="89"/>
        <v>8.8987374418604645E-2</v>
      </c>
      <c r="AA205" s="1">
        <f t="shared" si="93"/>
        <v>45.267546537022298</v>
      </c>
      <c r="AD205" s="1">
        <f t="shared" si="94"/>
        <v>0.25</v>
      </c>
    </row>
    <row r="206" spans="1:30" ht="15">
      <c r="A206" s="1">
        <v>205</v>
      </c>
      <c r="B206" s="1">
        <f t="shared" si="74"/>
        <v>2.3013754117332827</v>
      </c>
      <c r="C206" s="1">
        <f t="shared" si="90"/>
        <v>0</v>
      </c>
      <c r="D206" s="1">
        <f t="shared" si="95"/>
        <v>22.47472826164185</v>
      </c>
      <c r="E206">
        <v>173.16</v>
      </c>
      <c r="K206" s="1">
        <f>'Solar Availability and Gener GR'!F206</f>
        <v>2.5513754117332827</v>
      </c>
      <c r="L206" s="1">
        <f>'System Load'!D206</f>
        <v>0.49744186046511629</v>
      </c>
      <c r="M206" s="1">
        <f t="shared" si="91"/>
        <v>2.0539335512681665</v>
      </c>
      <c r="N206" s="1" t="str">
        <f t="shared" si="92"/>
        <v>sell the surplus or charge</v>
      </c>
      <c r="O206" s="1">
        <v>0.25</v>
      </c>
      <c r="P206" s="1">
        <f t="shared" si="96"/>
        <v>0.5025712949976624</v>
      </c>
      <c r="Q206" s="1">
        <f t="shared" si="97"/>
        <v>2.3013754117332827</v>
      </c>
      <c r="R206" s="1">
        <f t="shared" si="98"/>
        <v>398.49816090010597</v>
      </c>
      <c r="S206" s="1">
        <f t="shared" si="99"/>
        <v>355.6551014191075</v>
      </c>
      <c r="T206" s="1">
        <f t="shared" si="100"/>
        <v>154.54413470413743</v>
      </c>
      <c r="U206" s="1" t="str">
        <f t="shared" si="101"/>
        <v>charge</v>
      </c>
      <c r="Y206" s="1">
        <f t="shared" si="89"/>
        <v>8.6137032558139537E-2</v>
      </c>
      <c r="AA206" s="1">
        <f t="shared" si="93"/>
        <v>47.321480088290464</v>
      </c>
      <c r="AD206" s="1">
        <f t="shared" si="94"/>
        <v>0.25</v>
      </c>
    </row>
    <row r="207" spans="1:30" ht="15">
      <c r="A207" s="1">
        <v>206</v>
      </c>
      <c r="B207" s="1">
        <f t="shared" si="74"/>
        <v>2.348833793287632</v>
      </c>
      <c r="C207" s="1">
        <f t="shared" si="90"/>
        <v>0</v>
      </c>
      <c r="D207" s="1">
        <f t="shared" si="95"/>
        <v>24.353795296271954</v>
      </c>
      <c r="E207">
        <v>173.77</v>
      </c>
      <c r="K207" s="1">
        <f>'Solar Availability and Gener GR'!F207</f>
        <v>2.598833793287632</v>
      </c>
      <c r="L207" s="1">
        <f>'System Load'!D207</f>
        <v>0.49744186046511629</v>
      </c>
      <c r="M207" s="1">
        <f t="shared" si="91"/>
        <v>2.1013919328225157</v>
      </c>
      <c r="N207" s="1" t="str">
        <f t="shared" si="92"/>
        <v>sell the surplus or charge</v>
      </c>
      <c r="O207" s="1">
        <v>0.25</v>
      </c>
      <c r="P207" s="1">
        <f t="shared" si="96"/>
        <v>0.5025712949976624</v>
      </c>
      <c r="Q207" s="1">
        <f t="shared" si="97"/>
        <v>2.348833793287632</v>
      </c>
      <c r="R207" s="1">
        <f t="shared" si="98"/>
        <v>408.14887096438451</v>
      </c>
      <c r="S207" s="1">
        <f t="shared" si="99"/>
        <v>365.15485800226543</v>
      </c>
      <c r="T207" s="1">
        <f t="shared" si="100"/>
        <v>155.46599170714708</v>
      </c>
      <c r="U207" s="1" t="str">
        <f t="shared" si="101"/>
        <v>charge</v>
      </c>
      <c r="Y207" s="1">
        <f t="shared" si="89"/>
        <v>8.644047209302326E-2</v>
      </c>
      <c r="AA207" s="1">
        <f t="shared" si="93"/>
        <v>49.42287202111298</v>
      </c>
      <c r="AD207" s="1">
        <f t="shared" si="94"/>
        <v>0.25</v>
      </c>
    </row>
    <row r="208" spans="1:30" ht="15">
      <c r="A208" s="1">
        <v>207</v>
      </c>
      <c r="B208" s="1">
        <f t="shared" ref="B208:B271" si="102">IF(U208="charge",Q208,0)</f>
        <v>2.2718374432475708</v>
      </c>
      <c r="C208" s="1">
        <f t="shared" si="90"/>
        <v>0</v>
      </c>
      <c r="D208" s="1">
        <f t="shared" si="95"/>
        <v>26.171265250870011</v>
      </c>
      <c r="E208">
        <v>178.79</v>
      </c>
      <c r="K208" s="1">
        <f>'Solar Availability and Gener GR'!F208</f>
        <v>2.5218374432475708</v>
      </c>
      <c r="L208" s="1">
        <f>'System Load'!D208</f>
        <v>0.49744186046511629</v>
      </c>
      <c r="M208" s="1">
        <f t="shared" si="91"/>
        <v>2.0243955827824545</v>
      </c>
      <c r="N208" s="1" t="str">
        <f t="shared" si="92"/>
        <v>sell the surplus or charge</v>
      </c>
      <c r="O208" s="1">
        <v>0.25</v>
      </c>
      <c r="P208" s="1">
        <f t="shared" si="96"/>
        <v>0.5025712949976624</v>
      </c>
      <c r="Q208" s="1">
        <f t="shared" si="97"/>
        <v>2.2718374432475708</v>
      </c>
      <c r="R208" s="1">
        <f t="shared" si="98"/>
        <v>406.17406315406583</v>
      </c>
      <c r="S208" s="1">
        <f t="shared" si="99"/>
        <v>361.93778089560459</v>
      </c>
      <c r="T208" s="1">
        <f t="shared" si="100"/>
        <v>159.31882950326829</v>
      </c>
      <c r="U208" s="1" t="str">
        <f t="shared" si="101"/>
        <v>charge</v>
      </c>
      <c r="Y208" s="1">
        <f t="shared" si="89"/>
        <v>8.8937630232558129E-2</v>
      </c>
      <c r="AA208" s="1">
        <f t="shared" si="93"/>
        <v>51.447267603895433</v>
      </c>
      <c r="AD208" s="1">
        <f t="shared" si="94"/>
        <v>0.25</v>
      </c>
    </row>
    <row r="209" spans="1:30" ht="15">
      <c r="A209" s="1">
        <v>208</v>
      </c>
      <c r="B209" s="1">
        <f t="shared" si="102"/>
        <v>0</v>
      </c>
      <c r="C209" s="1">
        <f t="shared" si="90"/>
        <v>0</v>
      </c>
      <c r="D209" s="1">
        <f t="shared" si="95"/>
        <v>26.171265250870011</v>
      </c>
      <c r="E209">
        <v>183.23</v>
      </c>
      <c r="K209" s="1">
        <f>'Solar Availability and Gener GR'!F209</f>
        <v>2.13843140746016</v>
      </c>
      <c r="L209" s="1">
        <f>'System Load'!D209</f>
        <v>0.81837209302325586</v>
      </c>
      <c r="M209" s="1">
        <f t="shared" si="91"/>
        <v>1.3200593144369042</v>
      </c>
      <c r="N209" s="1" t="str">
        <f t="shared" si="92"/>
        <v>sell the surplus or charge</v>
      </c>
      <c r="O209" s="1">
        <v>0.25</v>
      </c>
      <c r="P209" s="1">
        <f t="shared" si="96"/>
        <v>0.30548451264563797</v>
      </c>
      <c r="Q209" s="1">
        <f t="shared" si="97"/>
        <v>1.88843140746016</v>
      </c>
      <c r="R209" s="1">
        <f t="shared" si="98"/>
        <v>346.00972133181358</v>
      </c>
      <c r="S209" s="1">
        <f t="shared" si="99"/>
        <v>241.87337432832348</v>
      </c>
      <c r="T209" s="1">
        <f t="shared" si="100"/>
        <v>128.08736203527019</v>
      </c>
      <c r="U209" s="1" t="str">
        <f t="shared" si="101"/>
        <v>sell to the Grid</v>
      </c>
      <c r="W209" s="1">
        <f>(Q209*E209)/1000</f>
        <v>0.34601728678892513</v>
      </c>
      <c r="Y209" s="1">
        <f t="shared" si="89"/>
        <v>0.14995031860465116</v>
      </c>
      <c r="AA209" s="1">
        <f t="shared" si="93"/>
        <v>52.767326918332337</v>
      </c>
      <c r="AD209" s="1">
        <f t="shared" si="94"/>
        <v>0.25</v>
      </c>
    </row>
    <row r="210" spans="1:30" ht="15">
      <c r="A210" s="1">
        <v>209</v>
      </c>
      <c r="B210" s="1">
        <f t="shared" si="102"/>
        <v>0</v>
      </c>
      <c r="C210" s="1">
        <f t="shared" si="90"/>
        <v>0</v>
      </c>
      <c r="D210" s="1">
        <f t="shared" si="95"/>
        <v>26.171265250870011</v>
      </c>
      <c r="E210">
        <v>183.92</v>
      </c>
      <c r="K210" s="1">
        <f>'Solar Availability and Gener GR'!F210</f>
        <v>1.6784563340158452</v>
      </c>
      <c r="L210" s="1">
        <f>'System Load'!D210</f>
        <v>0.83441860465116291</v>
      </c>
      <c r="M210" s="1">
        <f t="shared" si="91"/>
        <v>0.84403772936468224</v>
      </c>
      <c r="N210" s="1" t="str">
        <f t="shared" si="92"/>
        <v>sell the surplus or charge</v>
      </c>
      <c r="O210" s="1">
        <v>0.25</v>
      </c>
      <c r="P210" s="1">
        <f t="shared" si="96"/>
        <v>0.29960981047937563</v>
      </c>
      <c r="Q210" s="1">
        <f t="shared" si="97"/>
        <v>1.4284563340158452</v>
      </c>
      <c r="R210" s="1">
        <f t="shared" si="98"/>
        <v>262.71415187634403</v>
      </c>
      <c r="S210" s="1">
        <f t="shared" si="99"/>
        <v>155.23443500556186</v>
      </c>
      <c r="T210" s="1">
        <f t="shared" si="100"/>
        <v>108.68178945592102</v>
      </c>
      <c r="U210" s="1" t="str">
        <f t="shared" si="101"/>
        <v>sell to the Grid</v>
      </c>
      <c r="W210" s="1">
        <f>(Q210*E210)/1000</f>
        <v>0.26272168895219422</v>
      </c>
      <c r="Y210" s="1">
        <f t="shared" si="89"/>
        <v>0.15346626976744188</v>
      </c>
      <c r="AA210" s="1">
        <f t="shared" si="93"/>
        <v>53.611364647697016</v>
      </c>
      <c r="AD210" s="1">
        <f t="shared" si="94"/>
        <v>0.25</v>
      </c>
    </row>
    <row r="211" spans="1:30" ht="15">
      <c r="A211" s="1">
        <v>210</v>
      </c>
      <c r="B211" s="1">
        <f t="shared" si="102"/>
        <v>0</v>
      </c>
      <c r="C211" s="1">
        <f t="shared" si="90"/>
        <v>0</v>
      </c>
      <c r="D211" s="1">
        <f t="shared" si="95"/>
        <v>26.171265250870011</v>
      </c>
      <c r="E211">
        <v>199.16</v>
      </c>
      <c r="K211" s="1">
        <f>'Solar Availability and Gener GR'!F211</f>
        <v>1.0269518383334808</v>
      </c>
      <c r="L211" s="1">
        <f>'System Load'!D211</f>
        <v>0.81837209302325586</v>
      </c>
      <c r="M211" s="1">
        <f t="shared" si="91"/>
        <v>0.20857974531022494</v>
      </c>
      <c r="N211" s="1" t="str">
        <f t="shared" si="92"/>
        <v>sell the surplus or charge</v>
      </c>
      <c r="O211" s="1">
        <v>0.25</v>
      </c>
      <c r="P211" s="1">
        <f t="shared" si="96"/>
        <v>0.30548451264563797</v>
      </c>
      <c r="Q211" s="1">
        <f t="shared" si="97"/>
        <v>0.7769518383334808</v>
      </c>
      <c r="R211" s="1">
        <f t="shared" si="98"/>
        <v>154.7307677652077</v>
      </c>
      <c r="S211" s="1">
        <f t="shared" si="99"/>
        <v>41.539735708738526</v>
      </c>
      <c r="T211" s="1">
        <f t="shared" si="100"/>
        <v>53.498359224865958</v>
      </c>
      <c r="U211" s="1" t="str">
        <f t="shared" si="101"/>
        <v>sell to the Grid</v>
      </c>
      <c r="W211" s="1">
        <f>(Q211*E211)/1000</f>
        <v>0.15473772812249603</v>
      </c>
      <c r="Y211" s="1">
        <f t="shared" si="89"/>
        <v>0.16298698604651166</v>
      </c>
      <c r="AA211" s="1">
        <f t="shared" si="93"/>
        <v>53.819944393007241</v>
      </c>
      <c r="AD211" s="1">
        <f t="shared" si="94"/>
        <v>0.25</v>
      </c>
    </row>
    <row r="212" spans="1:30" ht="15">
      <c r="A212" s="1">
        <v>211</v>
      </c>
      <c r="B212" s="1">
        <f t="shared" si="102"/>
        <v>0</v>
      </c>
      <c r="C212" s="1">
        <f t="shared" si="90"/>
        <v>0</v>
      </c>
      <c r="D212" s="1">
        <f t="shared" si="95"/>
        <v>26.171265250870011</v>
      </c>
      <c r="E212">
        <v>182.18</v>
      </c>
      <c r="K212" s="1">
        <f>'Solar Availability and Gener GR'!F212</f>
        <v>0.35632511350485152</v>
      </c>
      <c r="L212" s="1">
        <f>'System Load'!D212</f>
        <v>0.83441860465116291</v>
      </c>
      <c r="M212" s="1">
        <f t="shared" si="91"/>
        <v>-0.47809349114631139</v>
      </c>
      <c r="N212" s="1" t="str">
        <f t="shared" si="92"/>
        <v>Buy from Grid</v>
      </c>
      <c r="V212" s="1" t="str">
        <f t="shared" ref="V212:V226" si="103">IF(D212+M212&gt;0,"discharge","buy from the Grid")</f>
        <v>discharge</v>
      </c>
      <c r="Y212" s="1">
        <f t="shared" si="89"/>
        <v>0.15201438139534887</v>
      </c>
      <c r="AA212" s="1">
        <f t="shared" si="93"/>
        <v>53.34185090186093</v>
      </c>
      <c r="AD212" s="1">
        <f t="shared" si="94"/>
        <v>0</v>
      </c>
    </row>
    <row r="213" spans="1:30" ht="15">
      <c r="A213" s="1">
        <v>212</v>
      </c>
      <c r="B213" s="1">
        <f t="shared" si="102"/>
        <v>0</v>
      </c>
      <c r="C213" s="1">
        <f t="shared" si="90"/>
        <v>-0.45748815263995829</v>
      </c>
      <c r="D213" s="1">
        <f t="shared" si="95"/>
        <v>25.599405060070062</v>
      </c>
      <c r="E213">
        <v>180.8</v>
      </c>
      <c r="K213" s="1">
        <f>'Solar Availability and Gener GR'!F213</f>
        <v>3.9953707825157996E-2</v>
      </c>
      <c r="L213" s="1">
        <f>'System Load'!D213</f>
        <v>0.49744186046511629</v>
      </c>
      <c r="M213" s="1">
        <f t="shared" si="91"/>
        <v>-0.45748815263995829</v>
      </c>
      <c r="N213" s="1" t="str">
        <f t="shared" si="92"/>
        <v>Buy from Grid</v>
      </c>
      <c r="V213" s="1" t="str">
        <f t="shared" si="103"/>
        <v>discharge</v>
      </c>
      <c r="Y213" s="1">
        <f t="shared" si="89"/>
        <v>8.9937488372093033E-2</v>
      </c>
      <c r="AA213" s="1">
        <f t="shared" si="93"/>
        <v>52.884362749220969</v>
      </c>
      <c r="AD213" s="1">
        <f t="shared" si="94"/>
        <v>0</v>
      </c>
    </row>
    <row r="214" spans="1:30" ht="15">
      <c r="A214" s="1">
        <v>213</v>
      </c>
      <c r="B214" s="1">
        <f t="shared" si="102"/>
        <v>0</v>
      </c>
      <c r="C214" s="1">
        <f t="shared" si="90"/>
        <v>-0.49744186046511629</v>
      </c>
      <c r="D214" s="1">
        <f t="shared" si="95"/>
        <v>24.977602734488666</v>
      </c>
      <c r="E214">
        <v>170</v>
      </c>
      <c r="K214" s="1">
        <f>'Solar Availability and Gener GR'!F214</f>
        <v>0</v>
      </c>
      <c r="L214" s="1">
        <f>'System Load'!D214</f>
        <v>0.49744186046511629</v>
      </c>
      <c r="M214" s="1">
        <f t="shared" si="91"/>
        <v>-0.49744186046511629</v>
      </c>
      <c r="N214" s="1" t="str">
        <f t="shared" si="92"/>
        <v>Buy from Grid</v>
      </c>
      <c r="V214" s="1" t="str">
        <f t="shared" si="103"/>
        <v>discharge</v>
      </c>
      <c r="Y214" s="1">
        <f t="shared" si="89"/>
        <v>8.4565116279069763E-2</v>
      </c>
      <c r="AA214" s="1">
        <f t="shared" si="93"/>
        <v>52.386920888755853</v>
      </c>
      <c r="AD214" s="1">
        <f t="shared" si="94"/>
        <v>0</v>
      </c>
    </row>
    <row r="215" spans="1:30" ht="15">
      <c r="A215" s="1">
        <v>214</v>
      </c>
      <c r="B215" s="1">
        <f t="shared" si="102"/>
        <v>0</v>
      </c>
      <c r="C215" s="1">
        <f t="shared" si="90"/>
        <v>-0.49744186046511629</v>
      </c>
      <c r="D215" s="1">
        <f t="shared" si="95"/>
        <v>24.355800408907271</v>
      </c>
      <c r="E215">
        <v>139.63</v>
      </c>
      <c r="K215" s="1">
        <f>'Solar Availability and Gener GR'!F215</f>
        <v>0</v>
      </c>
      <c r="L215" s="1">
        <f>'System Load'!D215</f>
        <v>0.49744186046511629</v>
      </c>
      <c r="M215" s="1">
        <f t="shared" si="91"/>
        <v>-0.49744186046511629</v>
      </c>
      <c r="N215" s="1" t="str">
        <f t="shared" si="92"/>
        <v>Buy from Grid</v>
      </c>
      <c r="V215" s="1" t="str">
        <f t="shared" si="103"/>
        <v>discharge</v>
      </c>
      <c r="Y215" s="1">
        <f t="shared" si="89"/>
        <v>6.9457806976744182E-2</v>
      </c>
      <c r="AA215" s="1">
        <f t="shared" si="93"/>
        <v>51.889479028290737</v>
      </c>
      <c r="AD215" s="1">
        <f t="shared" si="94"/>
        <v>0</v>
      </c>
    </row>
    <row r="216" spans="1:30" ht="15">
      <c r="A216" s="1">
        <v>215</v>
      </c>
      <c r="B216" s="1">
        <f t="shared" si="102"/>
        <v>0</v>
      </c>
      <c r="C216" s="1">
        <f t="shared" si="90"/>
        <v>-0.36906976744186054</v>
      </c>
      <c r="D216" s="1">
        <f t="shared" si="95"/>
        <v>23.894463199604946</v>
      </c>
      <c r="E216">
        <v>132</v>
      </c>
      <c r="K216" s="1">
        <f>'Solar Availability and Gener GR'!F216</f>
        <v>0</v>
      </c>
      <c r="L216" s="1">
        <f>'System Load'!D216</f>
        <v>0.36906976744186054</v>
      </c>
      <c r="M216" s="1">
        <f t="shared" si="91"/>
        <v>-0.36906976744186054</v>
      </c>
      <c r="N216" s="1" t="str">
        <f t="shared" si="92"/>
        <v>Buy from Grid</v>
      </c>
      <c r="V216" s="1" t="str">
        <f t="shared" si="103"/>
        <v>discharge</v>
      </c>
      <c r="Y216" s="1">
        <f t="shared" si="89"/>
        <v>4.8717209302325593E-2</v>
      </c>
      <c r="AA216" s="1">
        <f t="shared" si="93"/>
        <v>51.520409260848879</v>
      </c>
      <c r="AD216" s="1">
        <f t="shared" si="94"/>
        <v>0</v>
      </c>
    </row>
    <row r="217" spans="1:30" ht="15">
      <c r="A217" s="1">
        <v>216</v>
      </c>
      <c r="B217" s="1">
        <f t="shared" si="102"/>
        <v>0</v>
      </c>
      <c r="C217" s="1">
        <f t="shared" si="90"/>
        <v>-0.36906976744186054</v>
      </c>
      <c r="D217" s="1">
        <f t="shared" si="95"/>
        <v>23.433125990302621</v>
      </c>
      <c r="E217">
        <v>99.45</v>
      </c>
      <c r="K217" s="1">
        <f>'Solar Availability and Gener GR'!F217</f>
        <v>0</v>
      </c>
      <c r="L217" s="1">
        <f>'System Load'!D217</f>
        <v>0.36906976744186054</v>
      </c>
      <c r="M217" s="1">
        <f t="shared" si="91"/>
        <v>-0.36906976744186054</v>
      </c>
      <c r="N217" s="1" t="str">
        <f t="shared" si="92"/>
        <v>Buy from Grid</v>
      </c>
      <c r="V217" s="1" t="str">
        <f t="shared" si="103"/>
        <v>discharge</v>
      </c>
      <c r="Y217" s="1">
        <f t="shared" si="89"/>
        <v>3.670398837209303E-2</v>
      </c>
      <c r="AA217" s="1">
        <f t="shared" si="93"/>
        <v>51.151339493407022</v>
      </c>
      <c r="AD217" s="1">
        <f t="shared" si="94"/>
        <v>0</v>
      </c>
    </row>
    <row r="218" spans="1:30" ht="15">
      <c r="A218" s="1">
        <v>217</v>
      </c>
      <c r="B218" s="1">
        <f t="shared" si="102"/>
        <v>0</v>
      </c>
      <c r="C218" s="1">
        <f t="shared" si="90"/>
        <v>-0.36906976744186054</v>
      </c>
      <c r="D218" s="1">
        <f t="shared" si="95"/>
        <v>22.971788781000296</v>
      </c>
      <c r="E218">
        <v>100</v>
      </c>
      <c r="K218" s="1">
        <f>'Solar Availability and Gener GR'!F218</f>
        <v>0</v>
      </c>
      <c r="L218" s="1">
        <f>'System Load'!D218</f>
        <v>0.36906976744186054</v>
      </c>
      <c r="M218" s="1">
        <f t="shared" si="91"/>
        <v>-0.36906976744186054</v>
      </c>
      <c r="N218" s="1" t="str">
        <f t="shared" si="92"/>
        <v>Buy from Grid</v>
      </c>
      <c r="V218" s="1" t="str">
        <f t="shared" si="103"/>
        <v>discharge</v>
      </c>
      <c r="Y218" s="1">
        <f t="shared" si="89"/>
        <v>3.6906976744186054E-2</v>
      </c>
      <c r="AA218" s="1">
        <f t="shared" si="93"/>
        <v>50.782269725965165</v>
      </c>
      <c r="AD218" s="1">
        <f t="shared" si="94"/>
        <v>0</v>
      </c>
    </row>
    <row r="219" spans="1:30" ht="15">
      <c r="A219" s="1">
        <v>218</v>
      </c>
      <c r="B219" s="1">
        <f t="shared" si="102"/>
        <v>0</v>
      </c>
      <c r="C219" s="1">
        <f t="shared" si="90"/>
        <v>-0.36906976744186054</v>
      </c>
      <c r="D219" s="1">
        <f t="shared" si="95"/>
        <v>22.510451571697971</v>
      </c>
      <c r="E219">
        <v>85.79</v>
      </c>
      <c r="K219" s="1">
        <f>'Solar Availability and Gener GR'!F219</f>
        <v>0</v>
      </c>
      <c r="L219" s="1">
        <f>'System Load'!D219</f>
        <v>0.36906976744186054</v>
      </c>
      <c r="M219" s="1">
        <f t="shared" si="91"/>
        <v>-0.36906976744186054</v>
      </c>
      <c r="N219" s="1" t="str">
        <f t="shared" si="92"/>
        <v>Buy from Grid</v>
      </c>
      <c r="V219" s="1" t="str">
        <f t="shared" si="103"/>
        <v>discharge</v>
      </c>
      <c r="Y219" s="1">
        <f t="shared" si="89"/>
        <v>3.1662495348837222E-2</v>
      </c>
      <c r="AA219" s="1">
        <f t="shared" si="93"/>
        <v>50.413199958523307</v>
      </c>
      <c r="AD219" s="1">
        <f t="shared" si="94"/>
        <v>0</v>
      </c>
    </row>
    <row r="220" spans="1:30" ht="15">
      <c r="A220" s="1">
        <v>219</v>
      </c>
      <c r="B220" s="1">
        <f t="shared" si="102"/>
        <v>0</v>
      </c>
      <c r="C220" s="1">
        <f t="shared" si="90"/>
        <v>-0.36906976744186054</v>
      </c>
      <c r="D220" s="1">
        <f t="shared" si="95"/>
        <v>22.049114362395645</v>
      </c>
      <c r="E220">
        <v>71.08</v>
      </c>
      <c r="K220" s="1">
        <f>'Solar Availability and Gener GR'!F220</f>
        <v>0</v>
      </c>
      <c r="L220" s="1">
        <f>'System Load'!D220</f>
        <v>0.36906976744186054</v>
      </c>
      <c r="M220" s="1">
        <f t="shared" si="91"/>
        <v>-0.36906976744186054</v>
      </c>
      <c r="N220" s="1" t="str">
        <f t="shared" si="92"/>
        <v>Buy from Grid</v>
      </c>
      <c r="V220" s="1" t="str">
        <f t="shared" si="103"/>
        <v>discharge</v>
      </c>
      <c r="Y220" s="1">
        <f t="shared" si="89"/>
        <v>2.6233479069767449E-2</v>
      </c>
      <c r="AA220" s="1">
        <f t="shared" si="93"/>
        <v>50.04413019108145</v>
      </c>
      <c r="AD220" s="1">
        <f t="shared" si="94"/>
        <v>0</v>
      </c>
    </row>
    <row r="221" spans="1:30" ht="15">
      <c r="A221" s="1">
        <v>220</v>
      </c>
      <c r="B221" s="1">
        <f t="shared" si="102"/>
        <v>0</v>
      </c>
      <c r="C221" s="1">
        <f t="shared" si="90"/>
        <v>-0.49744186046511629</v>
      </c>
      <c r="D221" s="1">
        <f t="shared" si="95"/>
        <v>21.42731203681425</v>
      </c>
      <c r="E221">
        <v>59.27</v>
      </c>
      <c r="K221" s="1">
        <f>'Solar Availability and Gener GR'!F221</f>
        <v>0</v>
      </c>
      <c r="L221" s="1">
        <f>'System Load'!D221</f>
        <v>0.49744186046511629</v>
      </c>
      <c r="M221" s="1">
        <f t="shared" si="91"/>
        <v>-0.49744186046511629</v>
      </c>
      <c r="N221" s="1" t="str">
        <f t="shared" si="92"/>
        <v>Buy from Grid</v>
      </c>
      <c r="V221" s="1" t="str">
        <f t="shared" si="103"/>
        <v>discharge</v>
      </c>
      <c r="Y221" s="1">
        <f t="shared" si="89"/>
        <v>2.9483379069767446E-2</v>
      </c>
      <c r="AA221" s="1">
        <f t="shared" si="93"/>
        <v>49.546688330616334</v>
      </c>
      <c r="AD221" s="1">
        <f t="shared" si="94"/>
        <v>0</v>
      </c>
    </row>
    <row r="222" spans="1:30" ht="15">
      <c r="A222" s="1">
        <v>221</v>
      </c>
      <c r="B222" s="1">
        <f t="shared" si="102"/>
        <v>0</v>
      </c>
      <c r="C222" s="1">
        <f t="shared" si="90"/>
        <v>-0.64186046511627903</v>
      </c>
      <c r="D222" s="1">
        <f t="shared" si="95"/>
        <v>20.624986455418902</v>
      </c>
      <c r="E222">
        <v>92.99</v>
      </c>
      <c r="K222" s="1">
        <f>'Solar Availability and Gener GR'!F222</f>
        <v>0</v>
      </c>
      <c r="L222" s="1">
        <f>'System Load'!D222</f>
        <v>0.64186046511627903</v>
      </c>
      <c r="M222" s="1">
        <f t="shared" si="91"/>
        <v>-0.64186046511627903</v>
      </c>
      <c r="N222" s="1" t="str">
        <f t="shared" si="92"/>
        <v>Buy from Grid</v>
      </c>
      <c r="V222" s="1" t="str">
        <f t="shared" si="103"/>
        <v>discharge</v>
      </c>
      <c r="Y222" s="1">
        <f t="shared" si="89"/>
        <v>5.9686604651162781E-2</v>
      </c>
      <c r="AA222" s="1">
        <f t="shared" si="93"/>
        <v>48.904827865500053</v>
      </c>
      <c r="AD222" s="1">
        <f t="shared" si="94"/>
        <v>0</v>
      </c>
    </row>
    <row r="223" spans="1:30" ht="15">
      <c r="A223" s="1">
        <v>222</v>
      </c>
      <c r="B223" s="1">
        <f t="shared" si="102"/>
        <v>0</v>
      </c>
      <c r="C223" s="1">
        <f t="shared" si="90"/>
        <v>-0.81837209302325586</v>
      </c>
      <c r="D223" s="1">
        <f t="shared" si="95"/>
        <v>19.602021339139831</v>
      </c>
      <c r="E223">
        <v>108.61</v>
      </c>
      <c r="K223" s="1">
        <f>'Solar Availability and Gener GR'!F223</f>
        <v>0</v>
      </c>
      <c r="L223" s="1">
        <f>'System Load'!D223</f>
        <v>0.81837209302325586</v>
      </c>
      <c r="M223" s="1">
        <f t="shared" si="91"/>
        <v>-0.81837209302325586</v>
      </c>
      <c r="N223" s="1" t="str">
        <f t="shared" si="92"/>
        <v>Buy from Grid</v>
      </c>
      <c r="V223" s="1" t="str">
        <f t="shared" si="103"/>
        <v>discharge</v>
      </c>
      <c r="Y223" s="1">
        <f t="shared" si="89"/>
        <v>8.8883393023255819E-2</v>
      </c>
      <c r="AA223" s="1">
        <f t="shared" si="93"/>
        <v>48.086455772476796</v>
      </c>
      <c r="AD223" s="1">
        <f t="shared" si="94"/>
        <v>0</v>
      </c>
    </row>
    <row r="224" spans="1:30" ht="15">
      <c r="A224" s="1">
        <v>223</v>
      </c>
      <c r="B224" s="1">
        <f t="shared" si="102"/>
        <v>0</v>
      </c>
      <c r="C224" s="1">
        <f t="shared" si="90"/>
        <v>-0.80176032412803599</v>
      </c>
      <c r="D224" s="1">
        <f t="shared" si="95"/>
        <v>18.599820933979785</v>
      </c>
      <c r="E224">
        <v>145.69</v>
      </c>
      <c r="K224" s="1">
        <f>'Solar Availability and Gener GR'!F224</f>
        <v>1.6611768895219918E-2</v>
      </c>
      <c r="L224" s="1">
        <f>'System Load'!D224</f>
        <v>0.81837209302325586</v>
      </c>
      <c r="M224" s="1">
        <f t="shared" si="91"/>
        <v>-0.80176032412803599</v>
      </c>
      <c r="N224" s="1" t="str">
        <f t="shared" si="92"/>
        <v>Buy from Grid</v>
      </c>
      <c r="V224" s="1" t="str">
        <f t="shared" si="103"/>
        <v>discharge</v>
      </c>
      <c r="Y224" s="1">
        <f t="shared" si="89"/>
        <v>0.11922863023255814</v>
      </c>
      <c r="AA224" s="1">
        <f t="shared" si="93"/>
        <v>47.284695448348764</v>
      </c>
      <c r="AD224" s="1">
        <f t="shared" si="94"/>
        <v>0</v>
      </c>
    </row>
    <row r="225" spans="1:30" ht="15">
      <c r="A225" s="1">
        <v>224</v>
      </c>
      <c r="B225" s="1">
        <f t="shared" si="102"/>
        <v>0</v>
      </c>
      <c r="C225" s="1">
        <f t="shared" si="90"/>
        <v>-0.47165622884399966</v>
      </c>
      <c r="D225" s="1">
        <f t="shared" si="95"/>
        <v>18.010250647924785</v>
      </c>
      <c r="E225">
        <v>176.37</v>
      </c>
      <c r="K225" s="1">
        <f>'Solar Availability and Gener GR'!F225</f>
        <v>2.5785631621116648E-2</v>
      </c>
      <c r="L225" s="1">
        <f>'System Load'!D225</f>
        <v>0.49744186046511629</v>
      </c>
      <c r="M225" s="1">
        <f t="shared" si="91"/>
        <v>-0.47165622884399966</v>
      </c>
      <c r="N225" s="1" t="str">
        <f t="shared" si="92"/>
        <v>Buy from Grid</v>
      </c>
      <c r="V225" s="1" t="str">
        <f t="shared" si="103"/>
        <v>discharge</v>
      </c>
      <c r="Y225" s="1">
        <f t="shared" si="89"/>
        <v>8.7733820930232562E-2</v>
      </c>
      <c r="AA225" s="1">
        <f t="shared" si="93"/>
        <v>46.813039219504766</v>
      </c>
      <c r="AD225" s="1">
        <f t="shared" si="94"/>
        <v>0</v>
      </c>
    </row>
    <row r="226" spans="1:30" ht="15">
      <c r="A226" s="1">
        <v>225</v>
      </c>
      <c r="B226" s="1">
        <f t="shared" si="102"/>
        <v>0</v>
      </c>
      <c r="C226" s="1">
        <f t="shared" si="90"/>
        <v>-0.30927752324442759</v>
      </c>
      <c r="D226" s="1">
        <f t="shared" si="95"/>
        <v>17.623653743869252</v>
      </c>
      <c r="E226">
        <v>183.06</v>
      </c>
      <c r="K226" s="1">
        <f>'Solar Availability and Gener GR'!F226</f>
        <v>0.1881643372206887</v>
      </c>
      <c r="L226" s="1">
        <f>'System Load'!D226</f>
        <v>0.49744186046511629</v>
      </c>
      <c r="M226" s="1">
        <f t="shared" si="91"/>
        <v>-0.30927752324442759</v>
      </c>
      <c r="N226" s="1" t="str">
        <f t="shared" si="92"/>
        <v>Buy from Grid</v>
      </c>
      <c r="V226" s="1" t="str">
        <f t="shared" si="103"/>
        <v>discharge</v>
      </c>
      <c r="Y226" s="1">
        <f t="shared" si="89"/>
        <v>9.1061706976744192E-2</v>
      </c>
      <c r="AA226" s="1">
        <f t="shared" si="93"/>
        <v>46.503761696260341</v>
      </c>
      <c r="AD226" s="1">
        <f t="shared" si="94"/>
        <v>0</v>
      </c>
    </row>
    <row r="227" spans="1:30" ht="15">
      <c r="A227" s="1">
        <v>226</v>
      </c>
      <c r="B227" s="1">
        <f t="shared" si="102"/>
        <v>0</v>
      </c>
      <c r="C227" s="1">
        <f t="shared" si="90"/>
        <v>0.18816750479794531</v>
      </c>
      <c r="D227" s="1">
        <f t="shared" si="95"/>
        <v>17.858863124866684</v>
      </c>
      <c r="E227">
        <v>169.51</v>
      </c>
      <c r="K227" s="1">
        <f>'Solar Availability and Gener GR'!F227</f>
        <v>0.6856093652630616</v>
      </c>
      <c r="L227" s="1">
        <f>'System Load'!D227</f>
        <v>0.49744186046511629</v>
      </c>
      <c r="M227" s="1">
        <f t="shared" si="91"/>
        <v>0.18816750479794531</v>
      </c>
      <c r="N227" s="1" t="str">
        <f t="shared" si="92"/>
        <v>sell the surplus or charge</v>
      </c>
      <c r="O227" s="1">
        <v>0.25</v>
      </c>
      <c r="P227" s="1">
        <f t="shared" ref="P227:P234" si="104">0.25/L227</f>
        <v>0.5025712949976624</v>
      </c>
      <c r="Q227" s="1">
        <f t="shared" ref="Q227:Q234" si="105">K227-P227*L227</f>
        <v>0.4356093652630616</v>
      </c>
      <c r="R227" s="1">
        <f t="shared" ref="R227:R234" si="106">((1/(E227+0.01))*LN(0.25))+(E227*(K227-0.25))</f>
        <v>73.831965742875113</v>
      </c>
      <c r="S227" s="1">
        <f t="shared" ref="S227:S234" si="107">((1/(E227+0.01))*LN(L227))+(E227*(K227-L227))</f>
        <v>31.892154598418873</v>
      </c>
      <c r="T227" s="1">
        <f t="shared" ref="T227:T234" si="108">(S227+((S227^2)-4*(K227-L227*P227)*LN(L227*P227))^(0.5))/(2*(K227-L227*P227))</f>
        <v>73.256181034088229</v>
      </c>
      <c r="U227" s="1" t="str">
        <f t="shared" ref="U227:U234" si="109">IF(E227&gt;=T227*1.2,"sell to the Grid","charge")</f>
        <v>sell to the Grid</v>
      </c>
      <c r="W227" s="1">
        <f>(Q227*E227)/1000</f>
        <v>7.3840143505741571E-2</v>
      </c>
      <c r="Y227" s="1">
        <f t="shared" si="89"/>
        <v>8.4321369767441853E-2</v>
      </c>
      <c r="AA227" s="1">
        <f t="shared" si="93"/>
        <v>46.691929201058286</v>
      </c>
      <c r="AD227" s="1">
        <f t="shared" si="94"/>
        <v>0.25</v>
      </c>
    </row>
    <row r="228" spans="1:30" ht="15">
      <c r="A228" s="1">
        <v>227</v>
      </c>
      <c r="B228" s="1">
        <f t="shared" si="102"/>
        <v>0</v>
      </c>
      <c r="C228" s="1">
        <f t="shared" si="90"/>
        <v>0</v>
      </c>
      <c r="D228" s="1">
        <f t="shared" si="95"/>
        <v>17.858863124866684</v>
      </c>
      <c r="E228">
        <v>162.44</v>
      </c>
      <c r="K228" s="1">
        <f>'Solar Availability and Gener GR'!F228</f>
        <v>1.3745571085195381</v>
      </c>
      <c r="L228" s="1">
        <f>'System Load'!D228</f>
        <v>0.49744186046511629</v>
      </c>
      <c r="M228" s="1">
        <f t="shared" si="91"/>
        <v>0.87711524805442176</v>
      </c>
      <c r="N228" s="1" t="str">
        <f t="shared" si="92"/>
        <v>sell the surplus or charge</v>
      </c>
      <c r="O228" s="1">
        <v>0.25</v>
      </c>
      <c r="P228" s="1">
        <f t="shared" si="104"/>
        <v>0.5025712949976624</v>
      </c>
      <c r="Q228" s="1">
        <f t="shared" si="105"/>
        <v>1.1245571085195381</v>
      </c>
      <c r="R228" s="1">
        <f t="shared" si="106"/>
        <v>182.66452303994748</v>
      </c>
      <c r="S228" s="1">
        <f t="shared" si="107"/>
        <v>142.47430248464912</v>
      </c>
      <c r="T228" s="1">
        <f t="shared" si="108"/>
        <v>126.7034307628669</v>
      </c>
      <c r="U228" s="1" t="str">
        <f t="shared" si="109"/>
        <v>sell to the Grid</v>
      </c>
      <c r="Y228" s="1">
        <f t="shared" si="89"/>
        <v>8.0804455813953499E-2</v>
      </c>
      <c r="AA228" s="1">
        <f t="shared" si="93"/>
        <v>47.56904444911271</v>
      </c>
      <c r="AD228" s="1">
        <f t="shared" si="94"/>
        <v>0.25</v>
      </c>
    </row>
    <row r="229" spans="1:30" ht="15">
      <c r="A229" s="1">
        <v>228</v>
      </c>
      <c r="B229" s="1">
        <f t="shared" si="102"/>
        <v>1.5453930383690888</v>
      </c>
      <c r="C229" s="1">
        <f t="shared" si="90"/>
        <v>0</v>
      </c>
      <c r="D229" s="1">
        <f t="shared" si="95"/>
        <v>19.095177555561953</v>
      </c>
      <c r="E229">
        <v>159.97999999999999</v>
      </c>
      <c r="K229" s="1">
        <f>'Solar Availability and Gener GR'!F229</f>
        <v>1.7953930383690888</v>
      </c>
      <c r="L229" s="1">
        <f>'System Load'!D229</f>
        <v>0.49744186046511629</v>
      </c>
      <c r="M229" s="1">
        <f t="shared" si="91"/>
        <v>1.2979511779039725</v>
      </c>
      <c r="N229" s="1" t="str">
        <f t="shared" si="92"/>
        <v>sell the surplus or charge</v>
      </c>
      <c r="O229" s="1">
        <v>0.25</v>
      </c>
      <c r="P229" s="1">
        <f t="shared" si="104"/>
        <v>0.5025712949976624</v>
      </c>
      <c r="Q229" s="1">
        <f t="shared" si="105"/>
        <v>1.5453930383690888</v>
      </c>
      <c r="R229" s="1">
        <f t="shared" si="106"/>
        <v>247.22331339697473</v>
      </c>
      <c r="S229" s="1">
        <f t="shared" si="107"/>
        <v>207.64186493959241</v>
      </c>
      <c r="T229" s="1">
        <f t="shared" si="108"/>
        <v>134.36852431089508</v>
      </c>
      <c r="U229" s="1" t="str">
        <f t="shared" si="109"/>
        <v>charge</v>
      </c>
      <c r="Y229" s="1">
        <f t="shared" si="89"/>
        <v>7.9580748837209295E-2</v>
      </c>
      <c r="AA229" s="1">
        <f t="shared" si="93"/>
        <v>48.866995627016685</v>
      </c>
      <c r="AD229" s="1">
        <f t="shared" si="94"/>
        <v>0.25</v>
      </c>
    </row>
    <row r="230" spans="1:30" ht="15">
      <c r="A230" s="1">
        <v>229</v>
      </c>
      <c r="B230" s="1">
        <f t="shared" si="102"/>
        <v>1.7268939731149291</v>
      </c>
      <c r="C230" s="1">
        <f t="shared" si="90"/>
        <v>0</v>
      </c>
      <c r="D230" s="1">
        <f t="shared" si="95"/>
        <v>20.476692734053898</v>
      </c>
      <c r="E230">
        <v>146.19</v>
      </c>
      <c r="K230" s="1">
        <f>'Solar Availability and Gener GR'!F230</f>
        <v>1.9768939731149291</v>
      </c>
      <c r="L230" s="1">
        <f>'System Load'!D230</f>
        <v>0.49744186046511629</v>
      </c>
      <c r="M230" s="1">
        <f t="shared" si="91"/>
        <v>1.4794521126498128</v>
      </c>
      <c r="N230" s="1" t="str">
        <f t="shared" si="92"/>
        <v>sell the surplus or charge</v>
      </c>
      <c r="O230" s="1">
        <v>0.25</v>
      </c>
      <c r="P230" s="1">
        <f t="shared" si="104"/>
        <v>0.5025712949976624</v>
      </c>
      <c r="Q230" s="1">
        <f t="shared" si="105"/>
        <v>1.7268939731149291</v>
      </c>
      <c r="R230" s="1">
        <f t="shared" si="106"/>
        <v>252.44514775209885</v>
      </c>
      <c r="S230" s="1">
        <f t="shared" si="107"/>
        <v>216.27632817459215</v>
      </c>
      <c r="T230" s="1">
        <f t="shared" si="108"/>
        <v>125.24648303318233</v>
      </c>
      <c r="U230" s="1" t="str">
        <f t="shared" si="109"/>
        <v>charge</v>
      </c>
      <c r="Y230" s="1">
        <f t="shared" si="89"/>
        <v>7.2721025581395357E-2</v>
      </c>
      <c r="AA230" s="1">
        <f t="shared" si="93"/>
        <v>50.346447739666495</v>
      </c>
      <c r="AD230" s="1">
        <f t="shared" si="94"/>
        <v>0.25</v>
      </c>
    </row>
    <row r="231" spans="1:30" ht="15">
      <c r="A231" s="1">
        <v>230</v>
      </c>
      <c r="B231" s="1">
        <f t="shared" si="102"/>
        <v>1.7456423039259323</v>
      </c>
      <c r="C231" s="1">
        <f t="shared" si="90"/>
        <v>0</v>
      </c>
      <c r="D231" s="1">
        <f t="shared" si="95"/>
        <v>21.873206577194644</v>
      </c>
      <c r="E231">
        <v>145.13</v>
      </c>
      <c r="K231" s="1">
        <f>'Solar Availability and Gener GR'!F231</f>
        <v>1.9956423039259323</v>
      </c>
      <c r="L231" s="1">
        <f>'System Load'!D231</f>
        <v>0.49744186046511629</v>
      </c>
      <c r="M231" s="1">
        <f t="shared" si="91"/>
        <v>1.498200443460816</v>
      </c>
      <c r="N231" s="1" t="str">
        <f t="shared" si="92"/>
        <v>sell the surplus or charge</v>
      </c>
      <c r="O231" s="1">
        <v>0.25</v>
      </c>
      <c r="P231" s="1">
        <f t="shared" si="104"/>
        <v>0.5025712949976624</v>
      </c>
      <c r="Q231" s="1">
        <f t="shared" si="105"/>
        <v>1.7456423039259323</v>
      </c>
      <c r="R231" s="1">
        <f t="shared" si="106"/>
        <v>253.33551614007331</v>
      </c>
      <c r="S231" s="1">
        <f t="shared" si="107"/>
        <v>217.42901930398662</v>
      </c>
      <c r="T231" s="1">
        <f t="shared" si="108"/>
        <v>124.56168608835391</v>
      </c>
      <c r="U231" s="1" t="str">
        <f t="shared" si="109"/>
        <v>charge</v>
      </c>
      <c r="Y231" s="1">
        <f t="shared" si="89"/>
        <v>7.2193737209302333E-2</v>
      </c>
      <c r="AA231" s="1">
        <f t="shared" si="93"/>
        <v>51.844648183127312</v>
      </c>
      <c r="AD231" s="1">
        <f t="shared" si="94"/>
        <v>0.25</v>
      </c>
    </row>
    <row r="232" spans="1:30" ht="15">
      <c r="A232" s="1">
        <v>231</v>
      </c>
      <c r="B232" s="1">
        <f t="shared" si="102"/>
        <v>1.6111857918632597</v>
      </c>
      <c r="C232" s="1">
        <f t="shared" si="90"/>
        <v>0</v>
      </c>
      <c r="D232" s="1">
        <f t="shared" si="95"/>
        <v>23.162155210685253</v>
      </c>
      <c r="E232">
        <v>162.46</v>
      </c>
      <c r="K232" s="1">
        <f>'Solar Availability and Gener GR'!F232</f>
        <v>1.8611857918632597</v>
      </c>
      <c r="L232" s="1">
        <f>'System Load'!D232</f>
        <v>0.51348837209302334</v>
      </c>
      <c r="M232" s="1">
        <f t="shared" si="91"/>
        <v>1.3476974197702365</v>
      </c>
      <c r="N232" s="1" t="str">
        <f t="shared" si="92"/>
        <v>sell the surplus or charge</v>
      </c>
      <c r="O232" s="1">
        <v>0.25</v>
      </c>
      <c r="P232" s="1">
        <f t="shared" si="104"/>
        <v>0.48686594202898542</v>
      </c>
      <c r="Q232" s="1">
        <f t="shared" si="105"/>
        <v>1.6111857918632597</v>
      </c>
      <c r="R232" s="1">
        <f t="shared" si="106"/>
        <v>261.74471112863046</v>
      </c>
      <c r="S232" s="1">
        <f t="shared" si="107"/>
        <v>218.94282034837534</v>
      </c>
      <c r="T232" s="1">
        <f t="shared" si="108"/>
        <v>135.89557618227542</v>
      </c>
      <c r="U232" s="1" t="str">
        <f t="shared" si="109"/>
        <v>charge</v>
      </c>
      <c r="Y232" s="1">
        <f t="shared" si="89"/>
        <v>8.3421320930232579E-2</v>
      </c>
      <c r="AA232" s="1">
        <f t="shared" si="93"/>
        <v>53.192345602897547</v>
      </c>
      <c r="AD232" s="1">
        <f t="shared" si="94"/>
        <v>0.25</v>
      </c>
    </row>
    <row r="233" spans="1:30" ht="15">
      <c r="A233" s="1">
        <v>232</v>
      </c>
      <c r="B233" s="1">
        <f t="shared" si="102"/>
        <v>0</v>
      </c>
      <c r="C233" s="1">
        <f t="shared" si="90"/>
        <v>0</v>
      </c>
      <c r="D233" s="1">
        <f t="shared" si="95"/>
        <v>23.162155210685253</v>
      </c>
      <c r="E233">
        <v>168.92</v>
      </c>
      <c r="K233" s="1">
        <f>'Solar Availability and Gener GR'!F233</f>
        <v>1.5639633223537788</v>
      </c>
      <c r="L233" s="1">
        <f>'System Load'!D233</f>
        <v>0.83441860465116291</v>
      </c>
      <c r="M233" s="1">
        <f t="shared" si="91"/>
        <v>0.72954471770261586</v>
      </c>
      <c r="N233" s="1" t="str">
        <f t="shared" si="92"/>
        <v>sell the surplus or charge</v>
      </c>
      <c r="O233" s="1">
        <v>0.25</v>
      </c>
      <c r="P233" s="1">
        <f t="shared" si="104"/>
        <v>0.29960981047937563</v>
      </c>
      <c r="Q233" s="1">
        <f t="shared" si="105"/>
        <v>1.3139633223537788</v>
      </c>
      <c r="R233" s="1">
        <f t="shared" si="106"/>
        <v>221.94647808771734</v>
      </c>
      <c r="S233" s="1">
        <f t="shared" si="107"/>
        <v>123.23362214575602</v>
      </c>
      <c r="T233" s="1">
        <f t="shared" si="108"/>
        <v>93.798966431884452</v>
      </c>
      <c r="U233" s="1" t="str">
        <f t="shared" si="109"/>
        <v>sell to the Grid</v>
      </c>
      <c r="W233" s="1">
        <f>(Q233*E233)/1000</f>
        <v>0.22195468441200028</v>
      </c>
      <c r="Y233" s="1">
        <f t="shared" si="89"/>
        <v>0.14094999069767442</v>
      </c>
      <c r="AA233" s="1">
        <f t="shared" si="93"/>
        <v>53.921890320600163</v>
      </c>
      <c r="AD233" s="1">
        <f t="shared" si="94"/>
        <v>0.25</v>
      </c>
    </row>
    <row r="234" spans="1:30" ht="15">
      <c r="A234" s="1">
        <v>233</v>
      </c>
      <c r="B234" s="1">
        <f t="shared" si="102"/>
        <v>0</v>
      </c>
      <c r="C234" s="1">
        <f t="shared" si="90"/>
        <v>0</v>
      </c>
      <c r="D234" s="1">
        <f t="shared" si="95"/>
        <v>23.162155210685253</v>
      </c>
      <c r="E234">
        <v>166.2</v>
      </c>
      <c r="K234" s="1">
        <f>'Solar Availability and Gener GR'!F234</f>
        <v>1.065690376569036</v>
      </c>
      <c r="L234" s="1">
        <f>'System Load'!D234</f>
        <v>0.81837209302325586</v>
      </c>
      <c r="M234" s="1">
        <f t="shared" si="91"/>
        <v>0.24731828354578012</v>
      </c>
      <c r="N234" s="1" t="str">
        <f t="shared" si="92"/>
        <v>sell the surplus or charge</v>
      </c>
      <c r="O234" s="1">
        <v>0.25</v>
      </c>
      <c r="P234" s="1">
        <f t="shared" si="104"/>
        <v>0.30548451264563797</v>
      </c>
      <c r="Q234" s="1">
        <f t="shared" si="105"/>
        <v>0.81569037656903598</v>
      </c>
      <c r="R234" s="1">
        <f t="shared" si="106"/>
        <v>135.55939996630971</v>
      </c>
      <c r="S234" s="1">
        <f t="shared" si="107"/>
        <v>41.103092792065404</v>
      </c>
      <c r="T234" s="1">
        <f t="shared" si="108"/>
        <v>50.424262170212003</v>
      </c>
      <c r="U234" s="1" t="str">
        <f t="shared" si="109"/>
        <v>sell to the Grid</v>
      </c>
      <c r="W234" s="1">
        <f>(Q234*E234)/1000</f>
        <v>0.13556774058577378</v>
      </c>
      <c r="Y234" s="1">
        <f t="shared" si="89"/>
        <v>0.13601344186046513</v>
      </c>
      <c r="AA234" s="1">
        <f t="shared" si="93"/>
        <v>54.169208604145943</v>
      </c>
      <c r="AD234" s="1">
        <f t="shared" si="94"/>
        <v>0.25</v>
      </c>
    </row>
    <row r="235" spans="1:30" ht="15">
      <c r="A235" s="1">
        <v>234</v>
      </c>
      <c r="B235" s="1">
        <f t="shared" si="102"/>
        <v>0</v>
      </c>
      <c r="C235" s="1">
        <f t="shared" si="90"/>
        <v>0</v>
      </c>
      <c r="D235" s="1">
        <f t="shared" si="95"/>
        <v>23.162155210685253</v>
      </c>
      <c r="E235">
        <v>170.71</v>
      </c>
      <c r="K235" s="1">
        <f>'Solar Availability and Gener GR'!F235</f>
        <v>0.46207157482417677</v>
      </c>
      <c r="L235" s="1">
        <f>'System Load'!D235</f>
        <v>0.83441860465116291</v>
      </c>
      <c r="M235" s="1">
        <f t="shared" si="91"/>
        <v>-0.37234702982698614</v>
      </c>
      <c r="N235" s="1" t="str">
        <f t="shared" si="92"/>
        <v>Buy from Grid</v>
      </c>
      <c r="V235" s="1" t="str">
        <f t="shared" ref="V235:V251" si="110">IF(D235+M235&gt;0,"discharge","buy from the Grid")</f>
        <v>discharge</v>
      </c>
      <c r="Y235" s="1">
        <f t="shared" si="89"/>
        <v>0.14244360000000003</v>
      </c>
      <c r="AA235" s="1">
        <f t="shared" si="93"/>
        <v>53.79686157431896</v>
      </c>
      <c r="AD235" s="1">
        <f t="shared" si="94"/>
        <v>0</v>
      </c>
    </row>
    <row r="236" spans="1:30" ht="15">
      <c r="A236" s="1">
        <v>235</v>
      </c>
      <c r="B236" s="1">
        <f t="shared" si="102"/>
        <v>0</v>
      </c>
      <c r="C236" s="1">
        <f t="shared" si="90"/>
        <v>-0.77491535529658229</v>
      </c>
      <c r="D236" s="1">
        <f t="shared" si="95"/>
        <v>22.193511016564525</v>
      </c>
      <c r="E236">
        <v>167.74</v>
      </c>
      <c r="K236" s="1">
        <f>'Solar Availability and Gener GR'!F236</f>
        <v>5.9503249354580651E-2</v>
      </c>
      <c r="L236" s="1">
        <f>'System Load'!D236</f>
        <v>0.83441860465116291</v>
      </c>
      <c r="M236" s="1">
        <f t="shared" si="91"/>
        <v>-0.77491535529658229</v>
      </c>
      <c r="N236" s="1" t="str">
        <f t="shared" si="92"/>
        <v>Buy from Grid</v>
      </c>
      <c r="V236" s="1" t="str">
        <f t="shared" si="110"/>
        <v>discharge</v>
      </c>
      <c r="Y236" s="1">
        <f t="shared" si="89"/>
        <v>0.13996537674418608</v>
      </c>
      <c r="AA236" s="1">
        <f t="shared" si="93"/>
        <v>53.021946219022375</v>
      </c>
      <c r="AD236" s="1">
        <f t="shared" si="94"/>
        <v>0</v>
      </c>
    </row>
    <row r="237" spans="1:30" ht="15">
      <c r="A237" s="1">
        <v>236</v>
      </c>
      <c r="B237" s="1">
        <f t="shared" si="102"/>
        <v>0</v>
      </c>
      <c r="C237" s="1">
        <f t="shared" si="90"/>
        <v>-0.49744186046511629</v>
      </c>
      <c r="D237" s="1">
        <f t="shared" si="95"/>
        <v>21.571708690983129</v>
      </c>
      <c r="E237">
        <v>216.28</v>
      </c>
      <c r="K237" s="1">
        <f>'Solar Availability and Gener GR'!F237</f>
        <v>0</v>
      </c>
      <c r="L237" s="1">
        <f>'System Load'!D237</f>
        <v>0.49744186046511629</v>
      </c>
      <c r="M237" s="1">
        <f t="shared" si="91"/>
        <v>-0.49744186046511629</v>
      </c>
      <c r="N237" s="1" t="str">
        <f t="shared" si="92"/>
        <v>Buy from Grid</v>
      </c>
      <c r="V237" s="1" t="str">
        <f t="shared" si="110"/>
        <v>discharge</v>
      </c>
      <c r="Y237" s="1">
        <f t="shared" si="89"/>
        <v>0.10758672558139536</v>
      </c>
      <c r="AA237" s="1">
        <f t="shared" si="93"/>
        <v>52.524504358557259</v>
      </c>
      <c r="AD237" s="1">
        <f t="shared" si="94"/>
        <v>0</v>
      </c>
    </row>
    <row r="238" spans="1:30" ht="15">
      <c r="A238" s="1">
        <v>237</v>
      </c>
      <c r="B238" s="1">
        <f t="shared" si="102"/>
        <v>0</v>
      </c>
      <c r="C238" s="1">
        <f t="shared" si="90"/>
        <v>-0.49744186046511629</v>
      </c>
      <c r="D238" s="1">
        <f t="shared" si="95"/>
        <v>20.949906365401734</v>
      </c>
      <c r="E238">
        <v>228.74</v>
      </c>
      <c r="K238" s="1">
        <f>'Solar Availability and Gener GR'!F238</f>
        <v>0</v>
      </c>
      <c r="L238" s="1">
        <f>'System Load'!D238</f>
        <v>0.49744186046511629</v>
      </c>
      <c r="M238" s="1">
        <f t="shared" si="91"/>
        <v>-0.49744186046511629</v>
      </c>
      <c r="N238" s="1" t="str">
        <f t="shared" si="92"/>
        <v>Buy from Grid</v>
      </c>
      <c r="V238" s="1" t="str">
        <f t="shared" si="110"/>
        <v>discharge</v>
      </c>
      <c r="Y238" s="1">
        <f t="shared" si="89"/>
        <v>0.1137848511627907</v>
      </c>
      <c r="AA238" s="1">
        <f t="shared" si="93"/>
        <v>52.027062498092143</v>
      </c>
      <c r="AD238" s="1">
        <f t="shared" si="94"/>
        <v>0</v>
      </c>
    </row>
    <row r="239" spans="1:30" ht="15">
      <c r="A239" s="1">
        <v>238</v>
      </c>
      <c r="B239" s="1">
        <f t="shared" si="102"/>
        <v>0</v>
      </c>
      <c r="C239" s="1">
        <f t="shared" si="90"/>
        <v>-0.32093023255813952</v>
      </c>
      <c r="D239" s="1">
        <f t="shared" si="95"/>
        <v>20.548743574704059</v>
      </c>
      <c r="E239">
        <v>165</v>
      </c>
      <c r="K239" s="1">
        <f>'Solar Availability and Gener GR'!F239</f>
        <v>0</v>
      </c>
      <c r="L239" s="1">
        <f>'System Load'!D239</f>
        <v>0.32093023255813952</v>
      </c>
      <c r="M239" s="1">
        <f t="shared" si="91"/>
        <v>-0.32093023255813952</v>
      </c>
      <c r="N239" s="1" t="str">
        <f t="shared" si="92"/>
        <v>Buy from Grid</v>
      </c>
      <c r="V239" s="1" t="str">
        <f t="shared" si="110"/>
        <v>discharge</v>
      </c>
      <c r="Y239" s="1">
        <f t="shared" si="89"/>
        <v>5.2953488372093023E-2</v>
      </c>
      <c r="AA239" s="1">
        <f t="shared" si="93"/>
        <v>51.706132265534002</v>
      </c>
      <c r="AD239" s="1">
        <f t="shared" si="94"/>
        <v>0</v>
      </c>
    </row>
    <row r="240" spans="1:30" ht="15">
      <c r="A240" s="1">
        <v>239</v>
      </c>
      <c r="B240" s="1">
        <f t="shared" si="102"/>
        <v>0</v>
      </c>
      <c r="C240" s="1">
        <f t="shared" si="90"/>
        <v>-0.32093023255813952</v>
      </c>
      <c r="D240" s="1">
        <f t="shared" si="95"/>
        <v>20.147580784006383</v>
      </c>
      <c r="E240">
        <v>155</v>
      </c>
      <c r="K240" s="1">
        <f>'Solar Availability and Gener GR'!F240</f>
        <v>0</v>
      </c>
      <c r="L240" s="1">
        <f>'System Load'!D240</f>
        <v>0.32093023255813952</v>
      </c>
      <c r="M240" s="1">
        <f t="shared" si="91"/>
        <v>-0.32093023255813952</v>
      </c>
      <c r="N240" s="1" t="str">
        <f t="shared" si="92"/>
        <v>Buy from Grid</v>
      </c>
      <c r="V240" s="1" t="str">
        <f t="shared" si="110"/>
        <v>discharge</v>
      </c>
      <c r="Y240" s="1">
        <f t="shared" si="89"/>
        <v>4.9744186046511624E-2</v>
      </c>
      <c r="AA240" s="1">
        <f t="shared" si="93"/>
        <v>51.385202032975862</v>
      </c>
      <c r="AD240" s="1">
        <f t="shared" si="94"/>
        <v>0</v>
      </c>
    </row>
    <row r="241" spans="1:30" ht="15">
      <c r="A241" s="1">
        <v>240</v>
      </c>
      <c r="B241" s="1">
        <f t="shared" si="102"/>
        <v>0</v>
      </c>
      <c r="C241" s="1">
        <f t="shared" si="90"/>
        <v>-0.24069767441860468</v>
      </c>
      <c r="D241" s="1">
        <f t="shared" si="95"/>
        <v>19.846708690983128</v>
      </c>
      <c r="E241">
        <v>228.5</v>
      </c>
      <c r="K241" s="1">
        <f>'Solar Availability and Gener GR'!F241</f>
        <v>0</v>
      </c>
      <c r="L241" s="1">
        <f>'System Load'!D241</f>
        <v>0.24069767441860468</v>
      </c>
      <c r="M241" s="1">
        <f t="shared" si="91"/>
        <v>-0.24069767441860468</v>
      </c>
      <c r="N241" s="1" t="str">
        <f t="shared" si="92"/>
        <v>Buy from Grid</v>
      </c>
      <c r="V241" s="1" t="str">
        <f t="shared" si="110"/>
        <v>discharge</v>
      </c>
      <c r="Y241" s="1">
        <f t="shared" si="89"/>
        <v>5.4999418604651171E-2</v>
      </c>
      <c r="AA241" s="1">
        <f t="shared" si="93"/>
        <v>51.144504358557256</v>
      </c>
      <c r="AD241" s="1">
        <f t="shared" si="94"/>
        <v>0</v>
      </c>
    </row>
    <row r="242" spans="1:30" ht="15">
      <c r="A242" s="1">
        <v>241</v>
      </c>
      <c r="B242" s="1">
        <f t="shared" si="102"/>
        <v>0</v>
      </c>
      <c r="C242" s="1">
        <f t="shared" si="90"/>
        <v>-0.24069767441860468</v>
      </c>
      <c r="D242" s="1">
        <f t="shared" si="95"/>
        <v>19.545836597959873</v>
      </c>
      <c r="E242">
        <v>269.12</v>
      </c>
      <c r="K242" s="1">
        <f>'Solar Availability and Gener GR'!F242</f>
        <v>0</v>
      </c>
      <c r="L242" s="1">
        <f>'System Load'!D242</f>
        <v>0.24069767441860468</v>
      </c>
      <c r="M242" s="1">
        <f t="shared" si="91"/>
        <v>-0.24069767441860468</v>
      </c>
      <c r="N242" s="1" t="str">
        <f t="shared" si="92"/>
        <v>Buy from Grid</v>
      </c>
      <c r="V242" s="1" t="str">
        <f t="shared" si="110"/>
        <v>discharge</v>
      </c>
      <c r="Y242" s="1">
        <f t="shared" si="89"/>
        <v>6.4776558139534895E-2</v>
      </c>
      <c r="AA242" s="1">
        <f t="shared" si="93"/>
        <v>50.903806684138651</v>
      </c>
      <c r="AD242" s="1">
        <f t="shared" si="94"/>
        <v>0</v>
      </c>
    </row>
    <row r="243" spans="1:30" ht="15">
      <c r="A243" s="1">
        <v>242</v>
      </c>
      <c r="B243" s="1">
        <f t="shared" si="102"/>
        <v>0</v>
      </c>
      <c r="C243" s="1">
        <f t="shared" si="90"/>
        <v>-0.24069767441860468</v>
      </c>
      <c r="D243" s="1">
        <f t="shared" si="95"/>
        <v>19.244964504936618</v>
      </c>
      <c r="E243">
        <v>251</v>
      </c>
      <c r="K243" s="1">
        <f>'Solar Availability and Gener GR'!F243</f>
        <v>0</v>
      </c>
      <c r="L243" s="1">
        <f>'System Load'!D243</f>
        <v>0.24069767441860468</v>
      </c>
      <c r="M243" s="1">
        <f t="shared" si="91"/>
        <v>-0.24069767441860468</v>
      </c>
      <c r="N243" s="1" t="str">
        <f t="shared" si="92"/>
        <v>Buy from Grid</v>
      </c>
      <c r="V243" s="1" t="str">
        <f t="shared" si="110"/>
        <v>discharge</v>
      </c>
      <c r="Y243" s="1">
        <f t="shared" si="89"/>
        <v>6.0415116279069772E-2</v>
      </c>
      <c r="AA243" s="1">
        <f t="shared" si="93"/>
        <v>50.663109009720046</v>
      </c>
      <c r="AD243" s="1">
        <f t="shared" si="94"/>
        <v>0</v>
      </c>
    </row>
    <row r="244" spans="1:30" ht="15">
      <c r="A244" s="1">
        <v>243</v>
      </c>
      <c r="B244" s="1">
        <f t="shared" si="102"/>
        <v>0</v>
      </c>
      <c r="C244" s="1">
        <f t="shared" si="90"/>
        <v>-0.24069767441860468</v>
      </c>
      <c r="D244" s="1">
        <f t="shared" si="95"/>
        <v>18.944092411913363</v>
      </c>
      <c r="E244">
        <v>251</v>
      </c>
      <c r="K244" s="1">
        <f>'Solar Availability and Gener GR'!F244</f>
        <v>0</v>
      </c>
      <c r="L244" s="1">
        <f>'System Load'!D244</f>
        <v>0.24069767441860468</v>
      </c>
      <c r="M244" s="1">
        <f t="shared" si="91"/>
        <v>-0.24069767441860468</v>
      </c>
      <c r="N244" s="1" t="str">
        <f t="shared" si="92"/>
        <v>Buy from Grid</v>
      </c>
      <c r="V244" s="1" t="str">
        <f t="shared" si="110"/>
        <v>discharge</v>
      </c>
      <c r="Y244" s="1">
        <f t="shared" si="89"/>
        <v>6.0415116279069772E-2</v>
      </c>
      <c r="AA244" s="1">
        <f t="shared" si="93"/>
        <v>50.42241133530144</v>
      </c>
      <c r="AD244" s="1">
        <f t="shared" si="94"/>
        <v>0</v>
      </c>
    </row>
    <row r="245" spans="1:30" ht="15">
      <c r="A245" s="1">
        <v>244</v>
      </c>
      <c r="B245" s="1">
        <f t="shared" si="102"/>
        <v>0</v>
      </c>
      <c r="C245" s="1">
        <f t="shared" si="90"/>
        <v>-0.24069767441860468</v>
      </c>
      <c r="D245" s="1">
        <f t="shared" si="95"/>
        <v>18.643220318890108</v>
      </c>
      <c r="E245">
        <v>133.94999999999999</v>
      </c>
      <c r="K245" s="1">
        <f>'Solar Availability and Gener GR'!F245</f>
        <v>0</v>
      </c>
      <c r="L245" s="1">
        <f>'System Load'!D245</f>
        <v>0.24069767441860468</v>
      </c>
      <c r="M245" s="1">
        <f t="shared" si="91"/>
        <v>-0.24069767441860468</v>
      </c>
      <c r="N245" s="1" t="str">
        <f t="shared" si="92"/>
        <v>Buy from Grid</v>
      </c>
      <c r="V245" s="1" t="str">
        <f t="shared" si="110"/>
        <v>discharge</v>
      </c>
      <c r="Y245" s="1">
        <f t="shared" si="89"/>
        <v>3.2241453488372096E-2</v>
      </c>
      <c r="AA245" s="1">
        <f t="shared" si="93"/>
        <v>50.181713660882835</v>
      </c>
      <c r="AD245" s="1">
        <f t="shared" si="94"/>
        <v>0</v>
      </c>
    </row>
    <row r="246" spans="1:30" ht="15">
      <c r="A246" s="1">
        <v>245</v>
      </c>
      <c r="B246" s="1">
        <f t="shared" si="102"/>
        <v>0</v>
      </c>
      <c r="C246" s="1">
        <f t="shared" si="90"/>
        <v>-0.24069767441860468</v>
      </c>
      <c r="D246" s="1">
        <f t="shared" si="95"/>
        <v>18.342348225866854</v>
      </c>
      <c r="E246">
        <v>270.58</v>
      </c>
      <c r="K246" s="1">
        <f>'Solar Availability and Gener GR'!F246</f>
        <v>0</v>
      </c>
      <c r="L246" s="1">
        <f>'System Load'!D246</f>
        <v>0.24069767441860468</v>
      </c>
      <c r="M246" s="1">
        <f t="shared" si="91"/>
        <v>-0.24069767441860468</v>
      </c>
      <c r="N246" s="1" t="str">
        <f t="shared" si="92"/>
        <v>Buy from Grid</v>
      </c>
      <c r="V246" s="1" t="str">
        <f t="shared" si="110"/>
        <v>discharge</v>
      </c>
      <c r="Y246" s="1">
        <f t="shared" si="89"/>
        <v>6.512797674418605E-2</v>
      </c>
      <c r="AA246" s="1">
        <f t="shared" si="93"/>
        <v>49.94101598646423</v>
      </c>
      <c r="AD246" s="1">
        <f t="shared" si="94"/>
        <v>0</v>
      </c>
    </row>
    <row r="247" spans="1:30" ht="15">
      <c r="A247" s="1">
        <v>246</v>
      </c>
      <c r="B247" s="1">
        <f t="shared" si="102"/>
        <v>0</v>
      </c>
      <c r="C247" s="1">
        <f t="shared" si="90"/>
        <v>-0.32093023255813952</v>
      </c>
      <c r="D247" s="1">
        <f t="shared" si="95"/>
        <v>17.941185435169178</v>
      </c>
      <c r="E247">
        <v>270.29000000000002</v>
      </c>
      <c r="K247" s="1">
        <f>'Solar Availability and Gener GR'!F247</f>
        <v>0</v>
      </c>
      <c r="L247" s="1">
        <f>'System Load'!D247</f>
        <v>0.32093023255813952</v>
      </c>
      <c r="M247" s="1">
        <f t="shared" si="91"/>
        <v>-0.32093023255813952</v>
      </c>
      <c r="N247" s="1" t="str">
        <f t="shared" si="92"/>
        <v>Buy from Grid</v>
      </c>
      <c r="V247" s="1" t="str">
        <f t="shared" si="110"/>
        <v>discharge</v>
      </c>
      <c r="Y247" s="1">
        <f t="shared" si="89"/>
        <v>8.6744232558139525E-2</v>
      </c>
      <c r="AA247" s="1">
        <f t="shared" si="93"/>
        <v>49.620085753906089</v>
      </c>
      <c r="AD247" s="1">
        <f t="shared" si="94"/>
        <v>0</v>
      </c>
    </row>
    <row r="248" spans="1:30" ht="15">
      <c r="A248" s="1">
        <v>247</v>
      </c>
      <c r="B248" s="1">
        <f t="shared" si="102"/>
        <v>0</v>
      </c>
      <c r="C248" s="1">
        <f t="shared" si="90"/>
        <v>-0.81780683575594304</v>
      </c>
      <c r="D248" s="1">
        <f t="shared" si="95"/>
        <v>16.91892689047425</v>
      </c>
      <c r="E248">
        <v>270.12</v>
      </c>
      <c r="K248" s="1">
        <f>'Solar Availability and Gener GR'!F248</f>
        <v>1.6611768895219918E-2</v>
      </c>
      <c r="L248" s="1">
        <f>'System Load'!D248</f>
        <v>0.83441860465116291</v>
      </c>
      <c r="M248" s="1">
        <f t="shared" si="91"/>
        <v>-0.81780683575594304</v>
      </c>
      <c r="N248" s="1" t="str">
        <f t="shared" si="92"/>
        <v>Buy from Grid</v>
      </c>
      <c r="V248" s="1" t="str">
        <f t="shared" si="110"/>
        <v>discharge</v>
      </c>
      <c r="Y248" s="1">
        <f t="shared" si="89"/>
        <v>0.22539315348837213</v>
      </c>
      <c r="AA248" s="1">
        <f t="shared" si="93"/>
        <v>48.802278918150144</v>
      </c>
      <c r="AD248" s="1">
        <f t="shared" si="94"/>
        <v>0</v>
      </c>
    </row>
    <row r="249" spans="1:30" ht="15">
      <c r="A249" s="1">
        <v>248</v>
      </c>
      <c r="B249" s="1">
        <f t="shared" si="102"/>
        <v>0</v>
      </c>
      <c r="C249" s="1">
        <f t="shared" si="90"/>
        <v>-0.47165622884399966</v>
      </c>
      <c r="D249" s="1">
        <f t="shared" si="95"/>
        <v>16.32935660441925</v>
      </c>
      <c r="E249">
        <v>271.98</v>
      </c>
      <c r="K249" s="1">
        <f>'Solar Availability and Gener GR'!F249</f>
        <v>2.5785631621116648E-2</v>
      </c>
      <c r="L249" s="1">
        <f>'System Load'!D249</f>
        <v>0.49744186046511629</v>
      </c>
      <c r="M249" s="1">
        <f t="shared" si="91"/>
        <v>-0.47165622884399966</v>
      </c>
      <c r="N249" s="1" t="str">
        <f t="shared" si="92"/>
        <v>Buy from Grid</v>
      </c>
      <c r="V249" s="1" t="str">
        <f t="shared" si="110"/>
        <v>discharge</v>
      </c>
      <c r="Y249" s="1">
        <f t="shared" si="89"/>
        <v>0.13529423720930234</v>
      </c>
      <c r="AA249" s="1">
        <f t="shared" si="93"/>
        <v>48.330622689306146</v>
      </c>
      <c r="AD249" s="1">
        <f t="shared" si="94"/>
        <v>0</v>
      </c>
    </row>
    <row r="250" spans="1:30" ht="15">
      <c r="A250" s="1">
        <v>249</v>
      </c>
      <c r="B250" s="1">
        <f t="shared" si="102"/>
        <v>0</v>
      </c>
      <c r="C250" s="1">
        <f t="shared" si="90"/>
        <v>-0.42418449377767731</v>
      </c>
      <c r="D250" s="1">
        <f t="shared" si="95"/>
        <v>15.799125987197153</v>
      </c>
      <c r="E250">
        <v>271.92</v>
      </c>
      <c r="K250" s="1">
        <f>'Solar Availability and Gener GR'!F250</f>
        <v>7.3257366687438957E-2</v>
      </c>
      <c r="L250" s="1">
        <f>'System Load'!D250</f>
        <v>0.49744186046511629</v>
      </c>
      <c r="M250" s="1">
        <f t="shared" si="91"/>
        <v>-0.42418449377767731</v>
      </c>
      <c r="N250" s="1" t="str">
        <f t="shared" si="92"/>
        <v>Buy from Grid</v>
      </c>
      <c r="V250" s="1" t="str">
        <f t="shared" si="110"/>
        <v>discharge</v>
      </c>
      <c r="Y250" s="1">
        <f t="shared" si="89"/>
        <v>0.13526439069767443</v>
      </c>
      <c r="AA250" s="1">
        <f t="shared" si="93"/>
        <v>47.906438195528466</v>
      </c>
      <c r="AD250" s="1">
        <f t="shared" si="94"/>
        <v>0</v>
      </c>
    </row>
    <row r="251" spans="1:30" ht="15">
      <c r="A251" s="1">
        <v>250</v>
      </c>
      <c r="B251" s="1">
        <f t="shared" si="102"/>
        <v>0</v>
      </c>
      <c r="C251" s="1">
        <f t="shared" si="90"/>
        <v>-0.12777658849859186</v>
      </c>
      <c r="D251" s="1">
        <f t="shared" si="95"/>
        <v>15.639405251573912</v>
      </c>
      <c r="E251">
        <v>254.22</v>
      </c>
      <c r="K251" s="1">
        <f>'Solar Availability and Gener GR'!F251</f>
        <v>0.36966527196652443</v>
      </c>
      <c r="L251" s="1">
        <f>'System Load'!D251</f>
        <v>0.49744186046511629</v>
      </c>
      <c r="M251" s="1">
        <f t="shared" si="91"/>
        <v>-0.12777658849859186</v>
      </c>
      <c r="N251" s="1" t="str">
        <f t="shared" si="92"/>
        <v>Buy from Grid</v>
      </c>
      <c r="V251" s="1" t="str">
        <f t="shared" si="110"/>
        <v>discharge</v>
      </c>
      <c r="Y251" s="1">
        <f t="shared" si="89"/>
        <v>0.12645966976744186</v>
      </c>
      <c r="AA251" s="1">
        <f t="shared" si="93"/>
        <v>47.778661607029875</v>
      </c>
      <c r="AD251" s="1">
        <f t="shared" si="94"/>
        <v>0</v>
      </c>
    </row>
    <row r="252" spans="1:30" ht="15">
      <c r="A252" s="1">
        <v>251</v>
      </c>
      <c r="B252" s="1">
        <f t="shared" si="102"/>
        <v>0</v>
      </c>
      <c r="C252" s="1">
        <f t="shared" si="90"/>
        <v>0.29309940188688077</v>
      </c>
      <c r="D252" s="1">
        <f t="shared" si="95"/>
        <v>16.005779503932512</v>
      </c>
      <c r="E252">
        <v>186.71</v>
      </c>
      <c r="K252" s="1">
        <f>'Solar Availability and Gener GR'!F252</f>
        <v>0.79054126235199706</v>
      </c>
      <c r="L252" s="1">
        <f>'System Load'!D252</f>
        <v>0.49744186046511629</v>
      </c>
      <c r="M252" s="1">
        <f t="shared" si="91"/>
        <v>0.29309940188688077</v>
      </c>
      <c r="N252" s="1" t="str">
        <f t="shared" si="92"/>
        <v>sell the surplus or charge</v>
      </c>
      <c r="O252" s="1">
        <v>0.25</v>
      </c>
      <c r="P252" s="1">
        <f t="shared" ref="P252:P257" si="111">0.25/L252</f>
        <v>0.5025712949976624</v>
      </c>
      <c r="Q252" s="1">
        <f t="shared" ref="Q252:Q257" si="112">K252-P252*L252</f>
        <v>0.54054126235199706</v>
      </c>
      <c r="R252" s="1">
        <f t="shared" ref="R252:R257" si="113">((1/(E252+0.01))*LN(0.25))+(E252*(K252-0.25))</f>
        <v>100.91703463807985</v>
      </c>
      <c r="S252" s="1">
        <f t="shared" ref="S252:S257" si="114">((1/(E252+0.01))*LN(L252))+(E252*(K252-L252))</f>
        <v>54.720849627324576</v>
      </c>
      <c r="T252" s="1">
        <f t="shared" ref="T252:T257" si="115">(S252+((S252^2)-4*(K252-L252*P252)*LN(L252*P252))^(0.5))/(2*(K252-L252*P252))</f>
        <v>101.25876422506727</v>
      </c>
      <c r="U252" s="1" t="str">
        <f t="shared" ref="U252:U257" si="116">IF(E252&gt;=T252*1.2,"sell to the Grid","charge")</f>
        <v>sell to the Grid</v>
      </c>
      <c r="W252" s="1">
        <f>(Q252*E252)/1000</f>
        <v>0.10092445909374137</v>
      </c>
      <c r="Y252" s="1">
        <f t="shared" si="89"/>
        <v>9.2877369767441861E-2</v>
      </c>
      <c r="AA252" s="1">
        <f t="shared" si="93"/>
        <v>48.071761008916752</v>
      </c>
      <c r="AD252" s="1">
        <f t="shared" si="94"/>
        <v>0.25</v>
      </c>
    </row>
    <row r="253" spans="1:30" ht="15">
      <c r="A253" s="1">
        <v>252</v>
      </c>
      <c r="B253" s="1">
        <f t="shared" si="102"/>
        <v>0</v>
      </c>
      <c r="C253" s="1">
        <f t="shared" si="90"/>
        <v>0</v>
      </c>
      <c r="D253" s="1">
        <f t="shared" si="95"/>
        <v>16.005779503932512</v>
      </c>
      <c r="E253">
        <v>174.43</v>
      </c>
      <c r="K253" s="1">
        <f>'Solar Availability and Gener GR'!F253</f>
        <v>1.3741431496483572</v>
      </c>
      <c r="L253" s="1">
        <f>'System Load'!D253</f>
        <v>0.49744186046511629</v>
      </c>
      <c r="M253" s="1">
        <f t="shared" si="91"/>
        <v>0.87670128918324086</v>
      </c>
      <c r="N253" s="1" t="str">
        <f t="shared" si="92"/>
        <v>sell the surplus or charge</v>
      </c>
      <c r="O253" s="1">
        <v>0.25</v>
      </c>
      <c r="P253" s="1">
        <f t="shared" si="111"/>
        <v>0.5025712949976624</v>
      </c>
      <c r="Q253" s="1">
        <f t="shared" si="112"/>
        <v>1.1241431496483572</v>
      </c>
      <c r="R253" s="1">
        <f t="shared" si="113"/>
        <v>196.07634248033835</v>
      </c>
      <c r="S253" s="1">
        <f t="shared" si="114"/>
        <v>152.91900291079841</v>
      </c>
      <c r="T253" s="1">
        <f t="shared" si="115"/>
        <v>136.04067529280672</v>
      </c>
      <c r="U253" s="1" t="str">
        <f t="shared" si="116"/>
        <v>sell to the Grid</v>
      </c>
      <c r="Y253" s="1">
        <f t="shared" si="89"/>
        <v>8.6768783720930248E-2</v>
      </c>
      <c r="AA253" s="1">
        <f t="shared" si="93"/>
        <v>48.94846229809999</v>
      </c>
      <c r="AD253" s="1">
        <f t="shared" si="94"/>
        <v>0.25</v>
      </c>
    </row>
    <row r="254" spans="1:30" ht="15">
      <c r="A254" s="1">
        <v>253</v>
      </c>
      <c r="B254" s="1">
        <f t="shared" si="102"/>
        <v>0</v>
      </c>
      <c r="C254" s="1">
        <f t="shared" si="90"/>
        <v>0</v>
      </c>
      <c r="D254" s="1">
        <f t="shared" si="95"/>
        <v>16.005779503932512</v>
      </c>
      <c r="E254">
        <v>177.45</v>
      </c>
      <c r="K254" s="1">
        <f>'Solar Availability and Gener GR'!F254</f>
        <v>1.5444</v>
      </c>
      <c r="L254" s="1">
        <f>'System Load'!D254</f>
        <v>0.49744186046511629</v>
      </c>
      <c r="M254" s="1">
        <f t="shared" si="91"/>
        <v>1.0469581395348837</v>
      </c>
      <c r="N254" s="1" t="str">
        <f t="shared" si="92"/>
        <v>sell the surplus or charge</v>
      </c>
      <c r="O254" s="1">
        <v>0.25</v>
      </c>
      <c r="P254" s="1">
        <f t="shared" si="111"/>
        <v>0.5025712949976624</v>
      </c>
      <c r="Q254" s="1">
        <f t="shared" si="112"/>
        <v>1.2944</v>
      </c>
      <c r="R254" s="1">
        <f t="shared" si="113"/>
        <v>229.68346813050195</v>
      </c>
      <c r="S254" s="1">
        <f t="shared" si="114"/>
        <v>185.77878702110638</v>
      </c>
      <c r="T254" s="1">
        <f t="shared" si="115"/>
        <v>143.53248255772547</v>
      </c>
      <c r="U254" s="1" t="str">
        <f t="shared" si="116"/>
        <v>sell to the Grid</v>
      </c>
      <c r="Y254" s="1">
        <f t="shared" si="89"/>
        <v>8.8271058139534883E-2</v>
      </c>
      <c r="AA254" s="1">
        <f t="shared" si="93"/>
        <v>49.995420437634877</v>
      </c>
      <c r="AD254" s="1">
        <f t="shared" si="94"/>
        <v>0.25</v>
      </c>
    </row>
    <row r="255" spans="1:30" ht="15">
      <c r="A255" s="1">
        <v>254</v>
      </c>
      <c r="B255" s="1">
        <f t="shared" si="102"/>
        <v>0</v>
      </c>
      <c r="C255" s="1">
        <f t="shared" si="90"/>
        <v>0</v>
      </c>
      <c r="D255" s="1">
        <f t="shared" si="95"/>
        <v>16.005779503932512</v>
      </c>
      <c r="E255">
        <v>179.18</v>
      </c>
      <c r="K255" s="1">
        <f>'Solar Availability and Gener GR'!F255</f>
        <v>1.5456423039259319</v>
      </c>
      <c r="L255" s="1">
        <f>'System Load'!D255</f>
        <v>0.49744186046511629</v>
      </c>
      <c r="M255" s="1">
        <f t="shared" si="91"/>
        <v>1.0482004434608156</v>
      </c>
      <c r="N255" s="1" t="str">
        <f t="shared" si="92"/>
        <v>sell the surplus or charge</v>
      </c>
      <c r="O255" s="1">
        <v>0.25</v>
      </c>
      <c r="P255" s="1">
        <f t="shared" si="111"/>
        <v>0.5025712949976624</v>
      </c>
      <c r="Q255" s="1">
        <f t="shared" si="112"/>
        <v>1.2956423039259319</v>
      </c>
      <c r="R255" s="1">
        <f t="shared" si="113"/>
        <v>232.1454515680868</v>
      </c>
      <c r="S255" s="1">
        <f t="shared" si="114"/>
        <v>187.81265860907959</v>
      </c>
      <c r="T255" s="1">
        <f t="shared" si="115"/>
        <v>144.96456392925109</v>
      </c>
      <c r="U255" s="1" t="str">
        <f t="shared" si="116"/>
        <v>sell to the Grid</v>
      </c>
      <c r="Y255" s="1">
        <f t="shared" si="89"/>
        <v>8.9131632558139537E-2</v>
      </c>
      <c r="AA255" s="1">
        <f t="shared" si="93"/>
        <v>51.043620881095691</v>
      </c>
      <c r="AD255" s="1">
        <f t="shared" si="94"/>
        <v>0.25</v>
      </c>
    </row>
    <row r="256" spans="1:30" ht="15">
      <c r="A256" s="1">
        <v>255</v>
      </c>
      <c r="B256" s="1">
        <f t="shared" si="102"/>
        <v>0</v>
      </c>
      <c r="C256" s="1">
        <f t="shared" si="90"/>
        <v>0</v>
      </c>
      <c r="D256" s="1">
        <f t="shared" si="95"/>
        <v>16.005779503932512</v>
      </c>
      <c r="E256">
        <v>211</v>
      </c>
      <c r="K256" s="1">
        <f>'Solar Availability and Gener GR'!F256</f>
        <v>1.4303347280334719</v>
      </c>
      <c r="L256" s="1">
        <f>'System Load'!D256</f>
        <v>0.49744186046511629</v>
      </c>
      <c r="M256" s="1">
        <f t="shared" si="91"/>
        <v>0.93289286756835565</v>
      </c>
      <c r="N256" s="1" t="str">
        <f t="shared" si="92"/>
        <v>sell the surplus or charge</v>
      </c>
      <c r="O256" s="1">
        <v>0.25</v>
      </c>
      <c r="P256" s="1">
        <f t="shared" si="111"/>
        <v>0.5025712949976624</v>
      </c>
      <c r="Q256" s="1">
        <f t="shared" si="112"/>
        <v>1.1803347280334719</v>
      </c>
      <c r="R256" s="1">
        <f t="shared" si="113"/>
        <v>249.04405781097216</v>
      </c>
      <c r="S256" s="1">
        <f t="shared" si="114"/>
        <v>196.83708584602027</v>
      </c>
      <c r="T256" s="1">
        <f t="shared" si="115"/>
        <v>166.77082673414066</v>
      </c>
      <c r="U256" s="1" t="str">
        <f t="shared" si="116"/>
        <v>sell to the Grid</v>
      </c>
      <c r="Y256" s="1">
        <f t="shared" si="89"/>
        <v>0.10496023255813954</v>
      </c>
      <c r="AA256" s="1">
        <f t="shared" si="93"/>
        <v>51.976513748664047</v>
      </c>
      <c r="AD256" s="1">
        <f t="shared" si="94"/>
        <v>0.25</v>
      </c>
    </row>
    <row r="257" spans="1:30" ht="15">
      <c r="A257" s="1">
        <v>256</v>
      </c>
      <c r="B257" s="1">
        <f t="shared" si="102"/>
        <v>0</v>
      </c>
      <c r="C257" s="1">
        <f t="shared" si="90"/>
        <v>0</v>
      </c>
      <c r="D257" s="1">
        <f t="shared" si="95"/>
        <v>16.005779503932512</v>
      </c>
      <c r="E257">
        <v>269.47000000000003</v>
      </c>
      <c r="K257" s="1">
        <f>'Solar Availability and Gener GR'!F257</f>
        <v>1.1235244369269095</v>
      </c>
      <c r="L257" s="1">
        <f>'System Load'!D257</f>
        <v>0.83441860465116291</v>
      </c>
      <c r="M257" s="1">
        <f t="shared" si="91"/>
        <v>0.2891058322757466</v>
      </c>
      <c r="N257" s="1" t="str">
        <f t="shared" si="92"/>
        <v>sell the surplus or charge</v>
      </c>
      <c r="O257" s="1">
        <v>0.25</v>
      </c>
      <c r="P257" s="1">
        <f t="shared" si="111"/>
        <v>0.29960981047937563</v>
      </c>
      <c r="Q257" s="1">
        <f t="shared" si="112"/>
        <v>0.87352443692690951</v>
      </c>
      <c r="R257" s="1">
        <f t="shared" si="113"/>
        <v>235.38348568753386</v>
      </c>
      <c r="S257" s="1">
        <f t="shared" si="114"/>
        <v>77.904676884891742</v>
      </c>
      <c r="T257" s="1">
        <f t="shared" si="115"/>
        <v>89.202104304025823</v>
      </c>
      <c r="U257" s="1" t="str">
        <f t="shared" si="116"/>
        <v>sell to the Grid</v>
      </c>
      <c r="W257" s="1">
        <f>(Q257*E257)/1000</f>
        <v>0.23538863001869434</v>
      </c>
      <c r="Y257" s="1">
        <f t="shared" si="89"/>
        <v>0.22485078139534889</v>
      </c>
      <c r="AA257" s="1">
        <f t="shared" si="93"/>
        <v>52.265619580939791</v>
      </c>
      <c r="AD257" s="1">
        <f t="shared" si="94"/>
        <v>0.25</v>
      </c>
    </row>
    <row r="258" spans="1:30" ht="15">
      <c r="A258" s="1">
        <v>257</v>
      </c>
      <c r="B258" s="1">
        <f t="shared" si="102"/>
        <v>0</v>
      </c>
      <c r="C258" s="1">
        <f t="shared" si="90"/>
        <v>0</v>
      </c>
      <c r="D258" s="1">
        <f t="shared" si="95"/>
        <v>16.005779503932512</v>
      </c>
      <c r="E258">
        <v>268.56</v>
      </c>
      <c r="K258" s="1">
        <f>'Solar Availability and Gener GR'!F258</f>
        <v>0.64438707380040716</v>
      </c>
      <c r="L258" s="1">
        <f>'System Load'!D258</f>
        <v>0.83441860465116291</v>
      </c>
      <c r="M258" s="1">
        <f t="shared" si="91"/>
        <v>-0.19003153085075575</v>
      </c>
      <c r="N258" s="1" t="str">
        <f t="shared" si="92"/>
        <v>Buy from Grid</v>
      </c>
      <c r="V258" s="1" t="str">
        <f t="shared" ref="V258:V275" si="117">IF(D258+M258&gt;0,"discharge","buy from the Grid")</f>
        <v>discharge</v>
      </c>
      <c r="Y258" s="1">
        <f t="shared" ref="Y258:Y289" si="118">(L258*E258)/1000</f>
        <v>0.22409146046511633</v>
      </c>
      <c r="AA258" s="1">
        <f t="shared" si="93"/>
        <v>52.075588050089038</v>
      </c>
      <c r="AD258" s="1">
        <f t="shared" si="94"/>
        <v>0</v>
      </c>
    </row>
    <row r="259" spans="1:30" ht="15">
      <c r="A259" s="1">
        <v>258</v>
      </c>
      <c r="B259" s="1">
        <f t="shared" si="102"/>
        <v>0</v>
      </c>
      <c r="C259" s="1">
        <f t="shared" ref="C259:C289" si="119">IF(V258="discharge",M259,0)</f>
        <v>-0.63087102163683018</v>
      </c>
      <c r="D259" s="1">
        <f t="shared" si="95"/>
        <v>15.217190726886475</v>
      </c>
      <c r="E259">
        <v>280</v>
      </c>
      <c r="K259" s="1">
        <f>'Solar Availability and Gener GR'!F259</f>
        <v>0.20354758301433276</v>
      </c>
      <c r="L259" s="1">
        <f>'System Load'!D259</f>
        <v>0.83441860465116291</v>
      </c>
      <c r="M259" s="1">
        <f t="shared" ref="M259:M289" si="120">K259-L259</f>
        <v>-0.63087102163683018</v>
      </c>
      <c r="N259" s="1" t="str">
        <f t="shared" ref="N259:N289" si="121">IF(M259&lt;0,"Buy from Grid","sell the surplus or charge")</f>
        <v>Buy from Grid</v>
      </c>
      <c r="V259" s="1" t="str">
        <f t="shared" si="117"/>
        <v>discharge</v>
      </c>
      <c r="Y259" s="1">
        <f t="shared" si="118"/>
        <v>0.23363720930232559</v>
      </c>
      <c r="AA259" s="1">
        <f t="shared" ref="AA259:AA289" si="122">M259+AA258</f>
        <v>51.44471702845221</v>
      </c>
      <c r="AD259" s="1">
        <f t="shared" ref="AD259:AD289" si="123">AC259+O259</f>
        <v>0</v>
      </c>
    </row>
    <row r="260" spans="1:30" ht="15">
      <c r="A260" s="1">
        <v>259</v>
      </c>
      <c r="B260" s="1">
        <f t="shared" si="102"/>
        <v>0</v>
      </c>
      <c r="C260" s="1">
        <f t="shared" si="119"/>
        <v>-0.81321322763700787</v>
      </c>
      <c r="D260" s="1">
        <f t="shared" ref="D260:D289" si="124">(D259)+(B260*0.8)+(C260/0.8)</f>
        <v>14.200674192340216</v>
      </c>
      <c r="E260">
        <v>280</v>
      </c>
      <c r="K260" s="1">
        <f>'Solar Availability and Gener GR'!F260</f>
        <v>2.1205377014155053E-2</v>
      </c>
      <c r="L260" s="1">
        <f>'System Load'!D260</f>
        <v>0.83441860465116291</v>
      </c>
      <c r="M260" s="1">
        <f t="shared" si="120"/>
        <v>-0.81321322763700787</v>
      </c>
      <c r="N260" s="1" t="str">
        <f t="shared" si="121"/>
        <v>Buy from Grid</v>
      </c>
      <c r="V260" s="1" t="str">
        <f t="shared" si="117"/>
        <v>discharge</v>
      </c>
      <c r="Y260" s="1">
        <f t="shared" si="118"/>
        <v>0.23363720930232559</v>
      </c>
      <c r="AA260" s="1">
        <f t="shared" si="122"/>
        <v>50.631503800815203</v>
      </c>
      <c r="AD260" s="1">
        <f t="shared" si="123"/>
        <v>0</v>
      </c>
    </row>
    <row r="261" spans="1:30" ht="15">
      <c r="A261" s="1">
        <v>260</v>
      </c>
      <c r="B261" s="1">
        <f t="shared" si="102"/>
        <v>0</v>
      </c>
      <c r="C261" s="1">
        <f t="shared" si="119"/>
        <v>-0.49744186046511629</v>
      </c>
      <c r="D261" s="1">
        <f t="shared" si="124"/>
        <v>13.578871866758821</v>
      </c>
      <c r="E261">
        <v>270.06</v>
      </c>
      <c r="K261" s="1">
        <f>'Solar Availability and Gener GR'!F261</f>
        <v>0</v>
      </c>
      <c r="L261" s="1">
        <f>'System Load'!D261</f>
        <v>0.49744186046511629</v>
      </c>
      <c r="M261" s="1">
        <f t="shared" si="120"/>
        <v>-0.49744186046511629</v>
      </c>
      <c r="N261" s="1" t="str">
        <f t="shared" si="121"/>
        <v>Buy from Grid</v>
      </c>
      <c r="V261" s="1" t="str">
        <f t="shared" si="117"/>
        <v>discharge</v>
      </c>
      <c r="Y261" s="1">
        <f t="shared" si="118"/>
        <v>0.13433914883720932</v>
      </c>
      <c r="AA261" s="1">
        <f t="shared" si="122"/>
        <v>50.134061940350087</v>
      </c>
      <c r="AD261" s="1">
        <f t="shared" si="123"/>
        <v>0</v>
      </c>
    </row>
    <row r="262" spans="1:30" ht="15">
      <c r="A262" s="1">
        <v>261</v>
      </c>
      <c r="B262" s="1">
        <f t="shared" si="102"/>
        <v>0</v>
      </c>
      <c r="C262" s="1">
        <f t="shared" si="119"/>
        <v>-0.49744186046511629</v>
      </c>
      <c r="D262" s="1">
        <f t="shared" si="124"/>
        <v>12.957069541177425</v>
      </c>
      <c r="E262">
        <v>246.1</v>
      </c>
      <c r="K262" s="1">
        <f>'Solar Availability and Gener GR'!F262</f>
        <v>0</v>
      </c>
      <c r="L262" s="1">
        <f>'System Load'!D262</f>
        <v>0.49744186046511629</v>
      </c>
      <c r="M262" s="1">
        <f t="shared" si="120"/>
        <v>-0.49744186046511629</v>
      </c>
      <c r="N262" s="1" t="str">
        <f t="shared" si="121"/>
        <v>Buy from Grid</v>
      </c>
      <c r="V262" s="1" t="str">
        <f t="shared" si="117"/>
        <v>discharge</v>
      </c>
      <c r="Y262" s="1">
        <f t="shared" si="118"/>
        <v>0.12242044186046512</v>
      </c>
      <c r="AA262" s="1">
        <f t="shared" si="122"/>
        <v>49.63662007988497</v>
      </c>
      <c r="AD262" s="1">
        <f t="shared" si="123"/>
        <v>0</v>
      </c>
    </row>
    <row r="263" spans="1:30" ht="15">
      <c r="A263" s="1">
        <v>262</v>
      </c>
      <c r="B263" s="1">
        <f t="shared" si="102"/>
        <v>0</v>
      </c>
      <c r="C263" s="1">
        <f t="shared" si="119"/>
        <v>-0.49744186046511629</v>
      </c>
      <c r="D263" s="1">
        <f t="shared" si="124"/>
        <v>12.33526721559603</v>
      </c>
      <c r="E263">
        <v>205</v>
      </c>
      <c r="K263" s="1">
        <f>'Solar Availability and Gener GR'!F263</f>
        <v>0</v>
      </c>
      <c r="L263" s="1">
        <f>'System Load'!D263</f>
        <v>0.49744186046511629</v>
      </c>
      <c r="M263" s="1">
        <f t="shared" si="120"/>
        <v>-0.49744186046511629</v>
      </c>
      <c r="N263" s="1" t="str">
        <f t="shared" si="121"/>
        <v>Buy from Grid</v>
      </c>
      <c r="V263" s="1" t="str">
        <f t="shared" si="117"/>
        <v>discharge</v>
      </c>
      <c r="Y263" s="1">
        <f t="shared" si="118"/>
        <v>0.10197558139534885</v>
      </c>
      <c r="AA263" s="1">
        <f t="shared" si="122"/>
        <v>49.139178219419854</v>
      </c>
      <c r="AD263" s="1">
        <f t="shared" si="123"/>
        <v>0</v>
      </c>
    </row>
    <row r="264" spans="1:30" ht="15">
      <c r="A264" s="1">
        <v>263</v>
      </c>
      <c r="B264" s="1">
        <f t="shared" si="102"/>
        <v>0</v>
      </c>
      <c r="C264" s="1">
        <f t="shared" si="119"/>
        <v>-0.3530232558139535</v>
      </c>
      <c r="D264" s="1">
        <f t="shared" si="124"/>
        <v>11.893988145828589</v>
      </c>
      <c r="E264">
        <v>269.02</v>
      </c>
      <c r="K264" s="1">
        <f>'Solar Availability and Gener GR'!F264</f>
        <v>0</v>
      </c>
      <c r="L264" s="1">
        <f>'System Load'!D264</f>
        <v>0.3530232558139535</v>
      </c>
      <c r="M264" s="1">
        <f t="shared" si="120"/>
        <v>-0.3530232558139535</v>
      </c>
      <c r="N264" s="1" t="str">
        <f t="shared" si="121"/>
        <v>Buy from Grid</v>
      </c>
      <c r="V264" s="1" t="str">
        <f t="shared" si="117"/>
        <v>discharge</v>
      </c>
      <c r="Y264" s="1">
        <f t="shared" si="118"/>
        <v>9.4970316279069766E-2</v>
      </c>
      <c r="AA264" s="1">
        <f t="shared" si="122"/>
        <v>48.786154963605902</v>
      </c>
      <c r="AD264" s="1">
        <f t="shared" si="123"/>
        <v>0</v>
      </c>
    </row>
    <row r="265" spans="1:30" ht="15">
      <c r="A265" s="1">
        <v>264</v>
      </c>
      <c r="B265" s="1">
        <f t="shared" si="102"/>
        <v>0</v>
      </c>
      <c r="C265" s="1">
        <f t="shared" si="119"/>
        <v>-0.36906976744186054</v>
      </c>
      <c r="D265" s="1">
        <f t="shared" si="124"/>
        <v>11.432650936526263</v>
      </c>
      <c r="E265">
        <v>186.54</v>
      </c>
      <c r="K265" s="1">
        <f>'Solar Availability and Gener GR'!F265</f>
        <v>0</v>
      </c>
      <c r="L265" s="1">
        <f>'System Load'!D265</f>
        <v>0.36906976744186054</v>
      </c>
      <c r="M265" s="1">
        <f t="shared" si="120"/>
        <v>-0.36906976744186054</v>
      </c>
      <c r="N265" s="1" t="str">
        <f t="shared" si="121"/>
        <v>Buy from Grid</v>
      </c>
      <c r="V265" s="1" t="str">
        <f t="shared" si="117"/>
        <v>discharge</v>
      </c>
      <c r="Y265" s="1">
        <f t="shared" si="118"/>
        <v>6.8846274418604664E-2</v>
      </c>
      <c r="AA265" s="1">
        <f t="shared" si="122"/>
        <v>48.417085196164045</v>
      </c>
      <c r="AD265" s="1">
        <f t="shared" si="123"/>
        <v>0</v>
      </c>
    </row>
    <row r="266" spans="1:30" ht="15">
      <c r="A266" s="1">
        <v>265</v>
      </c>
      <c r="B266" s="1">
        <f t="shared" si="102"/>
        <v>0</v>
      </c>
      <c r="C266" s="1">
        <f t="shared" si="119"/>
        <v>-0.3530232558139535</v>
      </c>
      <c r="D266" s="1">
        <f t="shared" si="124"/>
        <v>10.991371866758822</v>
      </c>
      <c r="E266">
        <v>160.72</v>
      </c>
      <c r="K266" s="1">
        <f>'Solar Availability and Gener GR'!F266</f>
        <v>0</v>
      </c>
      <c r="L266" s="1">
        <f>'System Load'!D266</f>
        <v>0.3530232558139535</v>
      </c>
      <c r="M266" s="1">
        <f t="shared" si="120"/>
        <v>-0.3530232558139535</v>
      </c>
      <c r="N266" s="1" t="str">
        <f t="shared" si="121"/>
        <v>Buy from Grid</v>
      </c>
      <c r="V266" s="1" t="str">
        <f t="shared" si="117"/>
        <v>discharge</v>
      </c>
      <c r="Y266" s="1">
        <f t="shared" si="118"/>
        <v>5.6737897674418607E-2</v>
      </c>
      <c r="AA266" s="1">
        <f t="shared" si="122"/>
        <v>48.064061940350093</v>
      </c>
      <c r="AD266" s="1">
        <f t="shared" si="123"/>
        <v>0</v>
      </c>
    </row>
    <row r="267" spans="1:30" ht="15">
      <c r="A267" s="1">
        <v>266</v>
      </c>
      <c r="B267" s="1">
        <f t="shared" si="102"/>
        <v>0</v>
      </c>
      <c r="C267" s="1">
        <f t="shared" si="119"/>
        <v>-0.24069767441860468</v>
      </c>
      <c r="D267" s="1">
        <f t="shared" si="124"/>
        <v>10.690499773735565</v>
      </c>
      <c r="E267">
        <v>150.08000000000001</v>
      </c>
      <c r="K267" s="1">
        <f>'Solar Availability and Gener GR'!F267</f>
        <v>0</v>
      </c>
      <c r="L267" s="1">
        <f>'System Load'!D267</f>
        <v>0.24069767441860468</v>
      </c>
      <c r="M267" s="1">
        <f t="shared" si="120"/>
        <v>-0.24069767441860468</v>
      </c>
      <c r="N267" s="1" t="str">
        <f t="shared" si="121"/>
        <v>Buy from Grid</v>
      </c>
      <c r="V267" s="1" t="str">
        <f t="shared" si="117"/>
        <v>discharge</v>
      </c>
      <c r="Y267" s="1">
        <f t="shared" si="118"/>
        <v>3.6123906976744197E-2</v>
      </c>
      <c r="AA267" s="1">
        <f t="shared" si="122"/>
        <v>47.823364265931488</v>
      </c>
      <c r="AD267" s="1">
        <f t="shared" si="123"/>
        <v>0</v>
      </c>
    </row>
    <row r="268" spans="1:30" ht="15">
      <c r="A268" s="1">
        <v>267</v>
      </c>
      <c r="B268" s="1">
        <f t="shared" si="102"/>
        <v>0</v>
      </c>
      <c r="C268" s="1">
        <f t="shared" si="119"/>
        <v>-0.24069767441860468</v>
      </c>
      <c r="D268" s="1">
        <f t="shared" si="124"/>
        <v>10.389627680712309</v>
      </c>
      <c r="E268">
        <v>131</v>
      </c>
      <c r="K268" s="1">
        <f>'Solar Availability and Gener GR'!F268</f>
        <v>0</v>
      </c>
      <c r="L268" s="1">
        <f>'System Load'!D268</f>
        <v>0.24069767441860468</v>
      </c>
      <c r="M268" s="1">
        <f t="shared" si="120"/>
        <v>-0.24069767441860468</v>
      </c>
      <c r="N268" s="1" t="str">
        <f t="shared" si="121"/>
        <v>Buy from Grid</v>
      </c>
      <c r="V268" s="1" t="str">
        <f t="shared" si="117"/>
        <v>discharge</v>
      </c>
      <c r="Y268" s="1">
        <f t="shared" si="118"/>
        <v>3.1531395348837213E-2</v>
      </c>
      <c r="AA268" s="1">
        <f t="shared" si="122"/>
        <v>47.582666591512883</v>
      </c>
      <c r="AD268" s="1">
        <f t="shared" si="123"/>
        <v>0</v>
      </c>
    </row>
    <row r="269" spans="1:30" ht="15">
      <c r="A269" s="1">
        <v>268</v>
      </c>
      <c r="B269" s="1">
        <f t="shared" si="102"/>
        <v>0</v>
      </c>
      <c r="C269" s="1">
        <f t="shared" si="119"/>
        <v>-0.24069767441860468</v>
      </c>
      <c r="D269" s="1">
        <f t="shared" si="124"/>
        <v>10.088755587689052</v>
      </c>
      <c r="E269">
        <v>129.19999999999999</v>
      </c>
      <c r="K269" s="1">
        <f>'Solar Availability and Gener GR'!F269</f>
        <v>0</v>
      </c>
      <c r="L269" s="1">
        <f>'System Load'!D269</f>
        <v>0.24069767441860468</v>
      </c>
      <c r="M269" s="1">
        <f t="shared" si="120"/>
        <v>-0.24069767441860468</v>
      </c>
      <c r="N269" s="1" t="str">
        <f t="shared" si="121"/>
        <v>Buy from Grid</v>
      </c>
      <c r="V269" s="1" t="str">
        <f t="shared" si="117"/>
        <v>discharge</v>
      </c>
      <c r="Y269" s="1">
        <f t="shared" si="118"/>
        <v>3.1098139534883721E-2</v>
      </c>
      <c r="AA269" s="1">
        <f t="shared" si="122"/>
        <v>47.341968917094277</v>
      </c>
      <c r="AD269" s="1">
        <f t="shared" si="123"/>
        <v>0</v>
      </c>
    </row>
    <row r="270" spans="1:30" ht="15">
      <c r="A270" s="1">
        <v>269</v>
      </c>
      <c r="B270" s="1">
        <f t="shared" si="102"/>
        <v>0</v>
      </c>
      <c r="C270" s="1">
        <f t="shared" si="119"/>
        <v>-0.24069767441860468</v>
      </c>
      <c r="D270" s="1">
        <f t="shared" si="124"/>
        <v>9.7878834946657953</v>
      </c>
      <c r="E270">
        <v>133.5</v>
      </c>
      <c r="K270" s="1">
        <f>'Solar Availability and Gener GR'!F270</f>
        <v>0</v>
      </c>
      <c r="L270" s="1">
        <f>'System Load'!D270</f>
        <v>0.24069767441860468</v>
      </c>
      <c r="M270" s="1">
        <f t="shared" si="120"/>
        <v>-0.24069767441860468</v>
      </c>
      <c r="N270" s="1" t="str">
        <f t="shared" si="121"/>
        <v>Buy from Grid</v>
      </c>
      <c r="V270" s="1" t="str">
        <f t="shared" si="117"/>
        <v>discharge</v>
      </c>
      <c r="Y270" s="1">
        <f t="shared" si="118"/>
        <v>3.2133139534883726E-2</v>
      </c>
      <c r="AA270" s="1">
        <f t="shared" si="122"/>
        <v>47.101271242675672</v>
      </c>
      <c r="AD270" s="1">
        <f t="shared" si="123"/>
        <v>0</v>
      </c>
    </row>
    <row r="271" spans="1:30" ht="15">
      <c r="A271" s="1">
        <v>270</v>
      </c>
      <c r="B271" s="1">
        <f t="shared" si="102"/>
        <v>0</v>
      </c>
      <c r="C271" s="1">
        <f t="shared" si="119"/>
        <v>-0.80232558139534893</v>
      </c>
      <c r="D271" s="1">
        <f t="shared" si="124"/>
        <v>8.7849765179216099</v>
      </c>
      <c r="E271">
        <v>162.82</v>
      </c>
      <c r="K271" s="1">
        <f>'Solar Availability and Gener GR'!F271</f>
        <v>0</v>
      </c>
      <c r="L271" s="1">
        <f>'System Load'!D271</f>
        <v>0.80232558139534893</v>
      </c>
      <c r="M271" s="1">
        <f t="shared" si="120"/>
        <v>-0.80232558139534893</v>
      </c>
      <c r="N271" s="1" t="str">
        <f t="shared" si="121"/>
        <v>Buy from Grid</v>
      </c>
      <c r="V271" s="1" t="str">
        <f t="shared" si="117"/>
        <v>discharge</v>
      </c>
      <c r="Y271" s="1">
        <f t="shared" si="118"/>
        <v>0.13063465116279072</v>
      </c>
      <c r="AA271" s="1">
        <f t="shared" si="122"/>
        <v>46.298945661280321</v>
      </c>
      <c r="AD271" s="1">
        <f t="shared" si="123"/>
        <v>0</v>
      </c>
    </row>
    <row r="272" spans="1:30" ht="15">
      <c r="A272" s="1">
        <v>271</v>
      </c>
      <c r="B272" s="1">
        <f t="shared" ref="B272:B288" si="125">IF(U272="charge",Q272,0)</f>
        <v>0</v>
      </c>
      <c r="C272" s="1">
        <f t="shared" si="119"/>
        <v>-0.7663255813953489</v>
      </c>
      <c r="D272" s="1">
        <f t="shared" si="124"/>
        <v>7.8270695411774236</v>
      </c>
      <c r="E272">
        <v>333</v>
      </c>
      <c r="K272" s="1">
        <f>'Solar Availability and Gener GR'!F272</f>
        <v>3.5999999999999997E-2</v>
      </c>
      <c r="L272" s="1">
        <f>'System Load'!D272</f>
        <v>0.80232558139534893</v>
      </c>
      <c r="M272" s="1">
        <f t="shared" si="120"/>
        <v>-0.7663255813953489</v>
      </c>
      <c r="N272" s="1" t="str">
        <f t="shared" si="121"/>
        <v>Buy from Grid</v>
      </c>
      <c r="V272" s="1" t="str">
        <f t="shared" si="117"/>
        <v>discharge</v>
      </c>
      <c r="Y272" s="1">
        <f t="shared" si="118"/>
        <v>0.26717441860465119</v>
      </c>
      <c r="AA272" s="1">
        <f t="shared" si="122"/>
        <v>45.532620079884971</v>
      </c>
      <c r="AD272" s="1">
        <f t="shared" si="123"/>
        <v>0</v>
      </c>
    </row>
    <row r="273" spans="1:30" ht="15">
      <c r="A273" s="1">
        <v>272</v>
      </c>
      <c r="B273" s="1">
        <f t="shared" si="125"/>
        <v>0</v>
      </c>
      <c r="C273" s="1">
        <f t="shared" si="119"/>
        <v>-0.40939534883720935</v>
      </c>
      <c r="D273" s="1">
        <f t="shared" si="124"/>
        <v>7.3153253551309119</v>
      </c>
      <c r="E273">
        <v>333</v>
      </c>
      <c r="K273" s="1">
        <f>'Solar Availability and Gener GR'!F273</f>
        <v>7.1999999999999995E-2</v>
      </c>
      <c r="L273" s="1">
        <f>'System Load'!D273</f>
        <v>0.48139534883720936</v>
      </c>
      <c r="M273" s="1">
        <f t="shared" si="120"/>
        <v>-0.40939534883720935</v>
      </c>
      <c r="N273" s="1" t="str">
        <f t="shared" si="121"/>
        <v>Buy from Grid</v>
      </c>
      <c r="V273" s="1" t="str">
        <f t="shared" si="117"/>
        <v>discharge</v>
      </c>
      <c r="Y273" s="1">
        <f t="shared" si="118"/>
        <v>0.16030465116279072</v>
      </c>
      <c r="AA273" s="1">
        <f t="shared" si="122"/>
        <v>45.123224731047763</v>
      </c>
      <c r="AD273" s="1">
        <f t="shared" si="123"/>
        <v>0</v>
      </c>
    </row>
    <row r="274" spans="1:30" ht="15">
      <c r="A274" s="1">
        <v>273</v>
      </c>
      <c r="B274" s="1">
        <f t="shared" si="125"/>
        <v>0</v>
      </c>
      <c r="C274" s="1">
        <f t="shared" si="119"/>
        <v>-0.37339534883720937</v>
      </c>
      <c r="D274" s="1">
        <f t="shared" si="124"/>
        <v>6.8485811690844001</v>
      </c>
      <c r="E274">
        <v>223.51</v>
      </c>
      <c r="K274" s="1">
        <f>'Solar Availability and Gener GR'!F274</f>
        <v>0.108</v>
      </c>
      <c r="L274" s="1">
        <f>'System Load'!D274</f>
        <v>0.48139534883720936</v>
      </c>
      <c r="M274" s="1">
        <f t="shared" si="120"/>
        <v>-0.37339534883720937</v>
      </c>
      <c r="N274" s="1" t="str">
        <f t="shared" si="121"/>
        <v>Buy from Grid</v>
      </c>
      <c r="V274" s="1" t="str">
        <f t="shared" si="117"/>
        <v>discharge</v>
      </c>
      <c r="Y274" s="1">
        <f t="shared" si="118"/>
        <v>0.10759667441860467</v>
      </c>
      <c r="AA274" s="1">
        <f t="shared" si="122"/>
        <v>44.749829382210557</v>
      </c>
      <c r="AD274" s="1">
        <f t="shared" si="123"/>
        <v>0</v>
      </c>
    </row>
    <row r="275" spans="1:30" ht="15">
      <c r="A275" s="1">
        <v>274</v>
      </c>
      <c r="B275" s="1">
        <f t="shared" si="125"/>
        <v>0</v>
      </c>
      <c r="C275" s="1">
        <f t="shared" si="119"/>
        <v>-0.30321943857280964</v>
      </c>
      <c r="D275" s="1">
        <f t="shared" si="124"/>
        <v>6.4695568708683879</v>
      </c>
      <c r="E275">
        <v>207.96</v>
      </c>
      <c r="K275" s="1">
        <f>'Solar Availability and Gener GR'!F275</f>
        <v>0.17817591026439972</v>
      </c>
      <c r="L275" s="1">
        <f>'System Load'!D275</f>
        <v>0.48139534883720936</v>
      </c>
      <c r="M275" s="1">
        <f t="shared" si="120"/>
        <v>-0.30321943857280964</v>
      </c>
      <c r="N275" s="1" t="str">
        <f t="shared" si="121"/>
        <v>Buy from Grid</v>
      </c>
      <c r="V275" s="1" t="str">
        <f t="shared" si="117"/>
        <v>discharge</v>
      </c>
      <c r="Y275" s="1">
        <f t="shared" si="118"/>
        <v>0.10011097674418606</v>
      </c>
      <c r="AA275" s="1">
        <f t="shared" si="122"/>
        <v>44.446609943637746</v>
      </c>
      <c r="AD275" s="1">
        <f t="shared" si="123"/>
        <v>0</v>
      </c>
    </row>
    <row r="276" spans="1:30" ht="15">
      <c r="A276" s="1">
        <v>275</v>
      </c>
      <c r="B276" s="1">
        <f t="shared" si="125"/>
        <v>0</v>
      </c>
      <c r="C276" s="1">
        <f t="shared" si="119"/>
        <v>0.12721766638579146</v>
      </c>
      <c r="D276" s="1">
        <f t="shared" si="124"/>
        <v>6.628578953850627</v>
      </c>
      <c r="E276">
        <v>195.07</v>
      </c>
      <c r="K276" s="1">
        <f>'Solar Availability and Gener GR'!F276</f>
        <v>0.60861301522300082</v>
      </c>
      <c r="L276" s="1">
        <f>'System Load'!D276</f>
        <v>0.48139534883720936</v>
      </c>
      <c r="M276" s="1">
        <f t="shared" si="120"/>
        <v>0.12721766638579146</v>
      </c>
      <c r="N276" s="1" t="str">
        <f t="shared" si="121"/>
        <v>sell the surplus or charge</v>
      </c>
      <c r="O276" s="1">
        <v>0.25</v>
      </c>
      <c r="P276" s="1">
        <f t="shared" ref="P276:P281" si="126">0.25/L276</f>
        <v>0.51932367149758452</v>
      </c>
      <c r="Q276" s="1">
        <f t="shared" ref="Q276:Q281" si="127">K276-P276*L276</f>
        <v>0.35861301522300082</v>
      </c>
      <c r="R276" s="1">
        <f t="shared" ref="R276:R281" si="128">((1/(E276+0.01))*LN(0.25))+(E276*(K276-0.25))</f>
        <v>69.947534593098439</v>
      </c>
      <c r="S276" s="1">
        <f t="shared" ref="S276:S281" si="129">((1/(E276+0.01))*LN(L276))+(E276*(K276-L276))</f>
        <v>24.812602660780264</v>
      </c>
      <c r="T276" s="1">
        <f t="shared" ref="T276:T281" si="130">(S276+((S276^2)-4*(K276-L276*P276)*LN(L276*P276))^(0.5))/(2*(K276-L276*P276))</f>
        <v>69.246294387124223</v>
      </c>
      <c r="U276" s="1" t="str">
        <f t="shared" ref="U276:U281" si="131">IF(E276&gt;=T276*1.2,"sell to the Grid","charge")</f>
        <v>sell to the Grid</v>
      </c>
      <c r="W276" s="1">
        <f>(Q276*E276)/1000</f>
        <v>6.9954640879550764E-2</v>
      </c>
      <c r="Y276" s="1">
        <f t="shared" si="118"/>
        <v>9.3905790697674421E-2</v>
      </c>
      <c r="AA276" s="1">
        <f t="shared" si="122"/>
        <v>44.573827610023535</v>
      </c>
      <c r="AD276" s="1">
        <f t="shared" si="123"/>
        <v>0.25</v>
      </c>
    </row>
    <row r="277" spans="1:30" ht="15">
      <c r="A277" s="1">
        <v>276</v>
      </c>
      <c r="B277" s="1">
        <f t="shared" si="125"/>
        <v>0</v>
      </c>
      <c r="C277" s="1">
        <f t="shared" si="119"/>
        <v>0</v>
      </c>
      <c r="D277" s="1">
        <f t="shared" si="124"/>
        <v>6.628578953850627</v>
      </c>
      <c r="E277">
        <v>181.27</v>
      </c>
      <c r="K277" s="1">
        <f>'Solar Availability and Gener GR'!F277</f>
        <v>1.0103000089023395</v>
      </c>
      <c r="L277" s="1">
        <f>'System Load'!D277</f>
        <v>0.48139534883720936</v>
      </c>
      <c r="M277" s="1">
        <f t="shared" si="120"/>
        <v>0.52890466006513015</v>
      </c>
      <c r="N277" s="1" t="str">
        <f t="shared" si="121"/>
        <v>sell the surplus or charge</v>
      </c>
      <c r="O277" s="1">
        <v>0.25</v>
      </c>
      <c r="P277" s="1">
        <f t="shared" si="126"/>
        <v>0.51932367149758452</v>
      </c>
      <c r="Q277" s="1">
        <f t="shared" si="127"/>
        <v>0.76030000890233951</v>
      </c>
      <c r="R277" s="1">
        <f t="shared" si="128"/>
        <v>137.81193535886652</v>
      </c>
      <c r="S277" s="1">
        <f t="shared" si="129"/>
        <v>95.870514927626274</v>
      </c>
      <c r="T277" s="1">
        <f t="shared" si="130"/>
        <v>126.11009671956329</v>
      </c>
      <c r="U277" s="1" t="str">
        <f t="shared" si="131"/>
        <v>sell to the Grid</v>
      </c>
      <c r="W277" s="1">
        <f>(Q277*E277)/1000</f>
        <v>0.13781958261372707</v>
      </c>
      <c r="Y277" s="1">
        <f t="shared" si="118"/>
        <v>8.7262534883720946E-2</v>
      </c>
      <c r="AA277" s="1">
        <f t="shared" si="122"/>
        <v>45.102732270088666</v>
      </c>
      <c r="AD277" s="1">
        <f t="shared" si="123"/>
        <v>0.25</v>
      </c>
    </row>
    <row r="278" spans="1:30" ht="15">
      <c r="A278" s="1">
        <v>277</v>
      </c>
      <c r="B278" s="1">
        <f t="shared" si="125"/>
        <v>0</v>
      </c>
      <c r="C278" s="1">
        <f t="shared" si="119"/>
        <v>0</v>
      </c>
      <c r="D278" s="1">
        <f t="shared" si="124"/>
        <v>6.628578953850627</v>
      </c>
      <c r="E278">
        <v>174.94</v>
      </c>
      <c r="K278" s="1">
        <f>'Solar Availability and Gener GR'!F278</f>
        <v>1.2588222202439221</v>
      </c>
      <c r="L278" s="1">
        <f>'System Load'!D278</f>
        <v>0.48139534883720936</v>
      </c>
      <c r="M278" s="1">
        <f t="shared" si="120"/>
        <v>0.77742687140671274</v>
      </c>
      <c r="N278" s="1" t="str">
        <f t="shared" si="121"/>
        <v>sell the surplus or charge</v>
      </c>
      <c r="O278" s="1">
        <v>0.25</v>
      </c>
      <c r="P278" s="1">
        <f t="shared" si="126"/>
        <v>0.51932367149758452</v>
      </c>
      <c r="Q278" s="1">
        <f t="shared" si="127"/>
        <v>1.0088222202439221</v>
      </c>
      <c r="R278" s="1">
        <f t="shared" si="128"/>
        <v>176.47543526342361</v>
      </c>
      <c r="S278" s="1">
        <f t="shared" si="129"/>
        <v>135.99887816759755</v>
      </c>
      <c r="T278" s="1">
        <f t="shared" si="130"/>
        <v>134.81975120540366</v>
      </c>
      <c r="U278" s="1" t="str">
        <f t="shared" si="131"/>
        <v>sell to the Grid</v>
      </c>
      <c r="Y278" s="1">
        <f t="shared" si="118"/>
        <v>8.4215302325581401E-2</v>
      </c>
      <c r="AA278" s="1">
        <f t="shared" si="122"/>
        <v>45.880159141495376</v>
      </c>
      <c r="AD278" s="1">
        <f t="shared" si="123"/>
        <v>0.25</v>
      </c>
    </row>
    <row r="279" spans="1:30" ht="15">
      <c r="A279" s="1">
        <v>278</v>
      </c>
      <c r="B279" s="1">
        <f t="shared" si="125"/>
        <v>0</v>
      </c>
      <c r="C279" s="1">
        <f t="shared" si="119"/>
        <v>0</v>
      </c>
      <c r="D279" s="1">
        <f t="shared" si="124"/>
        <v>6.628578953850627</v>
      </c>
      <c r="E279">
        <v>188.37</v>
      </c>
      <c r="K279" s="1">
        <f>'Solar Availability and Gener GR'!F279</f>
        <v>1.2775571975429532</v>
      </c>
      <c r="L279" s="1">
        <f>'System Load'!D279</f>
        <v>0.48139534883720936</v>
      </c>
      <c r="M279" s="1">
        <f t="shared" si="120"/>
        <v>0.7961618487057438</v>
      </c>
      <c r="N279" s="1" t="str">
        <f t="shared" si="121"/>
        <v>sell the surplus or charge</v>
      </c>
      <c r="O279" s="1">
        <v>0.25</v>
      </c>
      <c r="P279" s="1">
        <f t="shared" si="126"/>
        <v>0.51932367149758452</v>
      </c>
      <c r="Q279" s="1">
        <f t="shared" si="127"/>
        <v>1.0275571975429532</v>
      </c>
      <c r="R279" s="1">
        <f t="shared" si="128"/>
        <v>193.55359026962813</v>
      </c>
      <c r="S279" s="1">
        <f t="shared" si="129"/>
        <v>149.96912663373939</v>
      </c>
      <c r="T279" s="1">
        <f t="shared" si="130"/>
        <v>145.95647326576133</v>
      </c>
      <c r="U279" s="1" t="str">
        <f t="shared" si="131"/>
        <v>sell to the Grid</v>
      </c>
      <c r="Y279" s="1">
        <f t="shared" si="118"/>
        <v>9.0680441860465116E-2</v>
      </c>
      <c r="AA279" s="1">
        <f t="shared" si="122"/>
        <v>46.67632099020112</v>
      </c>
      <c r="AD279" s="1">
        <f t="shared" si="123"/>
        <v>0.25</v>
      </c>
    </row>
    <row r="280" spans="1:30" ht="15">
      <c r="A280" s="1">
        <v>279</v>
      </c>
      <c r="B280" s="1">
        <f t="shared" si="125"/>
        <v>0</v>
      </c>
      <c r="C280" s="1">
        <f t="shared" si="119"/>
        <v>0</v>
      </c>
      <c r="D280" s="1">
        <f t="shared" si="124"/>
        <v>6.628578953850627</v>
      </c>
      <c r="E280">
        <v>206.46</v>
      </c>
      <c r="K280" s="1">
        <f>'Solar Availability and Gener GR'!F280</f>
        <v>1.1909730259058111</v>
      </c>
      <c r="L280" s="1">
        <f>'System Load'!D280</f>
        <v>0.48139534883720936</v>
      </c>
      <c r="M280" s="1">
        <f t="shared" si="120"/>
        <v>0.70957767706860175</v>
      </c>
      <c r="N280" s="1" t="str">
        <f t="shared" si="121"/>
        <v>sell the surplus or charge</v>
      </c>
      <c r="O280" s="1">
        <v>0.25</v>
      </c>
      <c r="P280" s="1">
        <f t="shared" si="126"/>
        <v>0.51932367149758452</v>
      </c>
      <c r="Q280" s="1">
        <f t="shared" si="127"/>
        <v>0.94097302590581111</v>
      </c>
      <c r="R280" s="1">
        <f t="shared" si="128"/>
        <v>194.26657666319136</v>
      </c>
      <c r="S280" s="1">
        <f t="shared" si="129"/>
        <v>146.49586641998522</v>
      </c>
      <c r="T280" s="1">
        <f t="shared" si="130"/>
        <v>155.69497349944982</v>
      </c>
      <c r="U280" s="1" t="str">
        <f t="shared" si="131"/>
        <v>sell to the Grid</v>
      </c>
      <c r="Y280" s="1">
        <f t="shared" si="118"/>
        <v>9.9388883720930257E-2</v>
      </c>
      <c r="AA280" s="1">
        <f t="shared" si="122"/>
        <v>47.385898667269721</v>
      </c>
      <c r="AD280" s="1">
        <f t="shared" si="123"/>
        <v>0.25</v>
      </c>
    </row>
    <row r="281" spans="1:30" ht="15">
      <c r="A281" s="1">
        <v>280</v>
      </c>
      <c r="B281" s="1">
        <f t="shared" si="125"/>
        <v>0</v>
      </c>
      <c r="C281" s="1">
        <f t="shared" si="119"/>
        <v>0</v>
      </c>
      <c r="D281" s="1">
        <f t="shared" si="124"/>
        <v>6.628578953850627</v>
      </c>
      <c r="E281">
        <v>272.01</v>
      </c>
      <c r="K281" s="1">
        <f>'Solar Availability and Gener GR'!F281</f>
        <v>0.92246060713967637</v>
      </c>
      <c r="L281" s="1">
        <f>'System Load'!D281</f>
        <v>0.80232558139534893</v>
      </c>
      <c r="M281" s="1">
        <f t="shared" si="120"/>
        <v>0.12013502574432744</v>
      </c>
      <c r="N281" s="1" t="str">
        <f t="shared" si="121"/>
        <v>sell the surplus or charge</v>
      </c>
      <c r="O281" s="1">
        <v>0.25</v>
      </c>
      <c r="P281" s="1">
        <f t="shared" si="126"/>
        <v>0.31159420289855067</v>
      </c>
      <c r="Q281" s="1">
        <f t="shared" si="127"/>
        <v>0.67246060713967637</v>
      </c>
      <c r="R281" s="1">
        <f t="shared" si="128"/>
        <v>182.91091345234571</v>
      </c>
      <c r="S281" s="1">
        <f t="shared" si="129"/>
        <v>32.677118703454681</v>
      </c>
      <c r="T281" s="1">
        <f t="shared" si="130"/>
        <v>48.635744558969463</v>
      </c>
      <c r="U281" s="1" t="str">
        <f t="shared" si="131"/>
        <v>sell to the Grid</v>
      </c>
      <c r="W281" s="1">
        <f>(Q281*E281)/1000</f>
        <v>0.18291600974806338</v>
      </c>
      <c r="Y281" s="1">
        <f t="shared" si="118"/>
        <v>0.21824058139534888</v>
      </c>
      <c r="AA281" s="1">
        <f t="shared" si="122"/>
        <v>47.506033693014047</v>
      </c>
      <c r="AD281" s="1">
        <f t="shared" si="123"/>
        <v>0.25</v>
      </c>
    </row>
    <row r="282" spans="1:30" ht="15">
      <c r="A282" s="1">
        <v>281</v>
      </c>
      <c r="B282" s="1">
        <f t="shared" si="125"/>
        <v>0</v>
      </c>
      <c r="C282" s="1">
        <f t="shared" si="119"/>
        <v>0</v>
      </c>
      <c r="D282" s="1">
        <f t="shared" si="124"/>
        <v>6.628578953850627</v>
      </c>
      <c r="E282">
        <v>297</v>
      </c>
      <c r="K282" s="1">
        <f>'Solar Availability and Gener GR'!F282</f>
        <v>0.54864239294934358</v>
      </c>
      <c r="L282" s="1">
        <f>'System Load'!D282</f>
        <v>0.80232558139534893</v>
      </c>
      <c r="M282" s="1">
        <f t="shared" si="120"/>
        <v>-0.25368318844600535</v>
      </c>
      <c r="N282" s="1" t="str">
        <f t="shared" si="121"/>
        <v>Buy from Grid</v>
      </c>
      <c r="V282" s="1" t="str">
        <f t="shared" ref="V282:V289" si="132">IF(D282+M282&gt;0,"discharge","buy from the Grid")</f>
        <v>discharge</v>
      </c>
      <c r="Y282" s="1">
        <f t="shared" si="118"/>
        <v>0.23829069767441863</v>
      </c>
      <c r="AA282" s="1">
        <f t="shared" si="122"/>
        <v>47.252350504568042</v>
      </c>
      <c r="AD282" s="1">
        <f t="shared" si="123"/>
        <v>0</v>
      </c>
    </row>
    <row r="283" spans="1:30" ht="15">
      <c r="A283" s="1">
        <v>282</v>
      </c>
      <c r="B283" s="1">
        <f t="shared" si="125"/>
        <v>0</v>
      </c>
      <c r="C283" s="1">
        <f t="shared" si="119"/>
        <v>-0.66579927497676072</v>
      </c>
      <c r="D283" s="1">
        <f t="shared" si="124"/>
        <v>5.796329860129676</v>
      </c>
      <c r="E283">
        <v>285.3</v>
      </c>
      <c r="K283" s="1">
        <f>'Solar Availability and Gener GR'!F283</f>
        <v>0.13652630641858823</v>
      </c>
      <c r="L283" s="1">
        <f>'System Load'!D283</f>
        <v>0.80232558139534893</v>
      </c>
      <c r="M283" s="1">
        <f t="shared" si="120"/>
        <v>-0.66579927497676072</v>
      </c>
      <c r="N283" s="1" t="str">
        <f t="shared" si="121"/>
        <v>Buy from Grid</v>
      </c>
      <c r="V283" s="1" t="str">
        <f t="shared" si="132"/>
        <v>discharge</v>
      </c>
      <c r="Y283" s="1">
        <f t="shared" si="118"/>
        <v>0.22890348837209304</v>
      </c>
      <c r="AA283" s="1">
        <f t="shared" si="122"/>
        <v>46.586551229591279</v>
      </c>
      <c r="AD283" s="1">
        <f t="shared" si="123"/>
        <v>0</v>
      </c>
    </row>
    <row r="284" spans="1:30" ht="15">
      <c r="A284" s="1">
        <v>283</v>
      </c>
      <c r="B284" s="1">
        <f t="shared" si="125"/>
        <v>0</v>
      </c>
      <c r="C284" s="1">
        <f t="shared" si="119"/>
        <v>-0.80232558139534893</v>
      </c>
      <c r="D284" s="1">
        <f t="shared" si="124"/>
        <v>4.7934228833854897</v>
      </c>
      <c r="E284">
        <v>257.5</v>
      </c>
      <c r="K284" s="1">
        <f>'Solar Availability and Gener GR'!F284</f>
        <v>0</v>
      </c>
      <c r="L284" s="1">
        <f>'System Load'!D284</f>
        <v>0.80232558139534893</v>
      </c>
      <c r="M284" s="1">
        <f t="shared" si="120"/>
        <v>-0.80232558139534893</v>
      </c>
      <c r="N284" s="1" t="str">
        <f t="shared" si="121"/>
        <v>Buy from Grid</v>
      </c>
      <c r="V284" s="1" t="str">
        <f t="shared" si="132"/>
        <v>discharge</v>
      </c>
      <c r="Y284" s="1">
        <f t="shared" si="118"/>
        <v>0.20659883720930236</v>
      </c>
      <c r="AA284" s="1">
        <f t="shared" si="122"/>
        <v>45.784225648195928</v>
      </c>
      <c r="AD284" s="1">
        <f t="shared" si="123"/>
        <v>0</v>
      </c>
    </row>
    <row r="285" spans="1:30" ht="15">
      <c r="A285" s="1">
        <v>284</v>
      </c>
      <c r="B285" s="1">
        <f t="shared" si="125"/>
        <v>0</v>
      </c>
      <c r="C285" s="1">
        <f t="shared" si="119"/>
        <v>-0.80232558139534893</v>
      </c>
      <c r="D285" s="1">
        <f t="shared" si="124"/>
        <v>3.7905159066413034</v>
      </c>
      <c r="E285">
        <v>277.69</v>
      </c>
      <c r="K285" s="1">
        <f>'Solar Availability and Gener GR'!F285</f>
        <v>0</v>
      </c>
      <c r="L285" s="1">
        <f>'System Load'!D285</f>
        <v>0.80232558139534893</v>
      </c>
      <c r="M285" s="1">
        <f t="shared" si="120"/>
        <v>-0.80232558139534893</v>
      </c>
      <c r="N285" s="1" t="str">
        <f t="shared" si="121"/>
        <v>Buy from Grid</v>
      </c>
      <c r="V285" s="1" t="str">
        <f t="shared" si="132"/>
        <v>discharge</v>
      </c>
      <c r="Y285" s="1">
        <f t="shared" si="118"/>
        <v>0.22279779069767444</v>
      </c>
      <c r="AA285" s="1">
        <f t="shared" si="122"/>
        <v>44.981900066800577</v>
      </c>
      <c r="AD285" s="1">
        <f t="shared" si="123"/>
        <v>0</v>
      </c>
    </row>
    <row r="286" spans="1:30" ht="15">
      <c r="A286" s="1">
        <v>285</v>
      </c>
      <c r="B286" s="1">
        <f t="shared" si="125"/>
        <v>0</v>
      </c>
      <c r="C286" s="1">
        <f t="shared" si="119"/>
        <v>-0.80232558139534893</v>
      </c>
      <c r="D286" s="1">
        <f t="shared" si="124"/>
        <v>2.7876089298971172</v>
      </c>
      <c r="E286">
        <v>269.25</v>
      </c>
      <c r="K286" s="1">
        <f>'Solar Availability and Gener GR'!F286</f>
        <v>0</v>
      </c>
      <c r="L286" s="1">
        <f>'System Load'!D286</f>
        <v>0.80232558139534893</v>
      </c>
      <c r="M286" s="1">
        <f t="shared" si="120"/>
        <v>-0.80232558139534893</v>
      </c>
      <c r="N286" s="1" t="str">
        <f t="shared" si="121"/>
        <v>Buy from Grid</v>
      </c>
      <c r="V286" s="1" t="str">
        <f t="shared" si="132"/>
        <v>discharge</v>
      </c>
      <c r="Y286" s="1">
        <f t="shared" si="118"/>
        <v>0.2160261627906977</v>
      </c>
      <c r="AA286" s="1">
        <f t="shared" si="122"/>
        <v>44.179574485405226</v>
      </c>
      <c r="AD286" s="1">
        <f t="shared" si="123"/>
        <v>0</v>
      </c>
    </row>
    <row r="287" spans="1:30" ht="15">
      <c r="A287" s="1">
        <v>286</v>
      </c>
      <c r="B287" s="1">
        <f t="shared" si="125"/>
        <v>0</v>
      </c>
      <c r="C287" s="1">
        <f t="shared" si="119"/>
        <v>-0.80232558139534893</v>
      </c>
      <c r="D287" s="1">
        <f t="shared" si="124"/>
        <v>1.7847019531529311</v>
      </c>
      <c r="E287">
        <v>181.38</v>
      </c>
      <c r="K287" s="1">
        <f>'Solar Availability and Gener GR'!F287</f>
        <v>0</v>
      </c>
      <c r="L287" s="1">
        <f>'System Load'!D287</f>
        <v>0.80232558139534893</v>
      </c>
      <c r="M287" s="1">
        <f t="shared" si="120"/>
        <v>-0.80232558139534893</v>
      </c>
      <c r="N287" s="1" t="str">
        <f t="shared" si="121"/>
        <v>Buy from Grid</v>
      </c>
      <c r="V287" s="1" t="str">
        <f t="shared" si="132"/>
        <v>discharge</v>
      </c>
      <c r="Y287" s="1">
        <f t="shared" si="118"/>
        <v>0.14552581395348838</v>
      </c>
      <c r="AA287" s="1">
        <f t="shared" si="122"/>
        <v>43.377248904009875</v>
      </c>
      <c r="AD287" s="1">
        <f t="shared" si="123"/>
        <v>0</v>
      </c>
    </row>
    <row r="288" spans="1:30" ht="15">
      <c r="A288" s="1">
        <v>287</v>
      </c>
      <c r="B288" s="1">
        <f t="shared" si="125"/>
        <v>0</v>
      </c>
      <c r="C288" s="1">
        <f t="shared" si="119"/>
        <v>-0.32093023255813952</v>
      </c>
      <c r="D288" s="1">
        <f t="shared" si="124"/>
        <v>1.3835391624552567</v>
      </c>
      <c r="E288">
        <v>213</v>
      </c>
      <c r="K288" s="1">
        <f>'Solar Availability and Gener GR'!F288</f>
        <v>0</v>
      </c>
      <c r="L288" s="1">
        <f>'System Load'!D288</f>
        <v>0.32093023255813952</v>
      </c>
      <c r="M288" s="1">
        <f t="shared" si="120"/>
        <v>-0.32093023255813952</v>
      </c>
      <c r="N288" s="1" t="str">
        <f t="shared" si="121"/>
        <v>Buy from Grid</v>
      </c>
      <c r="V288" s="1" t="str">
        <f t="shared" si="132"/>
        <v>discharge</v>
      </c>
      <c r="Y288" s="1">
        <f t="shared" si="118"/>
        <v>6.8358139534883719E-2</v>
      </c>
      <c r="AA288" s="1">
        <f t="shared" si="122"/>
        <v>43.056318671451734</v>
      </c>
      <c r="AD288" s="1">
        <f t="shared" si="123"/>
        <v>0</v>
      </c>
    </row>
    <row r="289" spans="1:33" ht="15">
      <c r="A289" s="1">
        <v>288</v>
      </c>
      <c r="C289" s="1">
        <f t="shared" si="119"/>
        <v>-0.32093023255813952</v>
      </c>
      <c r="D289" s="1">
        <f t="shared" si="124"/>
        <v>0.9823763717575823</v>
      </c>
      <c r="E289">
        <v>172.5</v>
      </c>
      <c r="K289" s="1">
        <f>'Solar Availability and Gener GR'!F289</f>
        <v>0</v>
      </c>
      <c r="L289" s="1">
        <f>'System Load'!D289</f>
        <v>0.32093023255813952</v>
      </c>
      <c r="M289" s="1">
        <f t="shared" si="120"/>
        <v>-0.32093023255813952</v>
      </c>
      <c r="N289" s="1" t="str">
        <f t="shared" si="121"/>
        <v>Buy from Grid</v>
      </c>
      <c r="V289" s="1" t="str">
        <f t="shared" si="132"/>
        <v>discharge</v>
      </c>
      <c r="Y289" s="1">
        <f t="shared" si="118"/>
        <v>5.5360465116279067E-2</v>
      </c>
      <c r="AA289" s="1">
        <f t="shared" si="122"/>
        <v>42.735388438893594</v>
      </c>
      <c r="AD289" s="1">
        <f t="shared" si="123"/>
        <v>0</v>
      </c>
    </row>
    <row r="290" spans="1:33">
      <c r="W290" s="1">
        <f>SUM(W2:W289)</f>
        <v>10.521314254067466</v>
      </c>
      <c r="X290" s="1">
        <f>SUM(X2:X289)</f>
        <v>-4.1219630624967687</v>
      </c>
      <c r="Y290" s="1">
        <f>SUM(Y2:Y289)</f>
        <v>37.088642307837191</v>
      </c>
    </row>
    <row r="291" spans="1:33" ht="54" customHeight="1">
      <c r="E291" s="1">
        <f>MIN(E2:E290)</f>
        <v>59.27</v>
      </c>
      <c r="L291" s="1">
        <f>SUM(L2:L290)*30</f>
        <v>4814.000183720932</v>
      </c>
      <c r="V291" s="1" t="s">
        <v>351</v>
      </c>
      <c r="W291" s="1">
        <f>(W290+X290)*30</f>
        <v>191.98053574712091</v>
      </c>
      <c r="Y291" s="1">
        <f>Y290*30</f>
        <v>1112.6592692351157</v>
      </c>
      <c r="AD291" s="1">
        <f>SUM(AD2:AD290)*30</f>
        <v>1300.0604651162794</v>
      </c>
      <c r="AE291" s="1" t="s">
        <v>374</v>
      </c>
    </row>
    <row r="292" spans="1:33">
      <c r="Q292" s="1">
        <f>SUM(Q2:Q289)</f>
        <v>166.34415073444302</v>
      </c>
    </row>
    <row r="293" spans="1:33" ht="30">
      <c r="D293" s="1">
        <f>10.7/12</f>
        <v>0.89166666666666661</v>
      </c>
      <c r="V293" s="1" t="s">
        <v>352</v>
      </c>
      <c r="W293" s="1">
        <f>Y291</f>
        <v>1112.6592692351157</v>
      </c>
      <c r="AF293" s="15"/>
      <c r="AG293" s="15"/>
    </row>
    <row r="295" spans="1:33" ht="30">
      <c r="V295" s="1" t="s">
        <v>354</v>
      </c>
      <c r="W295" s="1">
        <f>W291+W293</f>
        <v>1304.6398049822367</v>
      </c>
    </row>
    <row r="296" spans="1:33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395</v>
      </c>
      <c r="AA296" s="1" t="s">
        <v>359</v>
      </c>
      <c r="AE296" s="21" t="s">
        <v>393</v>
      </c>
      <c r="AF296" s="21"/>
      <c r="AG296" s="21" t="s">
        <v>394</v>
      </c>
    </row>
    <row r="297" spans="1:33" ht="45">
      <c r="V297" s="1">
        <v>2045</v>
      </c>
      <c r="W297" s="1">
        <v>3440000</v>
      </c>
      <c r="X297" s="11">
        <f>$W$295*W297</f>
        <v>4487960929.1388941</v>
      </c>
      <c r="Y297" s="3">
        <f>($L$291-$AD$291)*W297/1000000</f>
        <v>12087.952632000006</v>
      </c>
      <c r="Z297" s="12">
        <f>Y297*0.014</f>
        <v>169.2313368480001</v>
      </c>
      <c r="AA297" s="11">
        <f>$W$291*W297</f>
        <v>660413042.97009599</v>
      </c>
      <c r="AC297" s="1" t="s">
        <v>391</v>
      </c>
      <c r="AE297" s="1">
        <v>807960</v>
      </c>
      <c r="AG297" s="22">
        <f>Z297*100/AE297</f>
        <v>2.0945509288578655E-2</v>
      </c>
    </row>
    <row r="298" spans="1:33" ht="45">
      <c r="V298" s="1">
        <v>2045</v>
      </c>
      <c r="W298" s="1">
        <v>3440000</v>
      </c>
      <c r="X298" s="11">
        <f>$W$295*W298</f>
        <v>4487960929.1388941</v>
      </c>
      <c r="Y298" s="3">
        <f>($L$291-$AD$291)*W298/1000000</f>
        <v>12087.952632000006</v>
      </c>
      <c r="Z298" s="20">
        <f>Y298*0.197</f>
        <v>2381.3266685040012</v>
      </c>
      <c r="AA298" s="11">
        <f>$W$291*W298</f>
        <v>660413042.97009599</v>
      </c>
      <c r="AC298" s="1" t="s">
        <v>390</v>
      </c>
      <c r="AE298" s="1">
        <v>11861125</v>
      </c>
      <c r="AG298" s="22">
        <f>Z298*100/AE298</f>
        <v>2.0076735288634098E-2</v>
      </c>
    </row>
    <row r="299" spans="1:33">
      <c r="X299" s="11"/>
      <c r="Y299" s="3"/>
      <c r="AA299" s="11"/>
    </row>
    <row r="300" spans="1:33">
      <c r="X300" s="11"/>
      <c r="Y300" s="3"/>
      <c r="AA300" s="11"/>
    </row>
    <row r="301" spans="1:33">
      <c r="X301" s="11"/>
      <c r="Y301" s="3"/>
      <c r="AA301" s="11"/>
    </row>
  </sheetData>
  <autoFilter ref="A1:V289" xr:uid="{341E820E-40E6-49AC-8FF5-E40C9CA07058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2898-B966-5345-AD95-FC572AB4C7E0}">
  <dimension ref="A1:AE301"/>
  <sheetViews>
    <sheetView topLeftCell="N1" workbookViewId="0">
      <selection activeCell="O1" sqref="O1:O1048576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6.8627453627906981E-2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1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268.19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7.9375924031007752E-2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6.7948561240310082E-2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235.98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-6.9842762790697677E-2</v>
      </c>
      <c r="Y5" s="1">
        <f t="shared" si="1"/>
        <v>6.9842762790697677E-2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-6.9339615503875976E-2</v>
      </c>
      <c r="Y6" s="1">
        <f t="shared" si="1"/>
        <v>6.9339615503875976E-2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237.63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-9.4794106976744202E-2</v>
      </c>
      <c r="Y7" s="1">
        <f t="shared" si="1"/>
        <v>9.4794106976744202E-2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239.66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-0.15174007875968989</v>
      </c>
      <c r="Y8" s="1">
        <f t="shared" si="1"/>
        <v>0.16036783875968993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231.88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-0.13846651286821704</v>
      </c>
      <c r="Y9" s="1">
        <f t="shared" si="1"/>
        <v>0.15516187286821703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186.47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-0.10223759813953491</v>
      </c>
      <c r="Y10" s="1">
        <f t="shared" si="1"/>
        <v>0.1223763581395349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186.47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-4.1161167470361734E-2</v>
      </c>
      <c r="Y11" s="1">
        <f t="shared" si="1"/>
        <v>7.438562945736435E-2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ref="B12:B14" si="11">IF(U12="charge",Q12,0)</f>
        <v>0</v>
      </c>
      <c r="C12" s="1">
        <f t="shared" si="3"/>
        <v>0</v>
      </c>
      <c r="D12" s="1">
        <f t="shared" si="8"/>
        <v>8.855600775193806E-2</v>
      </c>
      <c r="E12">
        <v>177.25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63.55633626475484</v>
      </c>
      <c r="S12" s="1">
        <f t="shared" ref="S12:S18" si="15">((1/(E12+0.01))*LN(L12))+(E12*(K12-L12))</f>
        <v>37.163836771718536</v>
      </c>
      <c r="T12" s="1">
        <f t="shared" ref="T12:T18" si="16">(S12+((S12^2)-4*(K12-L12*P12)*LN(L12*P12))^(0.5))/(2*(K12-L12*P12))</f>
        <v>103.66943599576972</v>
      </c>
      <c r="U12" s="1" t="str">
        <f t="shared" ref="U12:U18" si="17">IF(E12&gt;=T12*1.1,"sell to the Grid","charge")</f>
        <v>sell to the Grid</v>
      </c>
      <c r="W12" s="1">
        <f t="shared" ref="W12:W18" si="18">(Q12*E12)/1000</f>
        <v>6.3564156948276898E-2</v>
      </c>
      <c r="Y12" s="1">
        <f t="shared" si="1"/>
        <v>7.0707635658914733E-2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11"/>
        <v>0</v>
      </c>
      <c r="C13" s="1">
        <f t="shared" si="3"/>
        <v>0</v>
      </c>
      <c r="D13" s="1">
        <f t="shared" si="8"/>
        <v>8.855600775193806E-2</v>
      </c>
      <c r="E13">
        <v>168.5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139.24017322199796</v>
      </c>
      <c r="S13" s="1">
        <f t="shared" si="15"/>
        <v>114.15081448969377</v>
      </c>
      <c r="T13" s="1">
        <f t="shared" si="16"/>
        <v>138.14236416794344</v>
      </c>
      <c r="U13" s="1" t="str">
        <f t="shared" si="17"/>
        <v>sell to the Grid</v>
      </c>
      <c r="W13" s="1">
        <f t="shared" si="18"/>
        <v>0.13924839999999997</v>
      </c>
      <c r="Y13" s="1">
        <f t="shared" si="1"/>
        <v>6.7217131782945735E-2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11"/>
        <v>0</v>
      </c>
      <c r="C14" s="1">
        <f t="shared" si="3"/>
        <v>0</v>
      </c>
      <c r="D14" s="1">
        <f t="shared" si="8"/>
        <v>8.855600775193806E-2</v>
      </c>
      <c r="E14">
        <v>84.9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95.207513367552465</v>
      </c>
      <c r="S14" s="1">
        <f t="shared" si="15"/>
        <v>82.570156220815775</v>
      </c>
      <c r="T14" s="1">
        <f t="shared" si="16"/>
        <v>73.634970396526128</v>
      </c>
      <c r="U14" s="1" t="str">
        <f t="shared" si="17"/>
        <v>sell to the Grid</v>
      </c>
      <c r="W14" s="1">
        <f t="shared" si="18"/>
        <v>9.522383999999999E-2</v>
      </c>
      <c r="Y14" s="1">
        <f t="shared" si="1"/>
        <v>3.3867860465116285E-2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81.95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96.618525720337729</v>
      </c>
      <c r="S15" s="1">
        <f t="shared" si="15"/>
        <v>84.420665105073141</v>
      </c>
      <c r="T15" s="1">
        <f t="shared" si="16"/>
        <v>71.607890624711644</v>
      </c>
      <c r="U15" s="1" t="str">
        <f t="shared" si="17"/>
        <v>sell to the Grid</v>
      </c>
      <c r="W15" s="1">
        <f t="shared" si="18"/>
        <v>9.6635440000000003E-2</v>
      </c>
      <c r="Y15" s="1">
        <f t="shared" si="1"/>
        <v>3.2691062015503883E-2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9">IF(U16="charge",Q16,0)</f>
        <v>0</v>
      </c>
      <c r="C16" s="1">
        <f t="shared" si="3"/>
        <v>0</v>
      </c>
      <c r="D16" s="1">
        <f t="shared" si="8"/>
        <v>8.855600775193806E-2</v>
      </c>
      <c r="E16">
        <v>179.73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198.34231522398395</v>
      </c>
      <c r="S16" s="1">
        <f t="shared" si="15"/>
        <v>171.58047083076937</v>
      </c>
      <c r="T16" s="1">
        <f t="shared" si="16"/>
        <v>155.48150323271437</v>
      </c>
      <c r="U16" s="1" t="str">
        <f t="shared" si="17"/>
        <v>sell to the Grid</v>
      </c>
      <c r="W16" s="1">
        <f t="shared" si="18"/>
        <v>0.19835002799999998</v>
      </c>
      <c r="Y16" s="1">
        <f t="shared" si="1"/>
        <v>7.1696944186046524E-2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9"/>
        <v>0</v>
      </c>
      <c r="C17" s="1">
        <f t="shared" si="3"/>
        <v>0</v>
      </c>
      <c r="D17" s="1">
        <f t="shared" si="8"/>
        <v>8.855600775193806E-2</v>
      </c>
      <c r="E17">
        <v>295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252.27930085637394</v>
      </c>
      <c r="S17" s="1">
        <f t="shared" si="15"/>
        <v>208.35103986436724</v>
      </c>
      <c r="T17" s="1">
        <f t="shared" si="16"/>
        <v>243.63509109945707</v>
      </c>
      <c r="U17" s="1" t="str">
        <f t="shared" si="17"/>
        <v>sell to the Grid</v>
      </c>
      <c r="W17" s="1">
        <f t="shared" si="18"/>
        <v>0.25228400000000001</v>
      </c>
      <c r="Y17" s="1">
        <f t="shared" si="1"/>
        <v>0.11767984496124032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9"/>
        <v>0</v>
      </c>
      <c r="C18" s="1">
        <f t="shared" si="3"/>
        <v>0</v>
      </c>
      <c r="D18" s="1">
        <f t="shared" si="8"/>
        <v>8.855600775193806E-2</v>
      </c>
      <c r="E18">
        <v>348.15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177.41325822621457</v>
      </c>
      <c r="S18" s="1">
        <f t="shared" si="15"/>
        <v>125.56993759648775</v>
      </c>
      <c r="T18" s="1">
        <f t="shared" si="16"/>
        <v>246.41986526212057</v>
      </c>
      <c r="U18" s="1" t="str">
        <f t="shared" si="17"/>
        <v>sell to the Grid</v>
      </c>
      <c r="W18" s="1">
        <f t="shared" si="18"/>
        <v>0.17741723999999998</v>
      </c>
      <c r="Y18" s="1">
        <f t="shared" si="1"/>
        <v>0.13888216279069771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9"/>
        <v>0</v>
      </c>
      <c r="C19" s="1">
        <f t="shared" si="3"/>
        <v>0</v>
      </c>
      <c r="D19" s="1">
        <f t="shared" si="8"/>
        <v>8.855600775193806E-2</v>
      </c>
      <c r="E19">
        <v>322.33999999999997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0">IF(D19+M19&gt;0,"discharge","buy from the Grid")</f>
        <v>buy from the Grid</v>
      </c>
      <c r="X19" s="1">
        <f t="shared" ref="X19:X35" si="21">(M19*E19)/1000</f>
        <v>-0.11589647243410854</v>
      </c>
      <c r="Y19" s="1">
        <f t="shared" si="1"/>
        <v>0.2156929364341085</v>
      </c>
      <c r="AA19" s="1">
        <f t="shared" si="6"/>
        <v>0.67294225882073277</v>
      </c>
      <c r="AC19" s="1">
        <f t="shared" ref="AC19:AC35" si="22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9"/>
        <v>0</v>
      </c>
      <c r="C20" s="1">
        <f t="shared" si="3"/>
        <v>0</v>
      </c>
      <c r="D20" s="1">
        <f t="shared" si="8"/>
        <v>8.855600775193806E-2</v>
      </c>
      <c r="E20">
        <v>301.64999999999998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0"/>
        <v>buy from the Grid</v>
      </c>
      <c r="X20" s="1">
        <f t="shared" si="21"/>
        <v>-0.18927906139534886</v>
      </c>
      <c r="Y20" s="1">
        <f t="shared" si="1"/>
        <v>0.19796658139534887</v>
      </c>
      <c r="AA20" s="1">
        <f t="shared" si="6"/>
        <v>4.5463189053290831E-2</v>
      </c>
      <c r="AC20" s="1">
        <f t="shared" si="22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9"/>
        <v>0</v>
      </c>
      <c r="C21" s="1">
        <f t="shared" si="3"/>
        <v>0</v>
      </c>
      <c r="D21" s="1">
        <f t="shared" si="8"/>
        <v>8.855600775193806E-2</v>
      </c>
      <c r="E21">
        <v>353.15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0"/>
        <v>buy from the Grid</v>
      </c>
      <c r="X21" s="1">
        <f t="shared" si="21"/>
        <v>-0.23630936434108527</v>
      </c>
      <c r="Y21" s="1">
        <f t="shared" si="1"/>
        <v>0.23630936434108527</v>
      </c>
      <c r="AA21" s="1">
        <f t="shared" si="6"/>
        <v>-0.6236840977684146</v>
      </c>
      <c r="AC21" s="1">
        <f t="shared" si="22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9"/>
        <v>0</v>
      </c>
      <c r="C22" s="1">
        <f t="shared" si="3"/>
        <v>0</v>
      </c>
      <c r="D22" s="1">
        <f t="shared" si="8"/>
        <v>8.855600775193806E-2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0"/>
        <v>buy from the Grid</v>
      </c>
      <c r="X22" s="1">
        <f t="shared" si="21"/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 t="shared" si="22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9"/>
        <v>0</v>
      </c>
      <c r="C23" s="1">
        <f t="shared" si="3"/>
        <v>0</v>
      </c>
      <c r="D23" s="1">
        <f t="shared" si="8"/>
        <v>8.855600775193806E-2</v>
      </c>
      <c r="E23">
        <v>283.56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0"/>
        <v>buy from the Grid</v>
      </c>
      <c r="X23" s="1">
        <f t="shared" si="21"/>
        <v>-0.1131162604651163</v>
      </c>
      <c r="Y23" s="1">
        <f t="shared" si="1"/>
        <v>0.1131162604651163</v>
      </c>
      <c r="AA23" s="1">
        <f t="shared" si="6"/>
        <v>-1.6917461132722906</v>
      </c>
      <c r="AC23" s="1">
        <f t="shared" si="22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9"/>
        <v>0</v>
      </c>
      <c r="C24" s="1">
        <f t="shared" si="3"/>
        <v>0</v>
      </c>
      <c r="D24" s="1">
        <f t="shared" si="8"/>
        <v>8.855600775193806E-2</v>
      </c>
      <c r="E24">
        <v>237.97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0"/>
        <v>buy from the Grid</v>
      </c>
      <c r="X24" s="1">
        <f t="shared" si="21"/>
        <v>-9.4929737984496138E-2</v>
      </c>
      <c r="Y24" s="1">
        <f t="shared" si="1"/>
        <v>9.4929737984496138E-2</v>
      </c>
      <c r="AA24" s="1">
        <f t="shared" si="6"/>
        <v>-2.0906608419544614</v>
      </c>
      <c r="AC24" s="1">
        <f t="shared" si="22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9"/>
        <v>0</v>
      </c>
      <c r="C25" s="1">
        <f t="shared" si="3"/>
        <v>0</v>
      </c>
      <c r="D25" s="1">
        <f t="shared" si="8"/>
        <v>8.855600775193806E-2</v>
      </c>
      <c r="E25">
        <v>230.59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0"/>
        <v>buy from the Grid</v>
      </c>
      <c r="X25" s="1">
        <f t="shared" si="21"/>
        <v>-9.1985747286821726E-2</v>
      </c>
      <c r="Y25" s="1">
        <f t="shared" si="1"/>
        <v>9.1985747286821726E-2</v>
      </c>
      <c r="AA25" s="1">
        <f t="shared" si="6"/>
        <v>-2.489575570636632</v>
      </c>
      <c r="AC25" s="1">
        <f t="shared" si="22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9"/>
        <v>0</v>
      </c>
      <c r="C26" s="1">
        <f t="shared" si="3"/>
        <v>0</v>
      </c>
      <c r="D26" s="1">
        <f t="shared" si="8"/>
        <v>8.855600775193806E-2</v>
      </c>
      <c r="E26">
        <v>187.27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0"/>
        <v>buy from the Grid</v>
      </c>
      <c r="X26" s="1">
        <f t="shared" si="21"/>
        <v>-5.5426113178294587E-2</v>
      </c>
      <c r="Y26" s="1">
        <f t="shared" si="1"/>
        <v>5.5426113178294587E-2</v>
      </c>
      <c r="AA26" s="1">
        <f t="shared" si="6"/>
        <v>-2.7855445628846942</v>
      </c>
      <c r="AC26" s="1">
        <f t="shared" si="22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9"/>
        <v>0</v>
      </c>
      <c r="C27" s="1">
        <f t="shared" si="3"/>
        <v>0</v>
      </c>
      <c r="D27" s="1">
        <f t="shared" si="8"/>
        <v>8.855600775193806E-2</v>
      </c>
      <c r="E27">
        <v>187.2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0"/>
        <v>buy from the Grid</v>
      </c>
      <c r="X27" s="1">
        <f t="shared" si="21"/>
        <v>-5.5405395348837219E-2</v>
      </c>
      <c r="Y27" s="1">
        <f t="shared" si="1"/>
        <v>5.5405395348837219E-2</v>
      </c>
      <c r="AA27" s="1">
        <f t="shared" si="6"/>
        <v>-3.0815135551327564</v>
      </c>
      <c r="AC27" s="1">
        <f t="shared" si="22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9"/>
        <v>0</v>
      </c>
      <c r="C28" s="1">
        <f t="shared" si="3"/>
        <v>0</v>
      </c>
      <c r="D28" s="1">
        <f t="shared" si="8"/>
        <v>8.855600775193806E-2</v>
      </c>
      <c r="E28">
        <v>180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0"/>
        <v>buy from the Grid</v>
      </c>
      <c r="X28" s="1">
        <f t="shared" si="21"/>
        <v>-5.3274418604651166E-2</v>
      </c>
      <c r="Y28" s="1">
        <f t="shared" si="1"/>
        <v>5.3274418604651166E-2</v>
      </c>
      <c r="AA28" s="1">
        <f t="shared" si="6"/>
        <v>-3.3774825473808185</v>
      </c>
      <c r="AC28" s="1">
        <f t="shared" si="22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9"/>
        <v>0</v>
      </c>
      <c r="C29" s="1">
        <f t="shared" si="3"/>
        <v>0</v>
      </c>
      <c r="D29" s="1">
        <f t="shared" si="8"/>
        <v>8.855600775193806E-2</v>
      </c>
      <c r="E29">
        <v>180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0"/>
        <v>buy from the Grid</v>
      </c>
      <c r="X29" s="1">
        <f t="shared" si="21"/>
        <v>-5.3274418604651166E-2</v>
      </c>
      <c r="Y29" s="1">
        <f t="shared" si="1"/>
        <v>5.3274418604651166E-2</v>
      </c>
      <c r="AA29" s="1">
        <f t="shared" si="6"/>
        <v>-3.6734515396288807</v>
      </c>
      <c r="AC29" s="1">
        <f t="shared" si="22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9"/>
        <v>0</v>
      </c>
      <c r="C30" s="1">
        <f t="shared" si="3"/>
        <v>0</v>
      </c>
      <c r="D30" s="1">
        <f t="shared" si="8"/>
        <v>8.855600775193806E-2</v>
      </c>
      <c r="E30">
        <v>185.89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0"/>
        <v>buy from the Grid</v>
      </c>
      <c r="X30" s="1">
        <f t="shared" si="21"/>
        <v>-5.501767596899225E-2</v>
      </c>
      <c r="Y30" s="1">
        <f t="shared" si="1"/>
        <v>5.501767596899225E-2</v>
      </c>
      <c r="AA30" s="1">
        <f t="shared" si="6"/>
        <v>-3.9694205318769429</v>
      </c>
      <c r="AC30" s="1">
        <f t="shared" si="22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9"/>
        <v>0</v>
      </c>
      <c r="C31" s="1">
        <f t="shared" si="3"/>
        <v>0</v>
      </c>
      <c r="D31" s="1">
        <f t="shared" si="8"/>
        <v>8.855600775193806E-2</v>
      </c>
      <c r="E31">
        <v>271.87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0"/>
        <v>buy from the Grid</v>
      </c>
      <c r="X31" s="1">
        <f t="shared" si="21"/>
        <v>-0.10845294728682173</v>
      </c>
      <c r="Y31" s="1">
        <f t="shared" si="1"/>
        <v>0.10845294728682173</v>
      </c>
      <c r="AA31" s="1">
        <f t="shared" si="6"/>
        <v>-4.3683352605591139</v>
      </c>
      <c r="AC31" s="1">
        <f t="shared" si="22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9"/>
        <v>0</v>
      </c>
      <c r="C32" s="1">
        <f t="shared" si="3"/>
        <v>0</v>
      </c>
      <c r="D32" s="1">
        <f t="shared" si="8"/>
        <v>8.855600775193806E-2</v>
      </c>
      <c r="E32">
        <v>348.77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0"/>
        <v>buy from the Grid</v>
      </c>
      <c r="X32" s="1">
        <f t="shared" si="21"/>
        <v>-0.22082277922480617</v>
      </c>
      <c r="Y32" s="1">
        <f t="shared" si="1"/>
        <v>0.23337849922480622</v>
      </c>
      <c r="AA32" s="1">
        <f t="shared" si="6"/>
        <v>-5.0014825473808191</v>
      </c>
      <c r="AC32" s="1">
        <f t="shared" si="22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9"/>
        <v>0</v>
      </c>
      <c r="C33" s="1">
        <f t="shared" si="3"/>
        <v>0</v>
      </c>
      <c r="D33" s="1">
        <f t="shared" si="8"/>
        <v>8.855600775193806E-2</v>
      </c>
      <c r="E33">
        <v>353.77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0"/>
        <v>buy from the Grid</v>
      </c>
      <c r="X33" s="1">
        <f t="shared" si="21"/>
        <v>-0.20670040651162797</v>
      </c>
      <c r="Y33" s="1">
        <f t="shared" si="1"/>
        <v>0.23217184651162792</v>
      </c>
      <c r="AA33" s="1">
        <f t="shared" si="6"/>
        <v>-5.5857616171482611</v>
      </c>
      <c r="AC33" s="1">
        <f t="shared" si="22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9"/>
        <v>0</v>
      </c>
      <c r="C34" s="1">
        <f t="shared" si="3"/>
        <v>0</v>
      </c>
      <c r="D34" s="1">
        <f t="shared" si="8"/>
        <v>8.855600775193806E-2</v>
      </c>
      <c r="E34">
        <v>231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0"/>
        <v>buy from the Grid</v>
      </c>
      <c r="X34" s="1">
        <f t="shared" si="21"/>
        <v>-0.12665246511627909</v>
      </c>
      <c r="Y34" s="1">
        <f t="shared" si="1"/>
        <v>0.15160046511627912</v>
      </c>
      <c r="AA34" s="1">
        <f t="shared" si="6"/>
        <v>-6.1340406869157036</v>
      </c>
      <c r="AC34" s="1">
        <f t="shared" si="22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9"/>
        <v>0</v>
      </c>
      <c r="C35" s="1">
        <f t="shared" si="3"/>
        <v>0</v>
      </c>
      <c r="D35" s="1">
        <f t="shared" si="8"/>
        <v>8.855600775193806E-2</v>
      </c>
      <c r="E35">
        <v>203.99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0"/>
        <v>buy from the Grid</v>
      </c>
      <c r="X35" s="1">
        <f t="shared" si="21"/>
        <v>-4.5028511569041085E-2</v>
      </c>
      <c r="Y35" s="1">
        <f t="shared" si="1"/>
        <v>8.137461550387598E-2</v>
      </c>
      <c r="AA35" s="1">
        <f t="shared" si="6"/>
        <v>-6.3547795053334744</v>
      </c>
      <c r="AC35" s="1">
        <f t="shared" si="22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9"/>
        <v>0</v>
      </c>
      <c r="C36" s="1">
        <f t="shared" si="3"/>
        <v>0</v>
      </c>
      <c r="D36" s="1">
        <f t="shared" si="8"/>
        <v>8.855600775193806E-2</v>
      </c>
      <c r="E36">
        <v>196.23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3">0.25/L36</f>
        <v>0.62670034978624167</v>
      </c>
      <c r="Q36" s="1">
        <f t="shared" ref="Q36:Q42" si="24">K36-P36*L36</f>
        <v>0.35861301522300082</v>
      </c>
      <c r="R36" s="1">
        <f t="shared" ref="R36:R42" si="25">((1/(E36+0.01))*LN(0.25))+(E36*(K36-0.25))</f>
        <v>70.36356769693468</v>
      </c>
      <c r="S36" s="1">
        <f t="shared" ref="S36:S42" si="26">((1/(E36+0.01))*LN(L36))+(E36*(K36-L36))</f>
        <v>41.144411688017655</v>
      </c>
      <c r="T36" s="1">
        <f t="shared" ref="T36:T42" si="27">(S36+((S36^2)-4*(K36-L36*P36)*LN(L36*P36))^(0.5))/(2*(K36-L36*P36))</f>
        <v>114.76574825727072</v>
      </c>
      <c r="U36" s="1" t="str">
        <f t="shared" ref="U36:U42" si="28">IF(E36&gt;=T36*1.1,"sell to the Grid","charge")</f>
        <v>sell to the Grid</v>
      </c>
      <c r="W36" s="1">
        <f t="shared" ref="W36:W42" si="29">(Q36*E36)/1000</f>
        <v>7.0370631977209441E-2</v>
      </c>
      <c r="Y36" s="1">
        <f t="shared" si="1"/>
        <v>7.8279037209302335E-2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9"/>
        <v>0</v>
      </c>
      <c r="C37" s="1">
        <f t="shared" si="3"/>
        <v>0</v>
      </c>
      <c r="D37" s="1">
        <f t="shared" si="8"/>
        <v>8.855600775193806E-2</v>
      </c>
      <c r="E37">
        <v>188.89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3"/>
        <v>0.62670034978624167</v>
      </c>
      <c r="Q37" s="1">
        <f t="shared" si="24"/>
        <v>0.8263999999999998</v>
      </c>
      <c r="R37" s="1">
        <f t="shared" si="25"/>
        <v>156.09135722625132</v>
      </c>
      <c r="S37" s="1">
        <f t="shared" si="26"/>
        <v>127.96532785106432</v>
      </c>
      <c r="T37" s="1">
        <f t="shared" si="27"/>
        <v>154.85755071738183</v>
      </c>
      <c r="U37" s="1" t="str">
        <f t="shared" si="28"/>
        <v>sell to the Grid</v>
      </c>
      <c r="W37" s="1">
        <f t="shared" si="29"/>
        <v>0.15609869599999995</v>
      </c>
      <c r="Y37" s="1">
        <f t="shared" si="1"/>
        <v>7.5351003100775207E-2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9"/>
        <v>0</v>
      </c>
      <c r="C38" s="1">
        <f t="shared" si="3"/>
        <v>0</v>
      </c>
      <c r="D38" s="1">
        <f t="shared" si="8"/>
        <v>8.855600775193806E-2</v>
      </c>
      <c r="E38">
        <v>187.91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3"/>
        <v>0.62670034978624167</v>
      </c>
      <c r="Q38" s="1">
        <f t="shared" si="24"/>
        <v>1.3916000000000002</v>
      </c>
      <c r="R38" s="1">
        <f t="shared" si="25"/>
        <v>261.48817895465561</v>
      </c>
      <c r="S38" s="1">
        <f t="shared" si="26"/>
        <v>233.50809891401926</v>
      </c>
      <c r="T38" s="1">
        <f t="shared" si="27"/>
        <v>167.80422556291506</v>
      </c>
      <c r="U38" s="1" t="str">
        <f t="shared" si="28"/>
        <v>sell to the Grid</v>
      </c>
      <c r="W38" s="1">
        <f t="shared" si="29"/>
        <v>0.26149555600000002</v>
      </c>
      <c r="Y38" s="1">
        <f t="shared" si="1"/>
        <v>7.4960066666666672E-2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9"/>
        <v>0</v>
      </c>
      <c r="C39" s="1">
        <f t="shared" si="3"/>
        <v>0</v>
      </c>
      <c r="D39" s="1">
        <f t="shared" si="8"/>
        <v>8.855600775193806E-2</v>
      </c>
      <c r="E39">
        <v>188.89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3"/>
        <v>0.62670034978624167</v>
      </c>
      <c r="Q39" s="1">
        <f t="shared" si="24"/>
        <v>1.5247999999999999</v>
      </c>
      <c r="R39" s="1">
        <f t="shared" si="25"/>
        <v>288.01213322625131</v>
      </c>
      <c r="S39" s="1">
        <f t="shared" si="26"/>
        <v>259.88610385106432</v>
      </c>
      <c r="T39" s="1">
        <f t="shared" si="27"/>
        <v>170.44480406794457</v>
      </c>
      <c r="U39" s="1" t="str">
        <f t="shared" si="28"/>
        <v>sell to the Grid</v>
      </c>
      <c r="W39" s="1">
        <f t="shared" si="29"/>
        <v>0.28801947199999994</v>
      </c>
      <c r="Y39" s="1">
        <f t="shared" si="1"/>
        <v>7.5351003100775207E-2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9"/>
        <v>0</v>
      </c>
      <c r="C40" s="1">
        <f t="shared" si="3"/>
        <v>0</v>
      </c>
      <c r="D40" s="1">
        <f t="shared" si="8"/>
        <v>8.855600775193806E-2</v>
      </c>
      <c r="E40">
        <v>203.7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3"/>
        <v>0.62670034978624167</v>
      </c>
      <c r="Q40" s="1">
        <f t="shared" si="24"/>
        <v>1.4096</v>
      </c>
      <c r="R40" s="1">
        <f t="shared" si="25"/>
        <v>287.12871476529813</v>
      </c>
      <c r="S40" s="1">
        <f t="shared" si="26"/>
        <v>256.79707841504131</v>
      </c>
      <c r="T40" s="1">
        <f t="shared" si="27"/>
        <v>182.1826672671414</v>
      </c>
      <c r="U40" s="1" t="str">
        <f t="shared" si="28"/>
        <v>sell to the Grid</v>
      </c>
      <c r="W40" s="1">
        <f t="shared" si="29"/>
        <v>0.28713551999999998</v>
      </c>
      <c r="Y40" s="1">
        <f t="shared" si="1"/>
        <v>8.1258930232558146E-2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9"/>
        <v>0</v>
      </c>
      <c r="C41" s="1">
        <f t="shared" si="3"/>
        <v>0</v>
      </c>
      <c r="D41" s="1">
        <f t="shared" si="8"/>
        <v>8.855600775193806E-2</v>
      </c>
      <c r="E41">
        <v>363.77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3"/>
        <v>0.62670034978624167</v>
      </c>
      <c r="Q41" s="1">
        <f t="shared" si="24"/>
        <v>1.1612</v>
      </c>
      <c r="R41" s="1">
        <f t="shared" si="25"/>
        <v>422.40591319577459</v>
      </c>
      <c r="S41" s="1">
        <f t="shared" si="26"/>
        <v>368.23648687427152</v>
      </c>
      <c r="T41" s="1">
        <f t="shared" si="27"/>
        <v>317.12095967494173</v>
      </c>
      <c r="U41" s="1" t="str">
        <f t="shared" si="28"/>
        <v>sell to the Grid</v>
      </c>
      <c r="W41" s="1">
        <f t="shared" si="29"/>
        <v>0.42240972399999999</v>
      </c>
      <c r="Y41" s="1">
        <f t="shared" si="1"/>
        <v>0.1451132108527132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9"/>
        <v>0</v>
      </c>
      <c r="C42" s="1">
        <f t="shared" si="3"/>
        <v>0</v>
      </c>
      <c r="D42" s="1">
        <f t="shared" si="8"/>
        <v>8.855600775193806E-2</v>
      </c>
      <c r="E42">
        <v>348.77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3"/>
        <v>0.62670034978624167</v>
      </c>
      <c r="Q42" s="1">
        <f t="shared" si="24"/>
        <v>0.8335999999999999</v>
      </c>
      <c r="R42" s="1">
        <f t="shared" si="25"/>
        <v>290.73069730431462</v>
      </c>
      <c r="S42" s="1">
        <f t="shared" si="26"/>
        <v>238.79504715694614</v>
      </c>
      <c r="T42" s="1">
        <f t="shared" si="27"/>
        <v>286.46819387950541</v>
      </c>
      <c r="U42" s="1" t="str">
        <f t="shared" si="28"/>
        <v>sell to the Grid</v>
      </c>
      <c r="W42" s="1">
        <f t="shared" si="29"/>
        <v>0.29073467199999992</v>
      </c>
      <c r="Y42" s="1">
        <f t="shared" si="1"/>
        <v>0.13912948992248064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9"/>
        <v>0</v>
      </c>
      <c r="C43" s="1">
        <f t="shared" si="3"/>
        <v>0</v>
      </c>
      <c r="D43" s="1">
        <f t="shared" si="8"/>
        <v>8.855600775193806E-2</v>
      </c>
      <c r="E43">
        <v>363.77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buy from the Grid</v>
      </c>
      <c r="X43" s="1">
        <f t="shared" ref="X43:X58" si="31">(M43*E43)/1000</f>
        <v>-4.697990852713177E-2</v>
      </c>
      <c r="Y43" s="1">
        <f t="shared" si="1"/>
        <v>0.24341570852713179</v>
      </c>
      <c r="AA43" s="1">
        <f t="shared" si="6"/>
        <v>-2.0516877707372982E-2</v>
      </c>
      <c r="AC43" s="1">
        <f t="shared" ref="AC43:AC58" si="32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9"/>
        <v>0</v>
      </c>
      <c r="C44" s="1">
        <f t="shared" si="3"/>
        <v>0</v>
      </c>
      <c r="D44" s="1">
        <f t="shared" si="8"/>
        <v>8.855600775193806E-2</v>
      </c>
      <c r="E44">
        <v>301.24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buy from the Grid</v>
      </c>
      <c r="X44" s="1">
        <f t="shared" si="31"/>
        <v>-0.16036429668217053</v>
      </c>
      <c r="Y44" s="1">
        <f t="shared" si="1"/>
        <v>0.20157392868217056</v>
      </c>
      <c r="AA44" s="1">
        <f t="shared" si="6"/>
        <v>-0.55286416452907838</v>
      </c>
      <c r="AC44" s="1">
        <f t="shared" si="32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9"/>
        <v>0</v>
      </c>
      <c r="C45" s="1">
        <f t="shared" si="3"/>
        <v>0</v>
      </c>
      <c r="D45" s="1">
        <f t="shared" si="8"/>
        <v>8.855600775193806E-2</v>
      </c>
      <c r="E45">
        <v>353.77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buy from the Grid</v>
      </c>
      <c r="X45" s="1">
        <f t="shared" si="31"/>
        <v>-0.23217184651162792</v>
      </c>
      <c r="Y45" s="1">
        <f t="shared" si="1"/>
        <v>0.23217184651162792</v>
      </c>
      <c r="AA45" s="1">
        <f t="shared" si="6"/>
        <v>-1.2091432342965205</v>
      </c>
      <c r="AC45" s="1">
        <f t="shared" si="32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9"/>
        <v>0</v>
      </c>
      <c r="C46" s="1">
        <f t="shared" si="3"/>
        <v>0</v>
      </c>
      <c r="D46" s="1">
        <f t="shared" si="8"/>
        <v>8.855600775193806E-2</v>
      </c>
      <c r="E46">
        <v>358.77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buy from the Grid</v>
      </c>
      <c r="X46" s="1">
        <f t="shared" si="31"/>
        <v>-0.24006997209302325</v>
      </c>
      <c r="Y46" s="1">
        <f t="shared" si="1"/>
        <v>0.24006997209302325</v>
      </c>
      <c r="AA46" s="1">
        <f t="shared" si="6"/>
        <v>-1.8782905211182259</v>
      </c>
      <c r="AC46" s="1">
        <f t="shared" si="32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9"/>
        <v>0</v>
      </c>
      <c r="C47" s="1">
        <f t="shared" si="3"/>
        <v>0</v>
      </c>
      <c r="D47" s="1">
        <f t="shared" si="8"/>
        <v>8.855600775193806E-2</v>
      </c>
      <c r="E47">
        <v>284.52999999999997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buy from the Grid</v>
      </c>
      <c r="X47" s="1">
        <f t="shared" si="31"/>
        <v>-0.11350320775193799</v>
      </c>
      <c r="Y47" s="1">
        <f t="shared" si="1"/>
        <v>0.11350320775193799</v>
      </c>
      <c r="AA47" s="1">
        <f t="shared" si="6"/>
        <v>-2.2772052498003967</v>
      </c>
      <c r="AC47" s="1">
        <f t="shared" si="32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9"/>
        <v>0</v>
      </c>
      <c r="C48" s="1">
        <f t="shared" si="3"/>
        <v>0</v>
      </c>
      <c r="D48" s="1">
        <f t="shared" si="8"/>
        <v>8.855600775193806E-2</v>
      </c>
      <c r="E48">
        <v>268.66000000000003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buy from the Grid</v>
      </c>
      <c r="X48" s="1">
        <f t="shared" si="31"/>
        <v>-0.10717243100775196</v>
      </c>
      <c r="Y48" s="1">
        <f t="shared" si="1"/>
        <v>0.10717243100775196</v>
      </c>
      <c r="AA48" s="1">
        <f t="shared" si="6"/>
        <v>-2.6761199784825673</v>
      </c>
      <c r="AC48" s="1">
        <f t="shared" si="32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9"/>
        <v>0</v>
      </c>
      <c r="C49" s="1">
        <f t="shared" si="3"/>
        <v>0</v>
      </c>
      <c r="D49" s="1">
        <f t="shared" si="8"/>
        <v>8.855600775193806E-2</v>
      </c>
      <c r="E49">
        <v>262.99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buy from the Grid</v>
      </c>
      <c r="X49" s="1">
        <f t="shared" si="31"/>
        <v>-0.10491058449612405</v>
      </c>
      <c r="Y49" s="1">
        <f t="shared" si="1"/>
        <v>0.10491058449612405</v>
      </c>
      <c r="AA49" s="1">
        <f t="shared" si="6"/>
        <v>-3.0750347071647379</v>
      </c>
      <c r="AC49" s="1">
        <f t="shared" si="32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9"/>
        <v>0</v>
      </c>
      <c r="C50" s="1">
        <f t="shared" si="3"/>
        <v>0</v>
      </c>
      <c r="D50" s="1">
        <f t="shared" si="8"/>
        <v>8.855600775193806E-2</v>
      </c>
      <c r="E50">
        <v>349.17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si="31"/>
        <v>-0.10334349302325584</v>
      </c>
      <c r="Y50" s="1">
        <f t="shared" si="1"/>
        <v>0.10334349302325584</v>
      </c>
      <c r="AA50" s="1">
        <f t="shared" si="6"/>
        <v>-3.3710036994128001</v>
      </c>
      <c r="AC50" s="1">
        <f t="shared" si="32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9"/>
        <v>0</v>
      </c>
      <c r="C51" s="1">
        <f t="shared" si="3"/>
        <v>0</v>
      </c>
      <c r="D51" s="1">
        <f t="shared" si="8"/>
        <v>8.855600775193806E-2</v>
      </c>
      <c r="E51">
        <v>274.10000000000002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-8.1125100775193817E-2</v>
      </c>
      <c r="Y51" s="1">
        <f t="shared" si="1"/>
        <v>8.1125100775193817E-2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9"/>
        <v>0</v>
      </c>
      <c r="C52" s="1">
        <f t="shared" si="3"/>
        <v>0</v>
      </c>
      <c r="D52" s="1">
        <f t="shared" si="8"/>
        <v>8.855600775193806E-2</v>
      </c>
      <c r="E52">
        <v>271.25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-8.0281589147286836E-2</v>
      </c>
      <c r="Y52" s="1">
        <f t="shared" si="1"/>
        <v>8.0281589147286836E-2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9"/>
        <v>0</v>
      </c>
      <c r="C53" s="1">
        <f t="shared" si="3"/>
        <v>0</v>
      </c>
      <c r="D53" s="1">
        <f t="shared" si="8"/>
        <v>8.855600775193806E-2</v>
      </c>
      <c r="E53">
        <v>172.78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-5.1137522480620159E-2</v>
      </c>
      <c r="Y53" s="1">
        <f t="shared" si="1"/>
        <v>5.1137522480620159E-2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9"/>
        <v>0</v>
      </c>
      <c r="C54" s="1">
        <f t="shared" si="3"/>
        <v>0</v>
      </c>
      <c r="D54" s="1">
        <f t="shared" si="8"/>
        <v>8.855600775193806E-2</v>
      </c>
      <c r="E54">
        <v>272.85000000000002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-8.0755139534883738E-2</v>
      </c>
      <c r="Y54" s="1">
        <f t="shared" si="1"/>
        <v>8.0755139534883738E-2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9"/>
        <v>0</v>
      </c>
      <c r="C55" s="1">
        <f t="shared" si="3"/>
        <v>0</v>
      </c>
      <c r="D55" s="1">
        <f t="shared" si="8"/>
        <v>8.855600775193806E-2</v>
      </c>
      <c r="E55">
        <v>354.17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-0.14128362945736436</v>
      </c>
      <c r="Y55" s="1">
        <f t="shared" si="1"/>
        <v>0.14128362945736436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9"/>
        <v>0</v>
      </c>
      <c r="C56" s="1">
        <f t="shared" si="3"/>
        <v>0</v>
      </c>
      <c r="D56" s="1">
        <f t="shared" si="8"/>
        <v>8.855600775193806E-2</v>
      </c>
      <c r="E56">
        <v>359.17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-0.24033763100775196</v>
      </c>
      <c r="Y56" s="1">
        <f t="shared" si="1"/>
        <v>0.24033763100775196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9"/>
        <v>0</v>
      </c>
      <c r="C57" s="1">
        <f t="shared" si="3"/>
        <v>0</v>
      </c>
      <c r="D57" s="1">
        <f t="shared" si="8"/>
        <v>8.855600775193806E-2</v>
      </c>
      <c r="E57">
        <v>349.17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-0.2279896041395349</v>
      </c>
      <c r="Y57" s="1">
        <f t="shared" si="1"/>
        <v>0.23364615813953488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9"/>
        <v>0</v>
      </c>
      <c r="C58" s="1">
        <f t="shared" si="3"/>
        <v>0</v>
      </c>
      <c r="D58" s="1">
        <f t="shared" si="8"/>
        <v>8.855600775193806E-2</v>
      </c>
      <c r="E58">
        <v>269.99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-0.11456952396899224</v>
      </c>
      <c r="Y58" s="1">
        <f t="shared" si="1"/>
        <v>0.18066307596899225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9"/>
        <v>0</v>
      </c>
      <c r="C59" s="1">
        <f t="shared" si="3"/>
        <v>0</v>
      </c>
      <c r="D59" s="1">
        <f t="shared" si="8"/>
        <v>8.855600775193806E-2</v>
      </c>
      <c r="E59">
        <v>198.49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101.14352014931426</v>
      </c>
      <c r="S59" s="1">
        <f t="shared" ref="S59:S67" si="36">((1/(E59+0.01))*LN(L59))+(E59*(K59-L59))</f>
        <v>71.587789742679433</v>
      </c>
      <c r="T59" s="1">
        <f t="shared" ref="T59:T67" si="37">(S59+((S59^2)-4*(K59-L59*P59)*LN(L59*P59))^(0.5))/(2*(K59-L59*P59))</f>
        <v>140.49775660127327</v>
      </c>
      <c r="U59" s="1" t="str">
        <f t="shared" ref="U59:U67" si="38">IF(E59&gt;=T59*1.1,"sell to the Grid","charge")</f>
        <v>sell to the Grid</v>
      </c>
      <c r="W59" s="1">
        <f>(Q59*E59)/1000</f>
        <v>0.101150504</v>
      </c>
      <c r="Y59" s="1">
        <f t="shared" si="1"/>
        <v>7.9180584496124043E-2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9"/>
        <v>0</v>
      </c>
      <c r="C60" s="1">
        <f t="shared" si="3"/>
        <v>0</v>
      </c>
      <c r="D60" s="1">
        <f t="shared" si="8"/>
        <v>8.855600775193806E-2</v>
      </c>
      <c r="E60">
        <v>191.58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226.59358826556127</v>
      </c>
      <c r="S60" s="1">
        <f t="shared" si="36"/>
        <v>198.06694353812554</v>
      </c>
      <c r="T60" s="1">
        <f t="shared" si="37"/>
        <v>167.46298761549153</v>
      </c>
      <c r="U60" s="1" t="str">
        <f t="shared" si="38"/>
        <v>sell to the Grid</v>
      </c>
      <c r="W60" s="1">
        <f>(Q60*E60)/1000</f>
        <v>0.22660082400000001</v>
      </c>
      <c r="Y60" s="1">
        <f t="shared" si="1"/>
        <v>7.6424083720930236E-2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9"/>
        <v>1.6616000000000002</v>
      </c>
      <c r="C61" s="1">
        <f t="shared" si="3"/>
        <v>0</v>
      </c>
      <c r="D61" s="1">
        <f t="shared" si="8"/>
        <v>1.4178360077519383</v>
      </c>
      <c r="E61">
        <v>180.2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299.41262733943114</v>
      </c>
      <c r="S61" s="1">
        <f t="shared" si="36"/>
        <v>272.58078624329846</v>
      </c>
      <c r="T61" s="1">
        <f t="shared" si="37"/>
        <v>164.05226081179981</v>
      </c>
      <c r="U61" s="1" t="str">
        <f t="shared" si="38"/>
        <v>charge</v>
      </c>
      <c r="Y61" s="1">
        <f t="shared" si="1"/>
        <v>7.1884434108527129E-2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9"/>
        <v>1.9388000000000001</v>
      </c>
      <c r="C62" s="1">
        <f t="shared" si="3"/>
        <v>0</v>
      </c>
      <c r="D62" s="1">
        <f t="shared" si="8"/>
        <v>2.9688760077519385</v>
      </c>
      <c r="E62">
        <v>175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339.28207877057815</v>
      </c>
      <c r="S62" s="1">
        <f t="shared" si="36"/>
        <v>313.22467130870132</v>
      </c>
      <c r="T62" s="1">
        <f t="shared" si="37"/>
        <v>161.56037340984841</v>
      </c>
      <c r="U62" s="1" t="str">
        <f t="shared" si="38"/>
        <v>charge</v>
      </c>
      <c r="Y62" s="1">
        <f t="shared" si="1"/>
        <v>6.9810077519379857E-2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9"/>
        <v>2.1008</v>
      </c>
      <c r="C63" s="1">
        <f t="shared" si="3"/>
        <v>0</v>
      </c>
      <c r="D63" s="1">
        <f t="shared" si="8"/>
        <v>4.6495160077519389</v>
      </c>
      <c r="E63">
        <v>174.76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367.12787589288138</v>
      </c>
      <c r="S63" s="1">
        <f t="shared" si="36"/>
        <v>341.10621163250045</v>
      </c>
      <c r="T63" s="1">
        <f t="shared" si="37"/>
        <v>162.3737382466002</v>
      </c>
      <c r="U63" s="1" t="str">
        <f t="shared" si="38"/>
        <v>charge</v>
      </c>
      <c r="Y63" s="1">
        <f t="shared" si="1"/>
        <v>6.9714337984496125E-2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9"/>
        <v>1.9855999999999998</v>
      </c>
      <c r="C64" s="1">
        <f t="shared" si="3"/>
        <v>0</v>
      </c>
      <c r="D64" s="1">
        <f t="shared" si="8"/>
        <v>6.2379960077519385</v>
      </c>
      <c r="E64">
        <v>180.2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357.79742733943107</v>
      </c>
      <c r="S64" s="1">
        <f t="shared" si="36"/>
        <v>330.96558624329839</v>
      </c>
      <c r="T64" s="1">
        <f t="shared" si="37"/>
        <v>166.68709860490614</v>
      </c>
      <c r="U64" s="1" t="str">
        <f t="shared" si="38"/>
        <v>charge</v>
      </c>
      <c r="Y64" s="1">
        <f t="shared" si="1"/>
        <v>7.1884434108527129E-2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9"/>
        <v>1.6976</v>
      </c>
      <c r="C65" s="1">
        <f t="shared" si="3"/>
        <v>0</v>
      </c>
      <c r="D65" s="1">
        <f t="shared" si="8"/>
        <v>7.5960760077519387</v>
      </c>
      <c r="E65">
        <v>269.97000000000003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458.29593719608448</v>
      </c>
      <c r="S65" s="1">
        <f t="shared" si="36"/>
        <v>418.09515871368484</v>
      </c>
      <c r="T65" s="1">
        <f t="shared" si="37"/>
        <v>246.28934226919174</v>
      </c>
      <c r="U65" s="1" t="str">
        <f t="shared" si="38"/>
        <v>charge</v>
      </c>
      <c r="Y65" s="1">
        <f t="shared" si="1"/>
        <v>0.1076950093023256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9"/>
        <v>0</v>
      </c>
      <c r="C66" s="1">
        <f t="shared" si="3"/>
        <v>0</v>
      </c>
      <c r="D66" s="1">
        <f t="shared" si="8"/>
        <v>7.5960760077519387</v>
      </c>
      <c r="E66">
        <v>354.17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444.40860190445215</v>
      </c>
      <c r="S66" s="1">
        <f t="shared" si="36"/>
        <v>391.66879179533902</v>
      </c>
      <c r="T66" s="1">
        <f t="shared" si="37"/>
        <v>312.13996896243685</v>
      </c>
      <c r="U66" s="1" t="str">
        <f t="shared" si="38"/>
        <v>sell to the Grid</v>
      </c>
      <c r="W66" s="1">
        <f>(Q66*E66)/1000</f>
        <v>0.44441251599999998</v>
      </c>
      <c r="Y66" s="1">
        <f t="shared" ref="Y66:Y129" si="39">(L66*E66)/1000</f>
        <v>0.14128362945736436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9"/>
        <v>0</v>
      </c>
      <c r="C67" s="1">
        <f t="shared" ref="C67:C130" si="40">IF(V66="discharge",M66,0)</f>
        <v>0</v>
      </c>
      <c r="D67" s="1">
        <f t="shared" si="8"/>
        <v>7.5960760077519387</v>
      </c>
      <c r="E67">
        <v>369.17</v>
      </c>
      <c r="K67" s="1">
        <f>'Solar Availability and Gener GR'!F67</f>
        <v>0.9396000000000001</v>
      </c>
      <c r="L67" s="1">
        <v>0.65627906976744199</v>
      </c>
      <c r="M67" s="1">
        <f t="shared" ref="M67:M130" si="41">K67-L67</f>
        <v>0.28332093023255811</v>
      </c>
      <c r="N67" s="1" t="str">
        <f t="shared" ref="N67:N130" si="42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254.57587693645078</v>
      </c>
      <c r="S67" s="1">
        <f t="shared" si="36"/>
        <v>104.59244699059016</v>
      </c>
      <c r="T67" s="1">
        <f t="shared" si="37"/>
        <v>151.68443492208235</v>
      </c>
      <c r="U67" s="1" t="str">
        <f t="shared" si="38"/>
        <v>sell to the Grid</v>
      </c>
      <c r="W67" s="1">
        <f>(Q67*E67)/1000</f>
        <v>0.25457963200000006</v>
      </c>
      <c r="Y67" s="1">
        <f t="shared" si="39"/>
        <v>0.24227854418604655</v>
      </c>
      <c r="AA67" s="1">
        <f t="shared" ref="AA67:AA130" si="43">M67+AA66</f>
        <v>4.7233668432228599</v>
      </c>
      <c r="AD67" s="1">
        <f t="shared" ref="AD67:AD130" si="44">AC67+O67</f>
        <v>0.25</v>
      </c>
    </row>
    <row r="68" spans="1:30" ht="15">
      <c r="A68" s="1">
        <v>67</v>
      </c>
      <c r="B68" s="1">
        <f t="shared" si="19"/>
        <v>0</v>
      </c>
      <c r="C68" s="1">
        <f t="shared" si="40"/>
        <v>0</v>
      </c>
      <c r="D68" s="1">
        <f t="shared" ref="D68:D131" si="45">(D67)+(B68*0.8)+(C68/0.8)</f>
        <v>7.5960760077519387</v>
      </c>
      <c r="E68">
        <v>344.5</v>
      </c>
      <c r="K68" s="1">
        <f>'Solar Availability and Gener GR'!F68</f>
        <v>0.34559999999999996</v>
      </c>
      <c r="L68" s="1">
        <v>0.66914728682170543</v>
      </c>
      <c r="M68" s="1">
        <f t="shared" si="41"/>
        <v>-0.32354728682170547</v>
      </c>
      <c r="N68" s="1" t="str">
        <f t="shared" si="42"/>
        <v>Buy from Grid</v>
      </c>
      <c r="V68" s="1" t="str">
        <f t="shared" ref="V68:V82" si="46">IF(D68+M68&gt;0,"discharge","buy from the Grid")</f>
        <v>discharge</v>
      </c>
      <c r="Y68" s="1">
        <f t="shared" si="39"/>
        <v>0.23052124031007754</v>
      </c>
      <c r="AA68" s="1">
        <f t="shared" si="43"/>
        <v>4.3998195564011544</v>
      </c>
      <c r="AD68" s="1">
        <f t="shared" si="44"/>
        <v>0</v>
      </c>
    </row>
    <row r="69" spans="1:30" ht="15">
      <c r="A69" s="1">
        <v>68</v>
      </c>
      <c r="B69" s="1">
        <f t="shared" si="19"/>
        <v>0</v>
      </c>
      <c r="C69" s="1">
        <f t="shared" si="40"/>
        <v>-0.32354728682170547</v>
      </c>
      <c r="D69" s="1">
        <f t="shared" si="45"/>
        <v>7.1916418992248072</v>
      </c>
      <c r="E69">
        <v>349.17</v>
      </c>
      <c r="K69" s="1">
        <f>'Solar Availability and Gener GR'!F69</f>
        <v>2.8799999999999999E-2</v>
      </c>
      <c r="L69" s="1">
        <v>0.65627906976744199</v>
      </c>
      <c r="M69" s="1">
        <f t="shared" si="41"/>
        <v>-0.62747906976744194</v>
      </c>
      <c r="N69" s="1" t="str">
        <f t="shared" si="42"/>
        <v>Buy from Grid</v>
      </c>
      <c r="V69" s="1" t="str">
        <f t="shared" si="46"/>
        <v>discharge</v>
      </c>
      <c r="Y69" s="1">
        <f t="shared" si="39"/>
        <v>0.22915296279069772</v>
      </c>
      <c r="AA69" s="1">
        <f t="shared" si="43"/>
        <v>3.7723404866337127</v>
      </c>
      <c r="AD69" s="1">
        <f t="shared" si="44"/>
        <v>0</v>
      </c>
    </row>
    <row r="70" spans="1:30" ht="15">
      <c r="A70" s="1">
        <v>69</v>
      </c>
      <c r="B70" s="1">
        <f t="shared" si="19"/>
        <v>0</v>
      </c>
      <c r="C70" s="1">
        <f t="shared" si="40"/>
        <v>-0.62747906976744194</v>
      </c>
      <c r="D70" s="1">
        <f t="shared" si="45"/>
        <v>6.4072930620155049</v>
      </c>
      <c r="E70">
        <v>343</v>
      </c>
      <c r="K70" s="1">
        <f>'Solar Availability and Gener GR'!F70</f>
        <v>0</v>
      </c>
      <c r="L70" s="1">
        <v>0.66914728682170543</v>
      </c>
      <c r="M70" s="1">
        <f t="shared" si="41"/>
        <v>-0.66914728682170543</v>
      </c>
      <c r="N70" s="1" t="str">
        <f t="shared" si="42"/>
        <v>Buy from Grid</v>
      </c>
      <c r="V70" s="1" t="str">
        <f t="shared" si="46"/>
        <v>discharge</v>
      </c>
      <c r="Y70" s="1">
        <f t="shared" si="39"/>
        <v>0.22951751937984496</v>
      </c>
      <c r="AA70" s="1">
        <f t="shared" si="43"/>
        <v>3.103193199812007</v>
      </c>
      <c r="AD70" s="1">
        <f t="shared" si="44"/>
        <v>0</v>
      </c>
    </row>
    <row r="71" spans="1:30" ht="15">
      <c r="A71" s="1">
        <v>70</v>
      </c>
      <c r="B71" s="1">
        <f t="shared" si="19"/>
        <v>0</v>
      </c>
      <c r="C71" s="1">
        <f t="shared" si="40"/>
        <v>-0.66914728682170543</v>
      </c>
      <c r="D71" s="1">
        <f t="shared" si="45"/>
        <v>5.570858953488373</v>
      </c>
      <c r="E71">
        <v>270.76</v>
      </c>
      <c r="K71" s="1">
        <f>'Solar Availability and Gener GR'!F71</f>
        <v>0</v>
      </c>
      <c r="L71" s="1">
        <v>0.39891472868217059</v>
      </c>
      <c r="M71" s="1">
        <f t="shared" si="41"/>
        <v>-0.39891472868217059</v>
      </c>
      <c r="N71" s="1" t="str">
        <f t="shared" si="42"/>
        <v>Buy from Grid</v>
      </c>
      <c r="V71" s="1" t="str">
        <f t="shared" si="46"/>
        <v>discharge</v>
      </c>
      <c r="Y71" s="1">
        <f t="shared" si="39"/>
        <v>0.10801015193798451</v>
      </c>
      <c r="AA71" s="1">
        <f t="shared" si="43"/>
        <v>2.7042784711298364</v>
      </c>
      <c r="AD71" s="1">
        <f t="shared" si="44"/>
        <v>0</v>
      </c>
    </row>
    <row r="72" spans="1:30" ht="15">
      <c r="A72" s="1">
        <v>71</v>
      </c>
      <c r="B72" s="1">
        <f t="shared" si="19"/>
        <v>0</v>
      </c>
      <c r="C72" s="1">
        <f t="shared" si="40"/>
        <v>-0.39891472868217059</v>
      </c>
      <c r="D72" s="1">
        <f t="shared" si="45"/>
        <v>5.0722155426356599</v>
      </c>
      <c r="E72">
        <v>243.82</v>
      </c>
      <c r="K72" s="1">
        <f>'Solar Availability and Gener GR'!F72</f>
        <v>0</v>
      </c>
      <c r="L72" s="1">
        <v>0.39891472868217059</v>
      </c>
      <c r="M72" s="1">
        <f t="shared" si="41"/>
        <v>-0.39891472868217059</v>
      </c>
      <c r="N72" s="1" t="str">
        <f t="shared" si="42"/>
        <v>Buy from Grid</v>
      </c>
      <c r="V72" s="1" t="str">
        <f t="shared" si="46"/>
        <v>discharge</v>
      </c>
      <c r="Y72" s="1">
        <f t="shared" si="39"/>
        <v>9.7263389147286827E-2</v>
      </c>
      <c r="AA72" s="1">
        <f t="shared" si="43"/>
        <v>2.3053637424476658</v>
      </c>
      <c r="AD72" s="1">
        <f t="shared" si="44"/>
        <v>0</v>
      </c>
    </row>
    <row r="73" spans="1:30" ht="15">
      <c r="A73" s="1">
        <v>72</v>
      </c>
      <c r="B73" s="1">
        <f t="shared" si="19"/>
        <v>0</v>
      </c>
      <c r="C73" s="1">
        <f t="shared" si="40"/>
        <v>-0.39891472868217059</v>
      </c>
      <c r="D73" s="1">
        <f t="shared" si="45"/>
        <v>4.5735721317829467</v>
      </c>
      <c r="E73">
        <v>149.99</v>
      </c>
      <c r="K73" s="1">
        <f>'Solar Availability and Gener GR'!F73</f>
        <v>0</v>
      </c>
      <c r="L73" s="1">
        <v>0.39891472868217059</v>
      </c>
      <c r="M73" s="1">
        <f t="shared" si="41"/>
        <v>-0.39891472868217059</v>
      </c>
      <c r="N73" s="1" t="str">
        <f t="shared" si="42"/>
        <v>Buy from Grid</v>
      </c>
      <c r="V73" s="1" t="str">
        <f t="shared" si="46"/>
        <v>discharge</v>
      </c>
      <c r="Y73" s="1">
        <f t="shared" si="39"/>
        <v>5.9833220155038773E-2</v>
      </c>
      <c r="AA73" s="1">
        <f t="shared" si="43"/>
        <v>1.9064490137654952</v>
      </c>
      <c r="AD73" s="1">
        <f t="shared" si="44"/>
        <v>0</v>
      </c>
    </row>
    <row r="74" spans="1:30" ht="15">
      <c r="A74" s="1">
        <v>73</v>
      </c>
      <c r="B74" s="1">
        <f t="shared" si="19"/>
        <v>0</v>
      </c>
      <c r="C74" s="1">
        <f t="shared" si="40"/>
        <v>-0.39891472868217059</v>
      </c>
      <c r="D74" s="1">
        <f t="shared" si="45"/>
        <v>4.0749287209302336</v>
      </c>
      <c r="E74">
        <v>151.68</v>
      </c>
      <c r="K74" s="1">
        <f>'Solar Availability and Gener GR'!F74</f>
        <v>0</v>
      </c>
      <c r="L74" s="1">
        <v>0.29596899224806206</v>
      </c>
      <c r="M74" s="1">
        <f t="shared" si="41"/>
        <v>-0.29596899224806206</v>
      </c>
      <c r="N74" s="1" t="str">
        <f t="shared" si="42"/>
        <v>Buy from Grid</v>
      </c>
      <c r="V74" s="1" t="str">
        <f t="shared" si="46"/>
        <v>discharge</v>
      </c>
      <c r="Y74" s="1">
        <f t="shared" si="39"/>
        <v>4.489257674418605E-2</v>
      </c>
      <c r="AA74" s="1">
        <f t="shared" si="43"/>
        <v>1.6104800215174331</v>
      </c>
      <c r="AD74" s="1">
        <f t="shared" si="44"/>
        <v>0</v>
      </c>
    </row>
    <row r="75" spans="1:30" ht="15">
      <c r="A75" s="1">
        <v>74</v>
      </c>
      <c r="B75" s="1">
        <f t="shared" si="19"/>
        <v>0</v>
      </c>
      <c r="C75" s="1">
        <f t="shared" si="40"/>
        <v>-0.29596899224806206</v>
      </c>
      <c r="D75" s="1">
        <f t="shared" si="45"/>
        <v>3.704967480620156</v>
      </c>
      <c r="E75">
        <v>216.29</v>
      </c>
      <c r="K75" s="1">
        <f>'Solar Availability and Gener GR'!F75</f>
        <v>0</v>
      </c>
      <c r="L75" s="1">
        <v>0.29596899224806206</v>
      </c>
      <c r="M75" s="1">
        <f t="shared" si="41"/>
        <v>-0.29596899224806206</v>
      </c>
      <c r="N75" s="1" t="str">
        <f t="shared" si="42"/>
        <v>Buy from Grid</v>
      </c>
      <c r="V75" s="1" t="str">
        <f t="shared" si="46"/>
        <v>discharge</v>
      </c>
      <c r="Y75" s="1">
        <f t="shared" si="39"/>
        <v>6.4015133333333335E-2</v>
      </c>
      <c r="AA75" s="1">
        <f t="shared" si="43"/>
        <v>1.3145110292693709</v>
      </c>
      <c r="AD75" s="1">
        <f t="shared" si="44"/>
        <v>0</v>
      </c>
    </row>
    <row r="76" spans="1:30" ht="15">
      <c r="A76" s="1">
        <v>75</v>
      </c>
      <c r="B76" s="1">
        <f t="shared" si="19"/>
        <v>0</v>
      </c>
      <c r="C76" s="1">
        <f t="shared" si="40"/>
        <v>-0.29596899224806206</v>
      </c>
      <c r="D76" s="1">
        <f t="shared" si="45"/>
        <v>3.3350062403100784</v>
      </c>
      <c r="E76">
        <v>155.18</v>
      </c>
      <c r="K76" s="1">
        <f>'Solar Availability and Gener GR'!F76</f>
        <v>0</v>
      </c>
      <c r="L76" s="1">
        <v>0.29596899224806206</v>
      </c>
      <c r="M76" s="1">
        <f t="shared" si="41"/>
        <v>-0.29596899224806206</v>
      </c>
      <c r="N76" s="1" t="str">
        <f t="shared" si="42"/>
        <v>Buy from Grid</v>
      </c>
      <c r="V76" s="1" t="str">
        <f t="shared" si="46"/>
        <v>discharge</v>
      </c>
      <c r="Y76" s="1">
        <f t="shared" si="39"/>
        <v>4.592846821705427E-2</v>
      </c>
      <c r="AA76" s="1">
        <f t="shared" si="43"/>
        <v>1.0185420370213087</v>
      </c>
      <c r="AD76" s="1">
        <f t="shared" si="44"/>
        <v>0</v>
      </c>
    </row>
    <row r="77" spans="1:30" ht="15">
      <c r="A77" s="1">
        <v>76</v>
      </c>
      <c r="B77" s="1">
        <f t="shared" si="19"/>
        <v>0</v>
      </c>
      <c r="C77" s="1">
        <f t="shared" si="40"/>
        <v>-0.29596899224806206</v>
      </c>
      <c r="D77" s="1">
        <f t="shared" si="45"/>
        <v>2.9650450000000008</v>
      </c>
      <c r="E77">
        <v>130</v>
      </c>
      <c r="K77" s="1">
        <f>'Solar Availability and Gener GR'!F77</f>
        <v>0</v>
      </c>
      <c r="L77" s="1">
        <v>0.29596899224806206</v>
      </c>
      <c r="M77" s="1">
        <f t="shared" si="41"/>
        <v>-0.29596899224806206</v>
      </c>
      <c r="N77" s="1" t="str">
        <f t="shared" si="42"/>
        <v>Buy from Grid</v>
      </c>
      <c r="V77" s="1" t="str">
        <f t="shared" si="46"/>
        <v>discharge</v>
      </c>
      <c r="Y77" s="1">
        <f t="shared" si="39"/>
        <v>3.8475968992248068E-2</v>
      </c>
      <c r="AA77" s="1">
        <f t="shared" si="43"/>
        <v>0.72257304477324669</v>
      </c>
      <c r="AD77" s="1">
        <f t="shared" si="44"/>
        <v>0</v>
      </c>
    </row>
    <row r="78" spans="1:30" ht="15">
      <c r="A78" s="1">
        <v>77</v>
      </c>
      <c r="B78" s="1">
        <f t="shared" si="19"/>
        <v>0</v>
      </c>
      <c r="C78" s="1">
        <f t="shared" si="40"/>
        <v>-0.29596899224806206</v>
      </c>
      <c r="D78" s="1">
        <f t="shared" si="45"/>
        <v>2.5950837596899232</v>
      </c>
      <c r="E78">
        <v>150.13</v>
      </c>
      <c r="K78" s="1">
        <f>'Solar Availability and Gener GR'!F78</f>
        <v>0</v>
      </c>
      <c r="L78" s="1">
        <v>0.29596899224806206</v>
      </c>
      <c r="M78" s="1">
        <f t="shared" si="41"/>
        <v>-0.29596899224806206</v>
      </c>
      <c r="N78" s="1" t="str">
        <f t="shared" si="42"/>
        <v>Buy from Grid</v>
      </c>
      <c r="V78" s="1" t="str">
        <f t="shared" si="46"/>
        <v>discharge</v>
      </c>
      <c r="Y78" s="1">
        <f t="shared" si="39"/>
        <v>4.4433824806201554E-2</v>
      </c>
      <c r="AA78" s="1">
        <f t="shared" si="43"/>
        <v>0.42660405252518463</v>
      </c>
      <c r="AD78" s="1">
        <f t="shared" si="44"/>
        <v>0</v>
      </c>
    </row>
    <row r="79" spans="1:30" ht="15">
      <c r="A79" s="1">
        <v>78</v>
      </c>
      <c r="B79" s="1">
        <f t="shared" si="19"/>
        <v>0</v>
      </c>
      <c r="C79" s="1">
        <f t="shared" si="40"/>
        <v>-0.29596899224806206</v>
      </c>
      <c r="D79" s="1">
        <f t="shared" si="45"/>
        <v>2.2251225193798456</v>
      </c>
      <c r="E79">
        <v>257.31</v>
      </c>
      <c r="K79" s="1">
        <f>'Solar Availability and Gener GR'!F79</f>
        <v>0</v>
      </c>
      <c r="L79" s="1">
        <v>0.39891472868217059</v>
      </c>
      <c r="M79" s="1">
        <f t="shared" si="41"/>
        <v>-0.39891472868217059</v>
      </c>
      <c r="N79" s="1" t="str">
        <f t="shared" si="42"/>
        <v>Buy from Grid</v>
      </c>
      <c r="V79" s="1" t="str">
        <f t="shared" si="46"/>
        <v>discharge</v>
      </c>
      <c r="Y79" s="1">
        <f t="shared" si="39"/>
        <v>0.10264474883720932</v>
      </c>
      <c r="AA79" s="1">
        <f t="shared" si="43"/>
        <v>2.7689323843014035E-2</v>
      </c>
      <c r="AD79" s="1">
        <f t="shared" si="44"/>
        <v>0</v>
      </c>
    </row>
    <row r="80" spans="1:30" ht="15">
      <c r="A80" s="1">
        <v>79</v>
      </c>
      <c r="B80" s="1">
        <f t="shared" ref="B80:B143" si="47">IF(U80="charge",Q80,0)</f>
        <v>0</v>
      </c>
      <c r="C80" s="1">
        <f t="shared" si="40"/>
        <v>-0.39891472868217059</v>
      </c>
      <c r="D80" s="1">
        <f t="shared" si="45"/>
        <v>1.7264791085271325</v>
      </c>
      <c r="E80">
        <v>260.79000000000002</v>
      </c>
      <c r="K80" s="1">
        <f>'Solar Availability and Gener GR'!F80</f>
        <v>0</v>
      </c>
      <c r="L80" s="1">
        <v>0.65627906976744199</v>
      </c>
      <c r="M80" s="1">
        <f t="shared" si="41"/>
        <v>-0.65627906976744199</v>
      </c>
      <c r="N80" s="1" t="str">
        <f t="shared" si="42"/>
        <v>Buy from Grid</v>
      </c>
      <c r="V80" s="1" t="str">
        <f t="shared" si="46"/>
        <v>discharge</v>
      </c>
      <c r="Y80" s="1">
        <f t="shared" si="39"/>
        <v>0.17115101860465121</v>
      </c>
      <c r="AA80" s="1">
        <f t="shared" si="43"/>
        <v>-0.62858974592442796</v>
      </c>
      <c r="AD80" s="1">
        <f t="shared" si="44"/>
        <v>0</v>
      </c>
    </row>
    <row r="81" spans="1:30" ht="15">
      <c r="A81" s="1">
        <v>80</v>
      </c>
      <c r="B81" s="1">
        <f t="shared" si="47"/>
        <v>0</v>
      </c>
      <c r="C81" s="1">
        <f t="shared" si="40"/>
        <v>-0.65627906976744199</v>
      </c>
      <c r="D81" s="1">
        <f t="shared" si="45"/>
        <v>0.90613027131783008</v>
      </c>
      <c r="E81">
        <v>261.18</v>
      </c>
      <c r="K81" s="1">
        <f>'Solar Availability and Gener GR'!F81</f>
        <v>0.12959999999999999</v>
      </c>
      <c r="L81" s="1">
        <v>0.65627906976744199</v>
      </c>
      <c r="M81" s="1">
        <f t="shared" si="41"/>
        <v>-0.52667906976744194</v>
      </c>
      <c r="N81" s="1" t="str">
        <f t="shared" si="42"/>
        <v>Buy from Grid</v>
      </c>
      <c r="V81" s="1" t="str">
        <f t="shared" si="46"/>
        <v>discharge</v>
      </c>
      <c r="Y81" s="1">
        <f t="shared" si="39"/>
        <v>0.17140696744186051</v>
      </c>
      <c r="AA81" s="1">
        <f t="shared" si="43"/>
        <v>-1.15526881569187</v>
      </c>
      <c r="AD81" s="1">
        <f t="shared" si="44"/>
        <v>0</v>
      </c>
    </row>
    <row r="82" spans="1:30" ht="15">
      <c r="A82" s="1">
        <v>81</v>
      </c>
      <c r="B82" s="1">
        <f t="shared" si="47"/>
        <v>0</v>
      </c>
      <c r="C82" s="1">
        <f t="shared" si="40"/>
        <v>-0.52667906976744194</v>
      </c>
      <c r="D82" s="1">
        <f t="shared" si="45"/>
        <v>0.24778143410852771</v>
      </c>
      <c r="E82">
        <v>217.72</v>
      </c>
      <c r="K82" s="1">
        <f>'Solar Availability and Gener GR'!F82</f>
        <v>0.55079999999999996</v>
      </c>
      <c r="L82" s="1">
        <v>0.65627906976744199</v>
      </c>
      <c r="M82" s="1">
        <f t="shared" si="41"/>
        <v>-0.10547906976744204</v>
      </c>
      <c r="N82" s="1" t="str">
        <f t="shared" si="42"/>
        <v>Buy from Grid</v>
      </c>
      <c r="V82" s="1" t="str">
        <f t="shared" si="46"/>
        <v>discharge</v>
      </c>
      <c r="Y82" s="1">
        <f t="shared" si="39"/>
        <v>0.14288507906976747</v>
      </c>
      <c r="AA82" s="1">
        <f t="shared" si="43"/>
        <v>-1.2607478854593119</v>
      </c>
      <c r="AD82" s="1">
        <f t="shared" si="44"/>
        <v>0</v>
      </c>
    </row>
    <row r="83" spans="1:30" ht="15">
      <c r="A83" s="1">
        <v>82</v>
      </c>
      <c r="B83" s="1">
        <f t="shared" si="47"/>
        <v>0</v>
      </c>
      <c r="C83" s="1">
        <f t="shared" si="40"/>
        <v>-0.10547906976744204</v>
      </c>
      <c r="D83" s="1">
        <f t="shared" si="45"/>
        <v>0.11593259689922517</v>
      </c>
      <c r="E83">
        <v>191.22</v>
      </c>
      <c r="K83" s="1">
        <f>'Solar Availability and Gener GR'!F83</f>
        <v>1.0691999999999999</v>
      </c>
      <c r="L83" s="1">
        <v>0.39891472868217059</v>
      </c>
      <c r="M83" s="1">
        <f t="shared" si="41"/>
        <v>0.67028527131782933</v>
      </c>
      <c r="N83" s="1" t="str">
        <f t="shared" si="42"/>
        <v>sell the surplus or charge</v>
      </c>
      <c r="O83" s="1">
        <v>0.25</v>
      </c>
      <c r="P83" s="1">
        <f t="shared" ref="P83:P92" si="48">0.25/L83</f>
        <v>0.62670034978624167</v>
      </c>
      <c r="Q83" s="1">
        <f t="shared" ref="Q83:Q92" si="49">K83-P83*L83</f>
        <v>0.81919999999999993</v>
      </c>
      <c r="R83" s="1">
        <f t="shared" ref="R83:R92" si="50">((1/(E83+0.01))*LN(0.25))+(E83*(K83-0.25))</f>
        <v>156.64017464393075</v>
      </c>
      <c r="S83" s="1">
        <f t="shared" ref="S83:S92" si="51">((1/(E83+0.01))*LN(L83))+(E83*(K83-L83))</f>
        <v>128.16714381034734</v>
      </c>
      <c r="T83" s="1">
        <f t="shared" ref="T83:T92" si="52">(S83+((S83^2)-4*(K83-L83*P83)*LN(L83*P83))^(0.5))/(2*(K83-L83*P83))</f>
        <v>156.46484852459582</v>
      </c>
      <c r="U83" s="1" t="str">
        <f t="shared" ref="U83:U92" si="53">IF(E83&gt;=T83*1.1,"sell to the Grid","charge")</f>
        <v>sell to the Grid</v>
      </c>
      <c r="W83" s="1">
        <f>(Q83*E83)/1000</f>
        <v>0.15664742399999998</v>
      </c>
      <c r="Y83" s="1">
        <f t="shared" si="39"/>
        <v>7.6280474418604652E-2</v>
      </c>
      <c r="AA83" s="1">
        <f t="shared" si="43"/>
        <v>-0.5904626141414826</v>
      </c>
      <c r="AD83" s="1">
        <f t="shared" si="44"/>
        <v>0.25</v>
      </c>
    </row>
    <row r="84" spans="1:30" ht="15">
      <c r="A84" s="1">
        <v>83</v>
      </c>
      <c r="B84" s="1">
        <f t="shared" si="47"/>
        <v>1.64</v>
      </c>
      <c r="C84" s="1">
        <f t="shared" si="40"/>
        <v>0</v>
      </c>
      <c r="D84" s="1">
        <f t="shared" si="45"/>
        <v>1.4279325968992251</v>
      </c>
      <c r="E84">
        <v>183.83</v>
      </c>
      <c r="K84" s="1">
        <f>'Solar Availability and Gener GR'!F84</f>
        <v>1.89</v>
      </c>
      <c r="L84" s="1">
        <v>0.39891472868217059</v>
      </c>
      <c r="M84" s="1">
        <f t="shared" si="41"/>
        <v>1.4910852713178293</v>
      </c>
      <c r="N84" s="1" t="str">
        <f t="shared" si="42"/>
        <v>sell the surplus or charge</v>
      </c>
      <c r="O84" s="1">
        <v>0.25</v>
      </c>
      <c r="P84" s="1">
        <f t="shared" si="48"/>
        <v>0.62670034978624167</v>
      </c>
      <c r="Q84" s="1">
        <f t="shared" si="49"/>
        <v>1.64</v>
      </c>
      <c r="R84" s="1">
        <f t="shared" si="50"/>
        <v>301.47365923432812</v>
      </c>
      <c r="S84" s="1">
        <f t="shared" si="51"/>
        <v>274.10120647293235</v>
      </c>
      <c r="T84" s="1">
        <f t="shared" si="52"/>
        <v>167.13993944301589</v>
      </c>
      <c r="U84" s="1" t="str">
        <f t="shared" si="53"/>
        <v>charge</v>
      </c>
      <c r="Y84" s="1">
        <f t="shared" si="39"/>
        <v>7.3332494573643436E-2</v>
      </c>
      <c r="AA84" s="1">
        <f t="shared" si="43"/>
        <v>0.90062265717634671</v>
      </c>
      <c r="AD84" s="1">
        <f t="shared" si="44"/>
        <v>0.25</v>
      </c>
    </row>
    <row r="85" spans="1:30" ht="15">
      <c r="A85" s="1">
        <v>84</v>
      </c>
      <c r="B85" s="1">
        <f t="shared" si="47"/>
        <v>2.1764000000000001</v>
      </c>
      <c r="C85" s="1">
        <f t="shared" si="40"/>
        <v>0</v>
      </c>
      <c r="D85" s="1">
        <f t="shared" si="45"/>
        <v>3.1690525968992254</v>
      </c>
      <c r="E85">
        <v>173.5</v>
      </c>
      <c r="K85" s="1">
        <f>'Solar Availability and Gener GR'!F85</f>
        <v>2.4264000000000001</v>
      </c>
      <c r="L85" s="1">
        <v>0.39891472868217059</v>
      </c>
      <c r="M85" s="1">
        <f t="shared" si="41"/>
        <v>2.0274852713178295</v>
      </c>
      <c r="N85" s="1" t="str">
        <f t="shared" si="42"/>
        <v>sell the surplus or charge</v>
      </c>
      <c r="O85" s="1">
        <v>0.25</v>
      </c>
      <c r="P85" s="1">
        <f t="shared" si="48"/>
        <v>0.62670034978624167</v>
      </c>
      <c r="Q85" s="1">
        <f t="shared" si="49"/>
        <v>2.1764000000000001</v>
      </c>
      <c r="R85" s="1">
        <f t="shared" si="50"/>
        <v>377.5974102912736</v>
      </c>
      <c r="S85" s="1">
        <f t="shared" si="51"/>
        <v>351.7633980051603</v>
      </c>
      <c r="T85" s="1">
        <f t="shared" si="52"/>
        <v>161.6302035270709</v>
      </c>
      <c r="U85" s="1" t="str">
        <f t="shared" si="53"/>
        <v>charge</v>
      </c>
      <c r="Y85" s="1">
        <f t="shared" si="39"/>
        <v>6.9211705426356601E-2</v>
      </c>
      <c r="AA85" s="1">
        <f t="shared" si="43"/>
        <v>2.9281079284941764</v>
      </c>
      <c r="AD85" s="1">
        <f t="shared" si="44"/>
        <v>0.25</v>
      </c>
    </row>
    <row r="86" spans="1:30" ht="15">
      <c r="A86" s="1">
        <v>85</v>
      </c>
      <c r="B86" s="1">
        <f t="shared" si="47"/>
        <v>2.4247999999999998</v>
      </c>
      <c r="C86" s="1">
        <f t="shared" si="40"/>
        <v>0</v>
      </c>
      <c r="D86" s="1">
        <f t="shared" si="45"/>
        <v>5.1088925968992251</v>
      </c>
      <c r="E86">
        <v>169.41</v>
      </c>
      <c r="K86" s="1">
        <f>'Solar Availability and Gener GR'!F86</f>
        <v>2.6747999999999998</v>
      </c>
      <c r="L86" s="1">
        <v>0.39891472868217059</v>
      </c>
      <c r="M86" s="1">
        <f t="shared" si="41"/>
        <v>2.2758852713178293</v>
      </c>
      <c r="N86" s="1" t="str">
        <f t="shared" si="42"/>
        <v>sell the surplus or charge</v>
      </c>
      <c r="O86" s="1">
        <v>0.25</v>
      </c>
      <c r="P86" s="1">
        <f t="shared" si="48"/>
        <v>0.62670034978624167</v>
      </c>
      <c r="Q86" s="1">
        <f t="shared" si="49"/>
        <v>2.4247999999999998</v>
      </c>
      <c r="R86" s="1">
        <f t="shared" si="50"/>
        <v>410.77718541021648</v>
      </c>
      <c r="S86" s="1">
        <f t="shared" si="51"/>
        <v>385.55229938001702</v>
      </c>
      <c r="T86" s="1">
        <f t="shared" si="52"/>
        <v>159.00734815636599</v>
      </c>
      <c r="U86" s="1" t="str">
        <f t="shared" si="53"/>
        <v>charge</v>
      </c>
      <c r="Y86" s="1">
        <f t="shared" si="39"/>
        <v>6.758014418604652E-2</v>
      </c>
      <c r="AA86" s="1">
        <f t="shared" si="43"/>
        <v>5.2039931998120057</v>
      </c>
      <c r="AD86" s="1">
        <f t="shared" si="44"/>
        <v>0.25</v>
      </c>
    </row>
    <row r="87" spans="1:30" ht="15">
      <c r="A87" s="1">
        <v>86</v>
      </c>
      <c r="B87" s="1">
        <f t="shared" si="47"/>
        <v>2.54</v>
      </c>
      <c r="C87" s="1">
        <f t="shared" si="40"/>
        <v>0</v>
      </c>
      <c r="D87" s="1">
        <f t="shared" si="45"/>
        <v>7.1408925968992252</v>
      </c>
      <c r="E87">
        <v>172</v>
      </c>
      <c r="K87" s="1">
        <f>'Solar Availability and Gener GR'!F87</f>
        <v>2.79</v>
      </c>
      <c r="L87" s="1">
        <v>0.39891472868217059</v>
      </c>
      <c r="M87" s="1">
        <f t="shared" si="41"/>
        <v>2.3910852713178294</v>
      </c>
      <c r="N87" s="1" t="str">
        <f t="shared" si="42"/>
        <v>sell the surplus or charge</v>
      </c>
      <c r="O87" s="1">
        <v>0.25</v>
      </c>
      <c r="P87" s="1">
        <f t="shared" si="48"/>
        <v>0.62670034978624167</v>
      </c>
      <c r="Q87" s="1">
        <f t="shared" si="49"/>
        <v>2.54</v>
      </c>
      <c r="R87" s="1">
        <f t="shared" si="50"/>
        <v>436.87194061763199</v>
      </c>
      <c r="S87" s="1">
        <f t="shared" si="51"/>
        <v>411.2613239098647</v>
      </c>
      <c r="T87" s="1">
        <f t="shared" si="52"/>
        <v>161.91727781667493</v>
      </c>
      <c r="U87" s="1" t="str">
        <f t="shared" si="53"/>
        <v>charge</v>
      </c>
      <c r="Y87" s="1">
        <f t="shared" si="39"/>
        <v>6.8613333333333346E-2</v>
      </c>
      <c r="AA87" s="1">
        <f t="shared" si="43"/>
        <v>7.5950784711298347</v>
      </c>
      <c r="AD87" s="1">
        <f t="shared" si="44"/>
        <v>0.25</v>
      </c>
    </row>
    <row r="88" spans="1:30" ht="15">
      <c r="A88" s="1">
        <v>87</v>
      </c>
      <c r="B88" s="1">
        <f t="shared" si="47"/>
        <v>2.3852000000000002</v>
      </c>
      <c r="C88" s="1">
        <f t="shared" si="40"/>
        <v>0</v>
      </c>
      <c r="D88" s="1">
        <f t="shared" si="45"/>
        <v>9.0490525968992248</v>
      </c>
      <c r="E88">
        <v>216.43</v>
      </c>
      <c r="K88" s="1">
        <f>'Solar Availability and Gener GR'!F88</f>
        <v>2.6352000000000002</v>
      </c>
      <c r="L88" s="1">
        <v>0.39891472868217059</v>
      </c>
      <c r="M88" s="1">
        <f t="shared" si="41"/>
        <v>2.2362852713178296</v>
      </c>
      <c r="N88" s="1" t="str">
        <f t="shared" si="42"/>
        <v>sell the surplus or charge</v>
      </c>
      <c r="O88" s="1">
        <v>0.25</v>
      </c>
      <c r="P88" s="1">
        <f t="shared" si="48"/>
        <v>0.62670034978624167</v>
      </c>
      <c r="Q88" s="1">
        <f t="shared" si="49"/>
        <v>2.3852000000000002</v>
      </c>
      <c r="R88" s="1">
        <f t="shared" si="50"/>
        <v>516.22243101773654</v>
      </c>
      <c r="S88" s="1">
        <f t="shared" si="51"/>
        <v>483.99497525580546</v>
      </c>
      <c r="T88" s="1">
        <f t="shared" si="52"/>
        <v>202.91875189770005</v>
      </c>
      <c r="U88" s="1" t="str">
        <f t="shared" si="53"/>
        <v>charge</v>
      </c>
      <c r="Y88" s="1">
        <f t="shared" si="39"/>
        <v>8.6337114728682177E-2</v>
      </c>
      <c r="AA88" s="1">
        <f t="shared" si="43"/>
        <v>9.8313637424476639</v>
      </c>
      <c r="AD88" s="1">
        <f t="shared" si="44"/>
        <v>0.25</v>
      </c>
    </row>
    <row r="89" spans="1:30" ht="15">
      <c r="A89" s="1">
        <v>88</v>
      </c>
      <c r="B89" s="1">
        <f t="shared" si="47"/>
        <v>0</v>
      </c>
      <c r="C89" s="1">
        <f t="shared" si="40"/>
        <v>0</v>
      </c>
      <c r="D89" s="1">
        <f t="shared" si="45"/>
        <v>9.0490525968992248</v>
      </c>
      <c r="E89">
        <v>301.95</v>
      </c>
      <c r="K89" s="1">
        <f>'Solar Availability and Gener GR'!F89</f>
        <v>2.3508</v>
      </c>
      <c r="L89" s="1">
        <v>0.66914728682170543</v>
      </c>
      <c r="M89" s="1">
        <f t="shared" si="41"/>
        <v>1.6816527131782946</v>
      </c>
      <c r="N89" s="1" t="str">
        <f t="shared" si="42"/>
        <v>sell the surplus or charge</v>
      </c>
      <c r="O89" s="1">
        <v>0.25</v>
      </c>
      <c r="P89" s="1">
        <f t="shared" si="48"/>
        <v>0.3736098239110287</v>
      </c>
      <c r="Q89" s="1">
        <f t="shared" si="49"/>
        <v>2.1008</v>
      </c>
      <c r="R89" s="1">
        <f t="shared" si="50"/>
        <v>634.331969013243</v>
      </c>
      <c r="S89" s="1">
        <f t="shared" si="51"/>
        <v>507.77370626636309</v>
      </c>
      <c r="T89" s="1">
        <f t="shared" si="52"/>
        <v>241.70765502858711</v>
      </c>
      <c r="U89" s="1" t="str">
        <f t="shared" si="53"/>
        <v>sell to the Grid</v>
      </c>
      <c r="W89" s="1">
        <f>(Q89*E89)/1000</f>
        <v>0.63433655999999994</v>
      </c>
      <c r="Y89" s="1">
        <f t="shared" si="39"/>
        <v>0.20204902325581395</v>
      </c>
      <c r="AA89" s="1">
        <f t="shared" si="43"/>
        <v>11.513016455625959</v>
      </c>
      <c r="AD89" s="1">
        <f t="shared" si="44"/>
        <v>0.25</v>
      </c>
    </row>
    <row r="90" spans="1:30" ht="15">
      <c r="A90" s="1">
        <v>89</v>
      </c>
      <c r="B90" s="1">
        <f t="shared" si="47"/>
        <v>0</v>
      </c>
      <c r="C90" s="1">
        <f t="shared" si="40"/>
        <v>0</v>
      </c>
      <c r="D90" s="1">
        <f t="shared" si="45"/>
        <v>9.0490525968992248</v>
      </c>
      <c r="E90">
        <v>362.31</v>
      </c>
      <c r="K90" s="1">
        <f>'Solar Availability and Gener GR'!F90</f>
        <v>1.9260000000000002</v>
      </c>
      <c r="L90" s="1">
        <v>0.66914728682170543</v>
      </c>
      <c r="M90" s="1">
        <f t="shared" si="41"/>
        <v>1.2568527131782947</v>
      </c>
      <c r="N90" s="1" t="str">
        <f t="shared" si="42"/>
        <v>sell the surplus or charge</v>
      </c>
      <c r="O90" s="1">
        <v>0.25</v>
      </c>
      <c r="P90" s="1">
        <f t="shared" si="48"/>
        <v>0.3736098239110287</v>
      </c>
      <c r="Q90" s="1">
        <f t="shared" si="49"/>
        <v>1.6760000000000002</v>
      </c>
      <c r="R90" s="1">
        <f t="shared" si="50"/>
        <v>607.22773383980712</v>
      </c>
      <c r="S90" s="1">
        <f t="shared" si="51"/>
        <v>455.36919768218598</v>
      </c>
      <c r="T90" s="1">
        <f t="shared" si="52"/>
        <v>271.70304291349822</v>
      </c>
      <c r="U90" s="1" t="str">
        <f t="shared" si="53"/>
        <v>sell to the Grid</v>
      </c>
      <c r="W90" s="1">
        <f>(Q90*E90)/1000</f>
        <v>0.60723156</v>
      </c>
      <c r="Y90" s="1">
        <f t="shared" si="39"/>
        <v>0.2424387534883721</v>
      </c>
      <c r="AA90" s="1">
        <f t="shared" si="43"/>
        <v>12.769869168804254</v>
      </c>
      <c r="AD90" s="1">
        <f t="shared" si="44"/>
        <v>0.25</v>
      </c>
    </row>
    <row r="91" spans="1:30" ht="15">
      <c r="A91" s="1">
        <v>90</v>
      </c>
      <c r="B91" s="1">
        <f t="shared" si="47"/>
        <v>0</v>
      </c>
      <c r="C91" s="1">
        <f t="shared" si="40"/>
        <v>0</v>
      </c>
      <c r="D91" s="1">
        <f t="shared" si="45"/>
        <v>9.0490525968992248</v>
      </c>
      <c r="E91">
        <v>329.48</v>
      </c>
      <c r="K91" s="1">
        <f>'Solar Availability and Gener GR'!F91</f>
        <v>1.3139999999999998</v>
      </c>
      <c r="L91" s="1">
        <v>0.39891472868217059</v>
      </c>
      <c r="M91" s="1">
        <f t="shared" si="41"/>
        <v>0.91508527131782924</v>
      </c>
      <c r="N91" s="1" t="str">
        <f t="shared" si="42"/>
        <v>sell the surplus or charge</v>
      </c>
      <c r="O91" s="1">
        <v>0.25</v>
      </c>
      <c r="P91" s="1">
        <f t="shared" si="48"/>
        <v>0.62670034978624167</v>
      </c>
      <c r="Q91" s="1">
        <f t="shared" si="49"/>
        <v>1.0639999999999998</v>
      </c>
      <c r="R91" s="1">
        <f t="shared" si="50"/>
        <v>350.56251260565989</v>
      </c>
      <c r="S91" s="1">
        <f t="shared" si="51"/>
        <v>301.49950601173668</v>
      </c>
      <c r="T91" s="1">
        <f t="shared" si="52"/>
        <v>283.36879530362603</v>
      </c>
      <c r="U91" s="1" t="str">
        <f t="shared" si="53"/>
        <v>sell to the Grid</v>
      </c>
      <c r="W91" s="1">
        <f>(Q91*E91)/1000</f>
        <v>0.35056672</v>
      </c>
      <c r="Y91" s="1">
        <f t="shared" si="39"/>
        <v>0.13143442480620157</v>
      </c>
      <c r="AA91" s="1">
        <f t="shared" si="43"/>
        <v>13.684954440122084</v>
      </c>
      <c r="AD91" s="1">
        <f t="shared" si="44"/>
        <v>0.25</v>
      </c>
    </row>
    <row r="92" spans="1:30" ht="15">
      <c r="A92" s="1">
        <v>91</v>
      </c>
      <c r="B92" s="1">
        <f t="shared" si="47"/>
        <v>0</v>
      </c>
      <c r="C92" s="1">
        <f t="shared" si="40"/>
        <v>0</v>
      </c>
      <c r="D92" s="1">
        <f t="shared" si="45"/>
        <v>9.0490525968992248</v>
      </c>
      <c r="E92">
        <v>317</v>
      </c>
      <c r="K92" s="1">
        <f>'Solar Availability and Gener GR'!F92</f>
        <v>0.67320000000000002</v>
      </c>
      <c r="L92" s="1">
        <v>0.39891472868217059</v>
      </c>
      <c r="M92" s="1">
        <f t="shared" si="41"/>
        <v>0.27428527131782943</v>
      </c>
      <c r="N92" s="1" t="str">
        <f t="shared" si="42"/>
        <v>sell the surplus or charge</v>
      </c>
      <c r="O92" s="1">
        <v>0.25</v>
      </c>
      <c r="P92" s="1">
        <f t="shared" si="48"/>
        <v>0.62670034978624167</v>
      </c>
      <c r="Q92" s="1">
        <f t="shared" si="49"/>
        <v>0.42320000000000002</v>
      </c>
      <c r="R92" s="1">
        <f t="shared" si="50"/>
        <v>134.15002696961889</v>
      </c>
      <c r="S92" s="1">
        <f t="shared" si="51"/>
        <v>86.945532021607946</v>
      </c>
      <c r="T92" s="1">
        <f t="shared" si="52"/>
        <v>205.46379765641538</v>
      </c>
      <c r="U92" s="1" t="str">
        <f t="shared" si="53"/>
        <v>sell to the Grid</v>
      </c>
      <c r="W92" s="1">
        <f>(Q92*E92)/1000</f>
        <v>0.13415440000000001</v>
      </c>
      <c r="Y92" s="1">
        <f t="shared" si="39"/>
        <v>0.12645596899224806</v>
      </c>
      <c r="AA92" s="1">
        <f t="shared" si="43"/>
        <v>13.959239711439913</v>
      </c>
      <c r="AD92" s="1">
        <f t="shared" si="44"/>
        <v>0.25</v>
      </c>
    </row>
    <row r="93" spans="1:30" ht="15">
      <c r="A93" s="1">
        <v>92</v>
      </c>
      <c r="B93" s="1">
        <f t="shared" si="47"/>
        <v>0</v>
      </c>
      <c r="C93" s="1">
        <f t="shared" si="40"/>
        <v>0</v>
      </c>
      <c r="D93" s="1">
        <f t="shared" si="45"/>
        <v>9.0490525968992248</v>
      </c>
      <c r="E93">
        <v>255.28</v>
      </c>
      <c r="K93" s="1">
        <f>'Solar Availability and Gener GR'!F93</f>
        <v>0.14399999999999999</v>
      </c>
      <c r="L93" s="1">
        <v>0.65627906976744199</v>
      </c>
      <c r="M93" s="1">
        <f t="shared" si="41"/>
        <v>-0.51227906976744197</v>
      </c>
      <c r="N93" s="1" t="str">
        <f t="shared" si="42"/>
        <v>Buy from Grid</v>
      </c>
      <c r="V93" s="1" t="str">
        <f t="shared" ref="V93:V105" si="54">IF(D93+M93&gt;0,"discharge","buy from the Grid")</f>
        <v>discharge</v>
      </c>
      <c r="Y93" s="1">
        <f t="shared" si="39"/>
        <v>0.16753492093023259</v>
      </c>
      <c r="AA93" s="1">
        <f t="shared" si="43"/>
        <v>13.446960641672472</v>
      </c>
      <c r="AD93" s="1">
        <f t="shared" si="44"/>
        <v>0</v>
      </c>
    </row>
    <row r="94" spans="1:30" ht="15">
      <c r="A94" s="1">
        <v>93</v>
      </c>
      <c r="B94" s="1">
        <f t="shared" si="47"/>
        <v>0</v>
      </c>
      <c r="C94" s="1">
        <f t="shared" si="40"/>
        <v>-0.51227906976744197</v>
      </c>
      <c r="D94" s="1">
        <f t="shared" si="45"/>
        <v>8.4087037596899226</v>
      </c>
      <c r="E94">
        <v>255.8</v>
      </c>
      <c r="K94" s="1">
        <f>'Solar Availability and Gener GR'!F94</f>
        <v>1.224E-3</v>
      </c>
      <c r="L94" s="1">
        <v>0.65627906976744199</v>
      </c>
      <c r="M94" s="1">
        <f t="shared" si="41"/>
        <v>-0.65505506976744199</v>
      </c>
      <c r="N94" s="1" t="str">
        <f t="shared" si="42"/>
        <v>Buy from Grid</v>
      </c>
      <c r="V94" s="1" t="str">
        <f t="shared" si="54"/>
        <v>discharge</v>
      </c>
      <c r="Y94" s="1">
        <f t="shared" si="39"/>
        <v>0.16787618604651167</v>
      </c>
      <c r="AA94" s="1">
        <f t="shared" si="43"/>
        <v>12.79190557190503</v>
      </c>
      <c r="AD94" s="1">
        <f t="shared" si="44"/>
        <v>0</v>
      </c>
    </row>
    <row r="95" spans="1:30" ht="15">
      <c r="A95" s="1">
        <v>94</v>
      </c>
      <c r="B95" s="1">
        <f t="shared" si="47"/>
        <v>0</v>
      </c>
      <c r="C95" s="1">
        <f t="shared" si="40"/>
        <v>-0.65505506976744199</v>
      </c>
      <c r="D95" s="1">
        <f t="shared" si="45"/>
        <v>7.5898849224806204</v>
      </c>
      <c r="E95">
        <v>190.06</v>
      </c>
      <c r="K95" s="1">
        <f>'Solar Availability and Gener GR'!F95</f>
        <v>0</v>
      </c>
      <c r="L95" s="1">
        <v>0.39891472868217059</v>
      </c>
      <c r="M95" s="1">
        <f t="shared" si="41"/>
        <v>-0.39891472868217059</v>
      </c>
      <c r="N95" s="1" t="str">
        <f t="shared" si="42"/>
        <v>Buy from Grid</v>
      </c>
      <c r="V95" s="1" t="str">
        <f t="shared" si="54"/>
        <v>discharge</v>
      </c>
      <c r="Y95" s="1">
        <f t="shared" si="39"/>
        <v>7.5817733333333345E-2</v>
      </c>
      <c r="AA95" s="1">
        <f t="shared" si="43"/>
        <v>12.39299084322286</v>
      </c>
      <c r="AD95" s="1">
        <f t="shared" si="44"/>
        <v>0</v>
      </c>
    </row>
    <row r="96" spans="1:30" ht="15">
      <c r="A96" s="1">
        <v>95</v>
      </c>
      <c r="B96" s="1">
        <f t="shared" si="47"/>
        <v>0</v>
      </c>
      <c r="C96" s="1">
        <f t="shared" si="40"/>
        <v>-0.39891472868217059</v>
      </c>
      <c r="D96" s="1">
        <f t="shared" si="45"/>
        <v>7.0912415116279073</v>
      </c>
      <c r="E96">
        <v>179.99</v>
      </c>
      <c r="K96" s="1">
        <f>'Solar Availability and Gener GR'!F96</f>
        <v>0</v>
      </c>
      <c r="L96" s="1">
        <v>0.39891472868217059</v>
      </c>
      <c r="M96" s="1">
        <f t="shared" si="41"/>
        <v>-0.39891472868217059</v>
      </c>
      <c r="N96" s="1" t="str">
        <f t="shared" si="42"/>
        <v>Buy from Grid</v>
      </c>
      <c r="V96" s="1" t="str">
        <f t="shared" si="54"/>
        <v>discharge</v>
      </c>
      <c r="Y96" s="1">
        <f t="shared" si="39"/>
        <v>7.1800662015503891E-2</v>
      </c>
      <c r="AA96" s="1">
        <f t="shared" si="43"/>
        <v>11.99407611454069</v>
      </c>
      <c r="AD96" s="1">
        <f t="shared" si="44"/>
        <v>0</v>
      </c>
    </row>
    <row r="97" spans="1:30" ht="15">
      <c r="A97" s="1">
        <v>96</v>
      </c>
      <c r="B97" s="1">
        <f t="shared" si="47"/>
        <v>0</v>
      </c>
      <c r="C97" s="1">
        <f t="shared" si="40"/>
        <v>-0.39891472868217059</v>
      </c>
      <c r="D97" s="1">
        <f t="shared" si="45"/>
        <v>6.5925981007751941</v>
      </c>
      <c r="E97">
        <v>137.9</v>
      </c>
      <c r="K97" s="1">
        <f>'Solar Availability and Gener GR'!F97</f>
        <v>0</v>
      </c>
      <c r="L97" s="1">
        <v>0.39891472868217059</v>
      </c>
      <c r="M97" s="1">
        <f t="shared" si="41"/>
        <v>-0.39891472868217059</v>
      </c>
      <c r="N97" s="1" t="str">
        <f t="shared" si="42"/>
        <v>Buy from Grid</v>
      </c>
      <c r="V97" s="1" t="str">
        <f t="shared" si="54"/>
        <v>discharge</v>
      </c>
      <c r="Y97" s="1">
        <f t="shared" si="39"/>
        <v>5.5010341085271329E-2</v>
      </c>
      <c r="AA97" s="1">
        <f t="shared" si="43"/>
        <v>11.595161385858519</v>
      </c>
      <c r="AD97" s="1">
        <f t="shared" si="44"/>
        <v>0</v>
      </c>
    </row>
    <row r="98" spans="1:30" ht="15">
      <c r="A98" s="1">
        <v>97</v>
      </c>
      <c r="B98" s="1">
        <f t="shared" si="47"/>
        <v>0</v>
      </c>
      <c r="C98" s="1">
        <f t="shared" si="40"/>
        <v>-0.39891472868217059</v>
      </c>
      <c r="D98" s="1">
        <f t="shared" si="45"/>
        <v>6.093954689922481</v>
      </c>
      <c r="E98">
        <v>150.97999999999999</v>
      </c>
      <c r="K98" s="1">
        <f>'Solar Availability and Gener GR'!F98</f>
        <v>0</v>
      </c>
      <c r="L98" s="1">
        <v>0.30883720930232561</v>
      </c>
      <c r="M98" s="1">
        <f t="shared" si="41"/>
        <v>-0.30883720930232561</v>
      </c>
      <c r="N98" s="1" t="str">
        <f t="shared" si="42"/>
        <v>Buy from Grid</v>
      </c>
      <c r="V98" s="1" t="str">
        <f t="shared" si="54"/>
        <v>discharge</v>
      </c>
      <c r="Y98" s="1">
        <f t="shared" si="39"/>
        <v>4.6628241860465117E-2</v>
      </c>
      <c r="AA98" s="1">
        <f t="shared" si="43"/>
        <v>11.286324176556194</v>
      </c>
      <c r="AD98" s="1">
        <f t="shared" si="44"/>
        <v>0</v>
      </c>
    </row>
    <row r="99" spans="1:30" ht="15">
      <c r="A99" s="1">
        <v>98</v>
      </c>
      <c r="B99" s="1">
        <f t="shared" si="47"/>
        <v>0</v>
      </c>
      <c r="C99" s="1">
        <f t="shared" si="40"/>
        <v>-0.30883720930232561</v>
      </c>
      <c r="D99" s="1">
        <f t="shared" si="45"/>
        <v>5.7079081782945744</v>
      </c>
      <c r="E99">
        <v>123</v>
      </c>
      <c r="K99" s="1">
        <f>'Solar Availability and Gener GR'!F99</f>
        <v>0</v>
      </c>
      <c r="L99" s="1">
        <v>0.29596899224806206</v>
      </c>
      <c r="M99" s="1">
        <f t="shared" si="41"/>
        <v>-0.29596899224806206</v>
      </c>
      <c r="N99" s="1" t="str">
        <f t="shared" si="42"/>
        <v>Buy from Grid</v>
      </c>
      <c r="V99" s="1" t="str">
        <f t="shared" si="54"/>
        <v>discharge</v>
      </c>
      <c r="Y99" s="1">
        <f t="shared" si="39"/>
        <v>3.6404186046511633E-2</v>
      </c>
      <c r="AA99" s="1">
        <f t="shared" si="43"/>
        <v>10.990355184308132</v>
      </c>
      <c r="AD99" s="1">
        <f t="shared" si="44"/>
        <v>0</v>
      </c>
    </row>
    <row r="100" spans="1:30" ht="15">
      <c r="A100" s="1">
        <v>99</v>
      </c>
      <c r="B100" s="1">
        <f t="shared" si="47"/>
        <v>0</v>
      </c>
      <c r="C100" s="1">
        <f t="shared" si="40"/>
        <v>-0.29596899224806206</v>
      </c>
      <c r="D100" s="1">
        <f t="shared" si="45"/>
        <v>5.3379469379844968</v>
      </c>
      <c r="E100">
        <v>107</v>
      </c>
      <c r="K100" s="1">
        <f>'Solar Availability and Gener GR'!F100</f>
        <v>0</v>
      </c>
      <c r="L100" s="1">
        <v>0.29596899224806206</v>
      </c>
      <c r="M100" s="1">
        <f t="shared" si="41"/>
        <v>-0.29596899224806206</v>
      </c>
      <c r="N100" s="1" t="str">
        <f t="shared" si="42"/>
        <v>Buy from Grid</v>
      </c>
      <c r="V100" s="1" t="str">
        <f t="shared" si="54"/>
        <v>discharge</v>
      </c>
      <c r="Y100" s="1">
        <f t="shared" si="39"/>
        <v>3.1668682170542639E-2</v>
      </c>
      <c r="AA100" s="1">
        <f t="shared" si="43"/>
        <v>10.694386192060071</v>
      </c>
      <c r="AD100" s="1">
        <f t="shared" si="44"/>
        <v>0</v>
      </c>
    </row>
    <row r="101" spans="1:30" ht="15">
      <c r="A101" s="1">
        <v>100</v>
      </c>
      <c r="B101" s="1">
        <f t="shared" si="47"/>
        <v>0</v>
      </c>
      <c r="C101" s="1">
        <f t="shared" si="40"/>
        <v>-0.29596899224806206</v>
      </c>
      <c r="D101" s="1">
        <f t="shared" si="45"/>
        <v>4.9679856976744192</v>
      </c>
      <c r="E101">
        <v>100</v>
      </c>
      <c r="K101" s="1">
        <f>'Solar Availability and Gener GR'!F101</f>
        <v>0</v>
      </c>
      <c r="L101" s="1">
        <v>0.29596899224806206</v>
      </c>
      <c r="M101" s="1">
        <f t="shared" si="41"/>
        <v>-0.29596899224806206</v>
      </c>
      <c r="N101" s="1" t="str">
        <f t="shared" si="42"/>
        <v>Buy from Grid</v>
      </c>
      <c r="V101" s="1" t="str">
        <f t="shared" si="54"/>
        <v>discharge</v>
      </c>
      <c r="Y101" s="1">
        <f t="shared" si="39"/>
        <v>2.9596899224806204E-2</v>
      </c>
      <c r="AA101" s="1">
        <f t="shared" si="43"/>
        <v>10.398417199812009</v>
      </c>
      <c r="AD101" s="1">
        <f t="shared" si="44"/>
        <v>0</v>
      </c>
    </row>
    <row r="102" spans="1:30" ht="15">
      <c r="A102" s="1">
        <v>101</v>
      </c>
      <c r="B102" s="1">
        <f t="shared" si="47"/>
        <v>0</v>
      </c>
      <c r="C102" s="1">
        <f t="shared" si="40"/>
        <v>-0.29596899224806206</v>
      </c>
      <c r="D102" s="1">
        <f t="shared" si="45"/>
        <v>4.5980244573643416</v>
      </c>
      <c r="E102">
        <v>160</v>
      </c>
      <c r="K102" s="1">
        <f>'Solar Availability and Gener GR'!F102</f>
        <v>0</v>
      </c>
      <c r="L102" s="1">
        <v>0.29596899224806206</v>
      </c>
      <c r="M102" s="1">
        <f t="shared" si="41"/>
        <v>-0.29596899224806206</v>
      </c>
      <c r="N102" s="1" t="str">
        <f t="shared" si="42"/>
        <v>Buy from Grid</v>
      </c>
      <c r="V102" s="1" t="str">
        <f t="shared" si="54"/>
        <v>discharge</v>
      </c>
      <c r="Y102" s="1">
        <f t="shared" si="39"/>
        <v>4.7355038759689931E-2</v>
      </c>
      <c r="AA102" s="1">
        <f t="shared" si="43"/>
        <v>10.102448207563947</v>
      </c>
      <c r="AD102" s="1">
        <f t="shared" si="44"/>
        <v>0</v>
      </c>
    </row>
    <row r="103" spans="1:30" ht="15">
      <c r="A103" s="1">
        <v>102</v>
      </c>
      <c r="B103" s="1">
        <f t="shared" si="47"/>
        <v>0</v>
      </c>
      <c r="C103" s="1">
        <f t="shared" si="40"/>
        <v>-0.29596899224806206</v>
      </c>
      <c r="D103" s="1">
        <f t="shared" si="45"/>
        <v>4.228063217054264</v>
      </c>
      <c r="E103">
        <v>263.11</v>
      </c>
      <c r="K103" s="1">
        <f>'Solar Availability and Gener GR'!F103</f>
        <v>0</v>
      </c>
      <c r="L103" s="1">
        <v>0.39891472868217059</v>
      </c>
      <c r="M103" s="1">
        <f t="shared" si="41"/>
        <v>-0.39891472868217059</v>
      </c>
      <c r="N103" s="1" t="str">
        <f t="shared" si="42"/>
        <v>Buy from Grid</v>
      </c>
      <c r="V103" s="1" t="str">
        <f t="shared" si="54"/>
        <v>discharge</v>
      </c>
      <c r="Y103" s="1">
        <f t="shared" si="39"/>
        <v>0.10495845426356591</v>
      </c>
      <c r="AA103" s="1">
        <f t="shared" si="43"/>
        <v>9.7035334788817771</v>
      </c>
      <c r="AD103" s="1">
        <f t="shared" si="44"/>
        <v>0</v>
      </c>
    </row>
    <row r="104" spans="1:30" ht="15">
      <c r="A104" s="1">
        <v>103</v>
      </c>
      <c r="B104" s="1">
        <f t="shared" si="47"/>
        <v>0</v>
      </c>
      <c r="C104" s="1">
        <f t="shared" si="40"/>
        <v>-0.39891472868217059</v>
      </c>
      <c r="D104" s="1">
        <f t="shared" si="45"/>
        <v>3.7294198062015509</v>
      </c>
      <c r="E104">
        <v>356.04</v>
      </c>
      <c r="K104" s="1">
        <f>'Solar Availability and Gener GR'!F104</f>
        <v>5.3999999999999999E-2</v>
      </c>
      <c r="L104" s="1">
        <v>0.66914728682170543</v>
      </c>
      <c r="M104" s="1">
        <f t="shared" si="41"/>
        <v>-0.61514728682170539</v>
      </c>
      <c r="N104" s="1" t="str">
        <f t="shared" si="42"/>
        <v>Buy from Grid</v>
      </c>
      <c r="V104" s="1" t="str">
        <f t="shared" si="54"/>
        <v>discharge</v>
      </c>
      <c r="Y104" s="1">
        <f t="shared" si="39"/>
        <v>0.23824320000000004</v>
      </c>
      <c r="AA104" s="1">
        <f t="shared" si="43"/>
        <v>9.0883861920600708</v>
      </c>
      <c r="AD104" s="1">
        <f t="shared" si="44"/>
        <v>0</v>
      </c>
    </row>
    <row r="105" spans="1:30" ht="15">
      <c r="A105" s="1">
        <v>104</v>
      </c>
      <c r="B105" s="1">
        <f t="shared" si="47"/>
        <v>0</v>
      </c>
      <c r="C105" s="1">
        <f t="shared" si="40"/>
        <v>-0.61514728682170539</v>
      </c>
      <c r="D105" s="1">
        <f t="shared" si="45"/>
        <v>2.9604856976744189</v>
      </c>
      <c r="E105">
        <v>361.04</v>
      </c>
      <c r="K105" s="1">
        <f>'Solar Availability and Gener GR'!F105</f>
        <v>0.33119999999999994</v>
      </c>
      <c r="L105" s="1">
        <v>0.66914728682170543</v>
      </c>
      <c r="M105" s="1">
        <f t="shared" si="41"/>
        <v>-0.33794728682170549</v>
      </c>
      <c r="N105" s="1" t="str">
        <f t="shared" si="42"/>
        <v>Buy from Grid</v>
      </c>
      <c r="V105" s="1" t="str">
        <f t="shared" si="54"/>
        <v>discharge</v>
      </c>
      <c r="Y105" s="1">
        <f t="shared" si="39"/>
        <v>0.24158893643410856</v>
      </c>
      <c r="AA105" s="1">
        <f t="shared" si="43"/>
        <v>8.7504389052383651</v>
      </c>
      <c r="AD105" s="1">
        <f t="shared" si="44"/>
        <v>0</v>
      </c>
    </row>
    <row r="106" spans="1:30" ht="15">
      <c r="A106" s="1">
        <v>105</v>
      </c>
      <c r="B106" s="1">
        <f t="shared" si="47"/>
        <v>0</v>
      </c>
      <c r="C106" s="1">
        <f t="shared" si="40"/>
        <v>-0.33794728682170549</v>
      </c>
      <c r="D106" s="1">
        <f t="shared" si="45"/>
        <v>2.5380515891472872</v>
      </c>
      <c r="E106">
        <v>264.11</v>
      </c>
      <c r="K106" s="1">
        <f>'Solar Availability and Gener GR'!F106</f>
        <v>0.74160000000000004</v>
      </c>
      <c r="L106" s="1">
        <v>0.66914728682170543</v>
      </c>
      <c r="M106" s="1">
        <f t="shared" si="41"/>
        <v>7.2452713178294603E-2</v>
      </c>
      <c r="N106" s="1" t="str">
        <f t="shared" si="42"/>
        <v>sell the surplus or charge</v>
      </c>
      <c r="O106" s="1">
        <v>0.25</v>
      </c>
      <c r="P106" s="1">
        <f t="shared" ref="P106:P116" si="55">0.25/L106</f>
        <v>0.3736098239110287</v>
      </c>
      <c r="Q106" s="1">
        <f t="shared" ref="Q106:Q116" si="56">K106-P106*L106</f>
        <v>0.49160000000000004</v>
      </c>
      <c r="R106" s="1">
        <f t="shared" ref="R106:R116" si="57">((1/(E106+0.01))*LN(0.25))+(E106*(K106-0.25))</f>
        <v>129.83122727078177</v>
      </c>
      <c r="S106" s="1">
        <f t="shared" ref="S106:S116" si="58">((1/(E106+0.01))*LN(L106))+(E106*(K106-L106))</f>
        <v>19.133964984518435</v>
      </c>
      <c r="T106" s="1">
        <f t="shared" ref="T106:T116" si="59">(S106+((S106^2)-4*(K106-L106*P106)*LN(L106*P106))^(0.5))/(2*(K106-L106*P106))</f>
        <v>38.994134135360383</v>
      </c>
      <c r="U106" s="1" t="str">
        <f t="shared" ref="U106:U116" si="60">IF(E106&gt;=T106*1.1,"sell to the Grid","charge")</f>
        <v>sell to the Grid</v>
      </c>
      <c r="W106" s="1">
        <f>(Q106*E106)/1000</f>
        <v>0.12983647600000001</v>
      </c>
      <c r="Y106" s="1">
        <f t="shared" si="39"/>
        <v>0.17672848992248064</v>
      </c>
      <c r="AA106" s="1">
        <f t="shared" si="43"/>
        <v>8.8228916184166604</v>
      </c>
      <c r="AD106" s="1">
        <f t="shared" si="44"/>
        <v>0.25</v>
      </c>
    </row>
    <row r="107" spans="1:30" ht="15">
      <c r="A107" s="1">
        <v>106</v>
      </c>
      <c r="B107" s="1">
        <f t="shared" si="47"/>
        <v>0</v>
      </c>
      <c r="C107" s="1">
        <f t="shared" si="40"/>
        <v>0</v>
      </c>
      <c r="D107" s="1">
        <f t="shared" si="45"/>
        <v>2.5380515891472872</v>
      </c>
      <c r="E107">
        <v>242.65</v>
      </c>
      <c r="K107" s="1">
        <f>'Solar Availability and Gener GR'!F107</f>
        <v>1.3176000000000001</v>
      </c>
      <c r="L107" s="1">
        <v>0.39891472868217059</v>
      </c>
      <c r="M107" s="1">
        <f t="shared" si="41"/>
        <v>0.91868527131782951</v>
      </c>
      <c r="N107" s="1" t="str">
        <f t="shared" si="42"/>
        <v>sell the surplus or charge</v>
      </c>
      <c r="O107" s="1">
        <v>0.25</v>
      </c>
      <c r="P107" s="1">
        <f t="shared" si="55"/>
        <v>0.62670034978624167</v>
      </c>
      <c r="Q107" s="1">
        <f t="shared" si="56"/>
        <v>1.0676000000000001</v>
      </c>
      <c r="R107" s="1">
        <f t="shared" si="57"/>
        <v>259.04742709156386</v>
      </c>
      <c r="S107" s="1">
        <f t="shared" si="58"/>
        <v>222.91519386200622</v>
      </c>
      <c r="T107" s="1">
        <f t="shared" si="59"/>
        <v>208.80651273485688</v>
      </c>
      <c r="U107" s="1" t="str">
        <f t="shared" si="60"/>
        <v>sell to the Grid</v>
      </c>
      <c r="W107" s="1">
        <f>(Q107*E107)/1000</f>
        <v>0.25905314000000002</v>
      </c>
      <c r="Y107" s="1">
        <f t="shared" si="39"/>
        <v>9.6796658914728689E-2</v>
      </c>
      <c r="AA107" s="1">
        <f t="shared" si="43"/>
        <v>9.741576889734489</v>
      </c>
      <c r="AD107" s="1">
        <f t="shared" si="44"/>
        <v>0.25</v>
      </c>
    </row>
    <row r="108" spans="1:30" ht="15">
      <c r="A108" s="1">
        <v>107</v>
      </c>
      <c r="B108" s="1">
        <f t="shared" si="47"/>
        <v>1.9100000000000001</v>
      </c>
      <c r="C108" s="1">
        <f t="shared" si="40"/>
        <v>0</v>
      </c>
      <c r="D108" s="1">
        <f t="shared" si="45"/>
        <v>4.0660515891472873</v>
      </c>
      <c r="E108">
        <v>192.94</v>
      </c>
      <c r="K108" s="1">
        <f>'Solar Availability and Gener GR'!F108</f>
        <v>2.16</v>
      </c>
      <c r="L108" s="1">
        <v>0.39891472868217059</v>
      </c>
      <c r="M108" s="1">
        <f t="shared" si="41"/>
        <v>1.7610852713178295</v>
      </c>
      <c r="N108" s="1" t="str">
        <f t="shared" si="42"/>
        <v>sell the surplus or charge</v>
      </c>
      <c r="O108" s="1">
        <v>0.25</v>
      </c>
      <c r="P108" s="1">
        <f t="shared" si="55"/>
        <v>0.62670034978624167</v>
      </c>
      <c r="Q108" s="1">
        <f t="shared" si="56"/>
        <v>1.9100000000000001</v>
      </c>
      <c r="R108" s="1">
        <f t="shared" si="57"/>
        <v>368.50821526633263</v>
      </c>
      <c r="S108" s="1">
        <f t="shared" si="58"/>
        <v>339.77902931674555</v>
      </c>
      <c r="T108" s="1">
        <f t="shared" si="59"/>
        <v>177.89885964141422</v>
      </c>
      <c r="U108" s="1" t="str">
        <f t="shared" si="60"/>
        <v>charge</v>
      </c>
      <c r="Y108" s="1">
        <f t="shared" si="39"/>
        <v>7.6966607751938004E-2</v>
      </c>
      <c r="AA108" s="1">
        <f t="shared" si="43"/>
        <v>11.502662161052319</v>
      </c>
      <c r="AD108" s="1">
        <f t="shared" si="44"/>
        <v>0.25</v>
      </c>
    </row>
    <row r="109" spans="1:30" ht="15">
      <c r="A109" s="1">
        <v>108</v>
      </c>
      <c r="B109" s="1">
        <f t="shared" si="47"/>
        <v>2.4068000000000001</v>
      </c>
      <c r="C109" s="1">
        <f t="shared" si="40"/>
        <v>0</v>
      </c>
      <c r="D109" s="1">
        <f t="shared" si="45"/>
        <v>5.9914915891472873</v>
      </c>
      <c r="E109">
        <v>184.38</v>
      </c>
      <c r="K109" s="1">
        <f>'Solar Availability and Gener GR'!F109</f>
        <v>2.6568000000000001</v>
      </c>
      <c r="L109" s="1">
        <v>0.39891472868217059</v>
      </c>
      <c r="M109" s="1">
        <f t="shared" si="41"/>
        <v>2.2578852713178295</v>
      </c>
      <c r="N109" s="1" t="str">
        <f t="shared" si="42"/>
        <v>sell the surplus or charge</v>
      </c>
      <c r="O109" s="1">
        <v>0.25</v>
      </c>
      <c r="P109" s="1">
        <f t="shared" si="55"/>
        <v>0.62670034978624167</v>
      </c>
      <c r="Q109" s="1">
        <f t="shared" si="56"/>
        <v>2.4068000000000001</v>
      </c>
      <c r="R109" s="1">
        <f t="shared" si="57"/>
        <v>443.7582657269856</v>
      </c>
      <c r="S109" s="1">
        <f t="shared" si="58"/>
        <v>416.30390228307635</v>
      </c>
      <c r="T109" s="1">
        <f t="shared" si="59"/>
        <v>172.97320790529594</v>
      </c>
      <c r="U109" s="1" t="str">
        <f t="shared" si="60"/>
        <v>charge</v>
      </c>
      <c r="Y109" s="1">
        <f t="shared" si="39"/>
        <v>7.3551897674418609E-2</v>
      </c>
      <c r="AA109" s="1">
        <f t="shared" si="43"/>
        <v>13.760547432370149</v>
      </c>
      <c r="AD109" s="1">
        <f t="shared" si="44"/>
        <v>0.25</v>
      </c>
    </row>
    <row r="110" spans="1:30" ht="15">
      <c r="A110" s="1">
        <v>109</v>
      </c>
      <c r="B110" s="1">
        <f t="shared" si="47"/>
        <v>2.6732000000000005</v>
      </c>
      <c r="C110" s="1">
        <f t="shared" si="40"/>
        <v>0</v>
      </c>
      <c r="D110" s="1">
        <f t="shared" si="45"/>
        <v>8.1300515891472873</v>
      </c>
      <c r="E110">
        <v>165</v>
      </c>
      <c r="K110" s="1">
        <f>'Solar Availability and Gener GR'!F110</f>
        <v>2.9232000000000005</v>
      </c>
      <c r="L110" s="1">
        <v>0.39891472868217059</v>
      </c>
      <c r="M110" s="1">
        <f t="shared" si="41"/>
        <v>2.5242852713178299</v>
      </c>
      <c r="N110" s="1" t="str">
        <f t="shared" si="42"/>
        <v>sell the surplus or charge</v>
      </c>
      <c r="O110" s="1">
        <v>0.25</v>
      </c>
      <c r="P110" s="1">
        <f t="shared" si="55"/>
        <v>0.62670034978624167</v>
      </c>
      <c r="Q110" s="1">
        <f t="shared" si="56"/>
        <v>2.6732000000000005</v>
      </c>
      <c r="R110" s="1">
        <f t="shared" si="57"/>
        <v>441.06959872516148</v>
      </c>
      <c r="S110" s="1">
        <f t="shared" si="58"/>
        <v>416.50150036196646</v>
      </c>
      <c r="T110" s="1">
        <f t="shared" si="59"/>
        <v>155.80966546456941</v>
      </c>
      <c r="U110" s="1" t="str">
        <f t="shared" si="60"/>
        <v>charge</v>
      </c>
      <c r="Y110" s="1">
        <f t="shared" si="39"/>
        <v>6.5820930232558153E-2</v>
      </c>
      <c r="AA110" s="1">
        <f t="shared" si="43"/>
        <v>16.284832703687979</v>
      </c>
      <c r="AD110" s="1">
        <f t="shared" si="44"/>
        <v>0.25</v>
      </c>
    </row>
    <row r="111" spans="1:30" ht="15">
      <c r="A111" s="1">
        <v>110</v>
      </c>
      <c r="B111" s="1">
        <f t="shared" si="47"/>
        <v>2.7307999999999995</v>
      </c>
      <c r="C111" s="1">
        <f t="shared" si="40"/>
        <v>0</v>
      </c>
      <c r="D111" s="1">
        <f t="shared" si="45"/>
        <v>10.314691589147287</v>
      </c>
      <c r="E111">
        <v>165.1</v>
      </c>
      <c r="K111" s="1">
        <f>'Solar Availability and Gener GR'!F111</f>
        <v>2.9807999999999995</v>
      </c>
      <c r="L111" s="1">
        <v>0.39891472868217059</v>
      </c>
      <c r="M111" s="1">
        <f t="shared" si="41"/>
        <v>2.5818852713178289</v>
      </c>
      <c r="N111" s="1" t="str">
        <f t="shared" si="42"/>
        <v>sell the surplus or charge</v>
      </c>
      <c r="O111" s="1">
        <v>0.25</v>
      </c>
      <c r="P111" s="1">
        <f t="shared" si="55"/>
        <v>0.62670034978624167</v>
      </c>
      <c r="Q111" s="1">
        <f t="shared" si="56"/>
        <v>2.7307999999999995</v>
      </c>
      <c r="R111" s="1">
        <f t="shared" si="57"/>
        <v>450.8466838134508</v>
      </c>
      <c r="S111" s="1">
        <f t="shared" si="58"/>
        <v>426.26369226224654</v>
      </c>
      <c r="T111" s="1">
        <f t="shared" si="59"/>
        <v>156.09805668020184</v>
      </c>
      <c r="U111" s="1" t="str">
        <f t="shared" si="60"/>
        <v>charge</v>
      </c>
      <c r="Y111" s="1">
        <f t="shared" si="39"/>
        <v>6.5860821705426356E-2</v>
      </c>
      <c r="AA111" s="1">
        <f t="shared" si="43"/>
        <v>18.866717975005809</v>
      </c>
      <c r="AD111" s="1">
        <f t="shared" si="44"/>
        <v>0.25</v>
      </c>
    </row>
    <row r="112" spans="1:30" ht="15">
      <c r="A112" s="1">
        <v>111</v>
      </c>
      <c r="B112" s="1">
        <f t="shared" si="47"/>
        <v>2.5580000000000003</v>
      </c>
      <c r="C112" s="1">
        <f t="shared" si="40"/>
        <v>0</v>
      </c>
      <c r="D112" s="1">
        <f t="shared" si="45"/>
        <v>12.361091589147287</v>
      </c>
      <c r="E112">
        <v>202.42</v>
      </c>
      <c r="K112" s="1">
        <f>'Solar Availability and Gener GR'!F112</f>
        <v>2.8080000000000003</v>
      </c>
      <c r="L112" s="1">
        <v>0.39891472868217059</v>
      </c>
      <c r="M112" s="1">
        <f t="shared" si="41"/>
        <v>2.4090852713178297</v>
      </c>
      <c r="N112" s="1" t="str">
        <f t="shared" si="42"/>
        <v>sell the surplus or charge</v>
      </c>
      <c r="O112" s="1">
        <v>0.25</v>
      </c>
      <c r="P112" s="1">
        <f t="shared" si="55"/>
        <v>0.62670034978624167</v>
      </c>
      <c r="Q112" s="1">
        <f t="shared" si="56"/>
        <v>2.5580000000000003</v>
      </c>
      <c r="R112" s="1">
        <f t="shared" si="57"/>
        <v>517.78351173461886</v>
      </c>
      <c r="S112" s="1">
        <f t="shared" si="58"/>
        <v>487.64250074169087</v>
      </c>
      <c r="T112" s="1">
        <f t="shared" si="59"/>
        <v>190.63712769464777</v>
      </c>
      <c r="U112" s="1" t="str">
        <f t="shared" si="60"/>
        <v>charge</v>
      </c>
      <c r="Y112" s="1">
        <f t="shared" si="39"/>
        <v>8.0748319379844974E-2</v>
      </c>
      <c r="AA112" s="1">
        <f t="shared" si="43"/>
        <v>21.27580324632364</v>
      </c>
      <c r="AD112" s="1">
        <f t="shared" si="44"/>
        <v>0.25</v>
      </c>
    </row>
    <row r="113" spans="1:30" ht="15">
      <c r="A113" s="1">
        <v>112</v>
      </c>
      <c r="B113" s="1">
        <f t="shared" si="47"/>
        <v>2.27</v>
      </c>
      <c r="C113" s="1">
        <f t="shared" si="40"/>
        <v>0</v>
      </c>
      <c r="D113" s="1">
        <f t="shared" si="45"/>
        <v>14.177091589147288</v>
      </c>
      <c r="E113">
        <v>261.05</v>
      </c>
      <c r="K113" s="1">
        <f>'Solar Availability and Gener GR'!F113</f>
        <v>2.52</v>
      </c>
      <c r="L113" s="1">
        <v>0.39891472868217059</v>
      </c>
      <c r="M113" s="1">
        <f t="shared" si="41"/>
        <v>2.1210852713178294</v>
      </c>
      <c r="N113" s="1" t="str">
        <f t="shared" si="42"/>
        <v>sell the surplus or charge</v>
      </c>
      <c r="O113" s="1">
        <v>0.25</v>
      </c>
      <c r="P113" s="1">
        <f t="shared" si="55"/>
        <v>0.62670034978624167</v>
      </c>
      <c r="Q113" s="1">
        <f t="shared" si="56"/>
        <v>2.27</v>
      </c>
      <c r="R113" s="1">
        <f t="shared" si="57"/>
        <v>592.5781897480997</v>
      </c>
      <c r="S113" s="1">
        <f t="shared" si="58"/>
        <v>553.70578978487595</v>
      </c>
      <c r="T113" s="1">
        <f t="shared" si="59"/>
        <v>243.92575905214434</v>
      </c>
      <c r="U113" s="1" t="str">
        <f t="shared" si="60"/>
        <v>charge</v>
      </c>
      <c r="Y113" s="1">
        <f t="shared" si="39"/>
        <v>0.10413668992248064</v>
      </c>
      <c r="AA113" s="1">
        <f t="shared" si="43"/>
        <v>23.396888517641472</v>
      </c>
      <c r="AD113" s="1">
        <f t="shared" si="44"/>
        <v>0.25</v>
      </c>
    </row>
    <row r="114" spans="1:30" ht="15">
      <c r="A114" s="1">
        <v>113</v>
      </c>
      <c r="B114" s="1">
        <f t="shared" si="47"/>
        <v>1.8487999999999998</v>
      </c>
      <c r="C114" s="1">
        <f t="shared" si="40"/>
        <v>0</v>
      </c>
      <c r="D114" s="1">
        <f t="shared" si="45"/>
        <v>15.656131589147288</v>
      </c>
      <c r="E114">
        <v>261.04000000000002</v>
      </c>
      <c r="K114" s="1">
        <f>'Solar Availability and Gener GR'!F114</f>
        <v>2.0987999999999998</v>
      </c>
      <c r="L114" s="1">
        <v>0.39891472868217059</v>
      </c>
      <c r="M114" s="1">
        <f t="shared" si="41"/>
        <v>1.6998852713178292</v>
      </c>
      <c r="N114" s="1" t="str">
        <f t="shared" si="42"/>
        <v>sell the surplus or charge</v>
      </c>
      <c r="O114" s="1">
        <v>0.25</v>
      </c>
      <c r="P114" s="1">
        <f t="shared" si="55"/>
        <v>0.62670034978624167</v>
      </c>
      <c r="Q114" s="1">
        <f t="shared" si="56"/>
        <v>1.8487999999999998</v>
      </c>
      <c r="R114" s="1">
        <f t="shared" si="57"/>
        <v>482.60544154468062</v>
      </c>
      <c r="S114" s="1">
        <f t="shared" si="58"/>
        <v>443.73453079731138</v>
      </c>
      <c r="T114" s="1">
        <f t="shared" si="59"/>
        <v>240.01531082612755</v>
      </c>
      <c r="U114" s="1" t="str">
        <f t="shared" si="60"/>
        <v>charge</v>
      </c>
      <c r="Y114" s="1">
        <f t="shared" si="39"/>
        <v>0.10413270077519382</v>
      </c>
      <c r="AA114" s="1">
        <f t="shared" si="43"/>
        <v>25.0967737889593</v>
      </c>
      <c r="AD114" s="1">
        <f t="shared" si="44"/>
        <v>0.25</v>
      </c>
    </row>
    <row r="115" spans="1:30" ht="15">
      <c r="A115" s="1">
        <v>114</v>
      </c>
      <c r="B115" s="1">
        <f t="shared" si="47"/>
        <v>0</v>
      </c>
      <c r="C115" s="1">
        <f t="shared" si="40"/>
        <v>0</v>
      </c>
      <c r="D115" s="1">
        <f t="shared" si="45"/>
        <v>15.656131589147288</v>
      </c>
      <c r="E115">
        <v>293</v>
      </c>
      <c r="K115" s="1">
        <f>'Solar Availability and Gener GR'!F115</f>
        <v>1.4867999999999999</v>
      </c>
      <c r="L115" s="1">
        <v>0.66914728682170543</v>
      </c>
      <c r="M115" s="1">
        <f t="shared" si="41"/>
        <v>0.81765271317829447</v>
      </c>
      <c r="N115" s="1" t="str">
        <f t="shared" si="42"/>
        <v>sell the surplus or charge</v>
      </c>
      <c r="O115" s="1">
        <v>0.25</v>
      </c>
      <c r="P115" s="1">
        <f t="shared" si="55"/>
        <v>0.3736098239110287</v>
      </c>
      <c r="Q115" s="1">
        <f t="shared" si="56"/>
        <v>1.2367999999999999</v>
      </c>
      <c r="R115" s="1">
        <f t="shared" si="57"/>
        <v>362.37766878140292</v>
      </c>
      <c r="S115" s="1">
        <f t="shared" si="58"/>
        <v>239.57087384392887</v>
      </c>
      <c r="T115" s="1">
        <f t="shared" si="59"/>
        <v>193.70798064657546</v>
      </c>
      <c r="U115" s="1" t="str">
        <f t="shared" si="60"/>
        <v>sell to the Grid</v>
      </c>
      <c r="W115" s="1">
        <f>(Q115*E115)/1000</f>
        <v>0.36238239999999994</v>
      </c>
      <c r="Y115" s="1">
        <f t="shared" si="39"/>
        <v>0.19606015503875968</v>
      </c>
      <c r="AA115" s="1">
        <f t="shared" si="43"/>
        <v>25.914426502137594</v>
      </c>
      <c r="AD115" s="1">
        <f t="shared" si="44"/>
        <v>0.25</v>
      </c>
    </row>
    <row r="116" spans="1:30" ht="15">
      <c r="A116" s="1">
        <v>115</v>
      </c>
      <c r="B116" s="1">
        <f t="shared" si="47"/>
        <v>0</v>
      </c>
      <c r="C116" s="1">
        <f t="shared" si="40"/>
        <v>0</v>
      </c>
      <c r="D116" s="1">
        <f t="shared" si="45"/>
        <v>15.656131589147288</v>
      </c>
      <c r="E116">
        <v>261.22000000000003</v>
      </c>
      <c r="K116" s="1">
        <f>'Solar Availability and Gener GR'!F116</f>
        <v>0.89279999999999993</v>
      </c>
      <c r="L116" s="1">
        <v>0.66914728682170543</v>
      </c>
      <c r="M116" s="1">
        <f t="shared" si="41"/>
        <v>0.22365271317829449</v>
      </c>
      <c r="N116" s="1" t="str">
        <f t="shared" si="42"/>
        <v>sell the surplus or charge</v>
      </c>
      <c r="O116" s="1">
        <v>0.25</v>
      </c>
      <c r="P116" s="1">
        <f t="shared" si="55"/>
        <v>0.3736098239110287</v>
      </c>
      <c r="Q116" s="1">
        <f t="shared" si="56"/>
        <v>0.64279999999999993</v>
      </c>
      <c r="R116" s="1">
        <f t="shared" si="57"/>
        <v>167.90690920383906</v>
      </c>
      <c r="S116" s="1">
        <f t="shared" si="58"/>
        <v>58.421023815508427</v>
      </c>
      <c r="T116" s="1">
        <f t="shared" si="59"/>
        <v>90.908950026622023</v>
      </c>
      <c r="U116" s="1" t="str">
        <f t="shared" si="60"/>
        <v>sell to the Grid</v>
      </c>
      <c r="W116" s="1">
        <f>(Q116*E116)/1000</f>
        <v>0.167912216</v>
      </c>
      <c r="Y116" s="1">
        <f t="shared" si="39"/>
        <v>0.17479465426356591</v>
      </c>
      <c r="AA116" s="1">
        <f t="shared" si="43"/>
        <v>26.138079215315887</v>
      </c>
      <c r="AD116" s="1">
        <f t="shared" si="44"/>
        <v>0.25</v>
      </c>
    </row>
    <row r="117" spans="1:30" ht="15">
      <c r="A117" s="1">
        <v>116</v>
      </c>
      <c r="B117" s="1">
        <f t="shared" si="47"/>
        <v>0</v>
      </c>
      <c r="C117" s="1">
        <f t="shared" si="40"/>
        <v>0</v>
      </c>
      <c r="D117" s="1">
        <f t="shared" si="45"/>
        <v>15.656131589147288</v>
      </c>
      <c r="E117">
        <v>261.79000000000002</v>
      </c>
      <c r="K117" s="1">
        <f>'Solar Availability and Gener GR'!F117</f>
        <v>0.31679999999999997</v>
      </c>
      <c r="L117" s="1">
        <v>0.66914728682170543</v>
      </c>
      <c r="M117" s="1">
        <f t="shared" si="41"/>
        <v>-0.35234728682170546</v>
      </c>
      <c r="N117" s="1" t="str">
        <f t="shared" si="42"/>
        <v>Buy from Grid</v>
      </c>
      <c r="V117" s="1" t="str">
        <f t="shared" ref="V117:V129" si="61">IF(D117+M117&gt;0,"discharge","buy from the Grid")</f>
        <v>discharge</v>
      </c>
      <c r="Y117" s="1">
        <f t="shared" si="39"/>
        <v>0.17517606821705428</v>
      </c>
      <c r="AA117" s="1">
        <f t="shared" si="43"/>
        <v>25.785731928494183</v>
      </c>
      <c r="AD117" s="1">
        <f t="shared" si="44"/>
        <v>0</v>
      </c>
    </row>
    <row r="118" spans="1:30" ht="15">
      <c r="A118" s="1">
        <v>117</v>
      </c>
      <c r="B118" s="1">
        <f t="shared" si="47"/>
        <v>0</v>
      </c>
      <c r="C118" s="1">
        <f t="shared" si="40"/>
        <v>-0.35234728682170546</v>
      </c>
      <c r="D118" s="1">
        <f t="shared" si="45"/>
        <v>15.215697480620156</v>
      </c>
      <c r="E118">
        <v>216.3</v>
      </c>
      <c r="K118" s="1">
        <f>'Solar Availability and Gener GR'!F118</f>
        <v>2.1599999999999998E-2</v>
      </c>
      <c r="L118" s="1">
        <v>0.66914728682170543</v>
      </c>
      <c r="M118" s="1">
        <f t="shared" si="41"/>
        <v>-0.64754728682170548</v>
      </c>
      <c r="N118" s="1" t="str">
        <f t="shared" si="42"/>
        <v>Buy from Grid</v>
      </c>
      <c r="V118" s="1" t="str">
        <f t="shared" si="61"/>
        <v>discharge</v>
      </c>
      <c r="Y118" s="1">
        <f t="shared" si="39"/>
        <v>0.1447365581395349</v>
      </c>
      <c r="AA118" s="1">
        <f t="shared" si="43"/>
        <v>25.138184641672478</v>
      </c>
      <c r="AD118" s="1">
        <f t="shared" si="44"/>
        <v>0</v>
      </c>
    </row>
    <row r="119" spans="1:30" ht="15">
      <c r="A119" s="1">
        <v>118</v>
      </c>
      <c r="B119" s="1">
        <f t="shared" si="47"/>
        <v>0</v>
      </c>
      <c r="C119" s="1">
        <f t="shared" si="40"/>
        <v>-0.64754728682170548</v>
      </c>
      <c r="D119" s="1">
        <f t="shared" si="45"/>
        <v>14.406263372093024</v>
      </c>
      <c r="E119">
        <v>205</v>
      </c>
      <c r="K119" s="1">
        <f>'Solar Availability and Gener GR'!F119</f>
        <v>0</v>
      </c>
      <c r="L119" s="1">
        <v>0.39891472868217059</v>
      </c>
      <c r="M119" s="1">
        <f t="shared" si="41"/>
        <v>-0.39891472868217059</v>
      </c>
      <c r="N119" s="1" t="str">
        <f t="shared" si="42"/>
        <v>Buy from Grid</v>
      </c>
      <c r="V119" s="1" t="str">
        <f t="shared" si="61"/>
        <v>discharge</v>
      </c>
      <c r="Y119" s="1">
        <f t="shared" si="39"/>
        <v>8.1777519379844982E-2</v>
      </c>
      <c r="AA119" s="1">
        <f t="shared" si="43"/>
        <v>24.739269912990306</v>
      </c>
      <c r="AD119" s="1">
        <f t="shared" si="44"/>
        <v>0</v>
      </c>
    </row>
    <row r="120" spans="1:30" ht="15">
      <c r="A120" s="1">
        <v>119</v>
      </c>
      <c r="B120" s="1">
        <f t="shared" si="47"/>
        <v>0</v>
      </c>
      <c r="C120" s="1">
        <f t="shared" si="40"/>
        <v>-0.39891472868217059</v>
      </c>
      <c r="D120" s="1">
        <f t="shared" si="45"/>
        <v>13.907619961240311</v>
      </c>
      <c r="E120">
        <v>184.99</v>
      </c>
      <c r="K120" s="1">
        <f>'Solar Availability and Gener GR'!F120</f>
        <v>0</v>
      </c>
      <c r="L120" s="1">
        <v>0.39891472868217059</v>
      </c>
      <c r="M120" s="1">
        <f t="shared" si="41"/>
        <v>-0.39891472868217059</v>
      </c>
      <c r="N120" s="1" t="str">
        <f t="shared" si="42"/>
        <v>Buy from Grid</v>
      </c>
      <c r="V120" s="1" t="str">
        <f t="shared" si="61"/>
        <v>discharge</v>
      </c>
      <c r="Y120" s="1">
        <f t="shared" si="39"/>
        <v>7.3795235658914743E-2</v>
      </c>
      <c r="AA120" s="1">
        <f t="shared" si="43"/>
        <v>24.340355184308134</v>
      </c>
      <c r="AD120" s="1">
        <f t="shared" si="44"/>
        <v>0</v>
      </c>
    </row>
    <row r="121" spans="1:30" ht="15">
      <c r="A121" s="1">
        <v>120</v>
      </c>
      <c r="B121" s="1">
        <f t="shared" si="47"/>
        <v>0</v>
      </c>
      <c r="C121" s="1">
        <f t="shared" si="40"/>
        <v>-0.39891472868217059</v>
      </c>
      <c r="D121" s="1">
        <f t="shared" si="45"/>
        <v>13.408976550387598</v>
      </c>
      <c r="E121">
        <v>160.86000000000001</v>
      </c>
      <c r="K121" s="1">
        <f>'Solar Availability and Gener GR'!F121</f>
        <v>0</v>
      </c>
      <c r="L121" s="1">
        <v>0.29596899224806206</v>
      </c>
      <c r="M121" s="1">
        <f t="shared" si="41"/>
        <v>-0.29596899224806206</v>
      </c>
      <c r="N121" s="1" t="str">
        <f t="shared" si="42"/>
        <v>Buy from Grid</v>
      </c>
      <c r="V121" s="1" t="str">
        <f t="shared" si="61"/>
        <v>discharge</v>
      </c>
      <c r="Y121" s="1">
        <f t="shared" si="39"/>
        <v>4.7609572093023265E-2</v>
      </c>
      <c r="AA121" s="1">
        <f t="shared" si="43"/>
        <v>24.04438619206007</v>
      </c>
      <c r="AD121" s="1">
        <f t="shared" si="44"/>
        <v>0</v>
      </c>
    </row>
    <row r="122" spans="1:30" ht="15">
      <c r="A122" s="1">
        <v>121</v>
      </c>
      <c r="B122" s="1">
        <f t="shared" si="47"/>
        <v>0</v>
      </c>
      <c r="C122" s="1">
        <f t="shared" si="40"/>
        <v>-0.29596899224806206</v>
      </c>
      <c r="D122" s="1">
        <f t="shared" si="45"/>
        <v>13.03901531007752</v>
      </c>
      <c r="E122">
        <v>173.13</v>
      </c>
      <c r="K122" s="1">
        <f>'Solar Availability and Gener GR'!F122</f>
        <v>0</v>
      </c>
      <c r="L122" s="1">
        <v>0.29596899224806206</v>
      </c>
      <c r="M122" s="1">
        <f t="shared" si="41"/>
        <v>-0.29596899224806206</v>
      </c>
      <c r="N122" s="1" t="str">
        <f t="shared" si="42"/>
        <v>Buy from Grid</v>
      </c>
      <c r="V122" s="1" t="str">
        <f t="shared" si="61"/>
        <v>discharge</v>
      </c>
      <c r="Y122" s="1">
        <f t="shared" si="39"/>
        <v>5.1241111627906982E-2</v>
      </c>
      <c r="AA122" s="1">
        <f t="shared" si="43"/>
        <v>23.748417199812007</v>
      </c>
      <c r="AD122" s="1">
        <f t="shared" si="44"/>
        <v>0</v>
      </c>
    </row>
    <row r="123" spans="1:30" ht="15">
      <c r="A123" s="1">
        <v>122</v>
      </c>
      <c r="B123" s="1">
        <f t="shared" si="47"/>
        <v>0</v>
      </c>
      <c r="C123" s="1">
        <f t="shared" si="40"/>
        <v>-0.29596899224806206</v>
      </c>
      <c r="D123" s="1">
        <f t="shared" si="45"/>
        <v>12.669054069767443</v>
      </c>
      <c r="E123">
        <v>170.77</v>
      </c>
      <c r="K123" s="1">
        <f>'Solar Availability and Gener GR'!F123</f>
        <v>0</v>
      </c>
      <c r="L123" s="1">
        <v>0.30883720930232561</v>
      </c>
      <c r="M123" s="1">
        <f t="shared" si="41"/>
        <v>-0.30883720930232561</v>
      </c>
      <c r="N123" s="1" t="str">
        <f t="shared" si="42"/>
        <v>Buy from Grid</v>
      </c>
      <c r="V123" s="1" t="str">
        <f t="shared" si="61"/>
        <v>discharge</v>
      </c>
      <c r="Y123" s="1">
        <f t="shared" si="39"/>
        <v>5.2740130232558149E-2</v>
      </c>
      <c r="AA123" s="1">
        <f t="shared" si="43"/>
        <v>23.439579990509682</v>
      </c>
      <c r="AD123" s="1">
        <f t="shared" si="44"/>
        <v>0</v>
      </c>
    </row>
    <row r="124" spans="1:30" ht="15">
      <c r="A124" s="1">
        <v>123</v>
      </c>
      <c r="B124" s="1">
        <f t="shared" si="47"/>
        <v>0</v>
      </c>
      <c r="C124" s="1">
        <f t="shared" si="40"/>
        <v>-0.30883720930232561</v>
      </c>
      <c r="D124" s="1">
        <f t="shared" si="45"/>
        <v>12.283007558139536</v>
      </c>
      <c r="E124">
        <v>160</v>
      </c>
      <c r="K124" s="1">
        <f>'Solar Availability and Gener GR'!F124</f>
        <v>0</v>
      </c>
      <c r="L124" s="1">
        <v>0.30883720930232561</v>
      </c>
      <c r="M124" s="1">
        <f t="shared" si="41"/>
        <v>-0.30883720930232561</v>
      </c>
      <c r="N124" s="1" t="str">
        <f t="shared" si="42"/>
        <v>Buy from Grid</v>
      </c>
      <c r="V124" s="1" t="str">
        <f t="shared" si="61"/>
        <v>discharge</v>
      </c>
      <c r="Y124" s="1">
        <f t="shared" si="39"/>
        <v>4.9413953488372103E-2</v>
      </c>
      <c r="AA124" s="1">
        <f t="shared" si="43"/>
        <v>23.130742781207356</v>
      </c>
      <c r="AD124" s="1">
        <f t="shared" si="44"/>
        <v>0</v>
      </c>
    </row>
    <row r="125" spans="1:30" ht="15">
      <c r="A125" s="1">
        <v>124</v>
      </c>
      <c r="B125" s="1">
        <f t="shared" si="47"/>
        <v>0</v>
      </c>
      <c r="C125" s="1">
        <f t="shared" si="40"/>
        <v>-0.30883720930232561</v>
      </c>
      <c r="D125" s="1">
        <f t="shared" si="45"/>
        <v>11.896961046511629</v>
      </c>
      <c r="E125">
        <v>150</v>
      </c>
      <c r="K125" s="1">
        <f>'Solar Availability and Gener GR'!F125</f>
        <v>0</v>
      </c>
      <c r="L125" s="1">
        <v>0.30883720930232561</v>
      </c>
      <c r="M125" s="1">
        <f t="shared" si="41"/>
        <v>-0.30883720930232561</v>
      </c>
      <c r="N125" s="1" t="str">
        <f t="shared" si="42"/>
        <v>Buy from Grid</v>
      </c>
      <c r="V125" s="1" t="str">
        <f t="shared" si="61"/>
        <v>discharge</v>
      </c>
      <c r="Y125" s="1">
        <f t="shared" si="39"/>
        <v>4.6325581395348842E-2</v>
      </c>
      <c r="AA125" s="1">
        <f t="shared" si="43"/>
        <v>22.821905571905031</v>
      </c>
      <c r="AD125" s="1">
        <f t="shared" si="44"/>
        <v>0</v>
      </c>
    </row>
    <row r="126" spans="1:30" ht="15">
      <c r="A126" s="1">
        <v>125</v>
      </c>
      <c r="B126" s="1">
        <f t="shared" si="47"/>
        <v>0</v>
      </c>
      <c r="C126" s="1">
        <f t="shared" si="40"/>
        <v>-0.30883720930232561</v>
      </c>
      <c r="D126" s="1">
        <f t="shared" si="45"/>
        <v>11.510914534883723</v>
      </c>
      <c r="E126">
        <v>152.1</v>
      </c>
      <c r="K126" s="1">
        <f>'Solar Availability and Gener GR'!F126</f>
        <v>0</v>
      </c>
      <c r="L126" s="1">
        <v>0.39891472868217059</v>
      </c>
      <c r="M126" s="1">
        <f t="shared" si="41"/>
        <v>-0.39891472868217059</v>
      </c>
      <c r="N126" s="1" t="str">
        <f t="shared" si="42"/>
        <v>Buy from Grid</v>
      </c>
      <c r="V126" s="1" t="str">
        <f t="shared" si="61"/>
        <v>discharge</v>
      </c>
      <c r="Y126" s="1">
        <f t="shared" si="39"/>
        <v>6.0674930232558148E-2</v>
      </c>
      <c r="AA126" s="1">
        <f t="shared" si="43"/>
        <v>22.422990843222859</v>
      </c>
      <c r="AD126" s="1">
        <f t="shared" si="44"/>
        <v>0</v>
      </c>
    </row>
    <row r="127" spans="1:30" ht="15">
      <c r="A127" s="1">
        <v>126</v>
      </c>
      <c r="B127" s="1">
        <f t="shared" si="47"/>
        <v>0</v>
      </c>
      <c r="C127" s="1">
        <f t="shared" si="40"/>
        <v>-0.39891472868217059</v>
      </c>
      <c r="D127" s="1">
        <f t="shared" si="45"/>
        <v>11.01227112403101</v>
      </c>
      <c r="E127">
        <v>160.08000000000001</v>
      </c>
      <c r="K127" s="1">
        <f>'Solar Availability and Gener GR'!F127</f>
        <v>0</v>
      </c>
      <c r="L127" s="1">
        <v>0.65627906976744199</v>
      </c>
      <c r="M127" s="1">
        <f t="shared" si="41"/>
        <v>-0.65627906976744199</v>
      </c>
      <c r="N127" s="1" t="str">
        <f t="shared" si="42"/>
        <v>Buy from Grid</v>
      </c>
      <c r="V127" s="1" t="str">
        <f t="shared" si="61"/>
        <v>discharge</v>
      </c>
      <c r="Y127" s="1">
        <f t="shared" si="39"/>
        <v>0.10505715348837212</v>
      </c>
      <c r="AA127" s="1">
        <f t="shared" si="43"/>
        <v>21.766711773455416</v>
      </c>
      <c r="AD127" s="1">
        <f t="shared" si="44"/>
        <v>0</v>
      </c>
    </row>
    <row r="128" spans="1:30" ht="15">
      <c r="A128" s="1">
        <v>127</v>
      </c>
      <c r="B128" s="1">
        <f t="shared" si="47"/>
        <v>0</v>
      </c>
      <c r="C128" s="1">
        <f t="shared" si="40"/>
        <v>-0.65627906976744199</v>
      </c>
      <c r="D128" s="1">
        <f t="shared" si="45"/>
        <v>10.191922286821708</v>
      </c>
      <c r="E128">
        <v>262.60000000000002</v>
      </c>
      <c r="K128" s="1">
        <f>'Solar Availability and Gener GR'!F128</f>
        <v>7.4098637941778636E-2</v>
      </c>
      <c r="L128" s="1">
        <v>0.66914728682170543</v>
      </c>
      <c r="M128" s="1">
        <f t="shared" si="41"/>
        <v>-0.59504864887992681</v>
      </c>
      <c r="N128" s="1" t="str">
        <f t="shared" si="42"/>
        <v>Buy from Grid</v>
      </c>
      <c r="V128" s="1" t="str">
        <f t="shared" si="61"/>
        <v>discharge</v>
      </c>
      <c r="Y128" s="1">
        <f t="shared" si="39"/>
        <v>0.17571807751937987</v>
      </c>
      <c r="AA128" s="1">
        <f t="shared" si="43"/>
        <v>21.171663124575488</v>
      </c>
      <c r="AD128" s="1">
        <f t="shared" si="44"/>
        <v>0</v>
      </c>
    </row>
    <row r="129" spans="1:30" ht="15">
      <c r="A129" s="1">
        <v>128</v>
      </c>
      <c r="B129" s="1">
        <f t="shared" si="47"/>
        <v>0</v>
      </c>
      <c r="C129" s="1">
        <f t="shared" si="40"/>
        <v>-0.59504864887992681</v>
      </c>
      <c r="D129" s="1">
        <f t="shared" si="45"/>
        <v>9.4481114757217988</v>
      </c>
      <c r="E129">
        <v>203.15</v>
      </c>
      <c r="K129" s="1">
        <f>'Solar Availability and Gener GR'!F129</f>
        <v>0.39921659396421116</v>
      </c>
      <c r="L129" s="1">
        <v>0.65627906976744199</v>
      </c>
      <c r="M129" s="1">
        <f t="shared" si="41"/>
        <v>-0.25706247580323083</v>
      </c>
      <c r="N129" s="1" t="str">
        <f t="shared" si="42"/>
        <v>Buy from Grid</v>
      </c>
      <c r="V129" s="1" t="str">
        <f t="shared" si="61"/>
        <v>discharge</v>
      </c>
      <c r="Y129" s="1">
        <f t="shared" si="39"/>
        <v>0.13332309302325585</v>
      </c>
      <c r="AA129" s="1">
        <f t="shared" si="43"/>
        <v>20.914600648772257</v>
      </c>
      <c r="AD129" s="1">
        <f t="shared" si="44"/>
        <v>0</v>
      </c>
    </row>
    <row r="130" spans="1:30" ht="15">
      <c r="A130" s="1">
        <v>129</v>
      </c>
      <c r="B130" s="1">
        <f t="shared" si="47"/>
        <v>0</v>
      </c>
      <c r="C130" s="1">
        <f t="shared" si="40"/>
        <v>-0.25706247580323083</v>
      </c>
      <c r="D130" s="1">
        <f t="shared" si="45"/>
        <v>9.1267833809677601</v>
      </c>
      <c r="E130">
        <v>174.34</v>
      </c>
      <c r="K130" s="1">
        <f>'Solar Availability and Gener GR'!F130</f>
        <v>0.82006587732573366</v>
      </c>
      <c r="L130" s="1">
        <v>0.39891472868217059</v>
      </c>
      <c r="M130" s="1">
        <f t="shared" si="41"/>
        <v>0.42115114864356307</v>
      </c>
      <c r="N130" s="1" t="str">
        <f t="shared" si="42"/>
        <v>sell the surplus or charge</v>
      </c>
      <c r="O130" s="1">
        <v>0.25</v>
      </c>
      <c r="P130" s="1">
        <f t="shared" ref="P130:P140" si="62">0.25/L130</f>
        <v>0.62670034978624167</v>
      </c>
      <c r="Q130" s="1">
        <f t="shared" ref="Q130:Q140" si="63">K130-P130*L130</f>
        <v>0.57006587732573366</v>
      </c>
      <c r="R130" s="1">
        <f t="shared" ref="R130:R140" si="64">((1/(E130+0.01))*LN(0.25))+(E130*(K130-0.25))</f>
        <v>99.377333837820032</v>
      </c>
      <c r="S130" s="1">
        <f t="shared" ref="S130:S140" si="65">((1/(E130+0.01))*LN(L130))+(E130*(K130-L130))</f>
        <v>73.418220204346667</v>
      </c>
      <c r="T130" s="1">
        <f t="shared" ref="T130:T140" si="66">(S130+((S130^2)-4*(K130-L130*P130)*LN(L130*P130))^(0.5))/(2*(K130-L130*P130))</f>
        <v>128.80788979077641</v>
      </c>
      <c r="U130" s="1" t="str">
        <f t="shared" ref="U130:U140" si="67">IF(E130&gt;=T130*1.1,"sell to the Grid","charge")</f>
        <v>sell to the Grid</v>
      </c>
      <c r="W130" s="1">
        <f>(Q130*E130)/1000</f>
        <v>9.9385285052968411E-2</v>
      </c>
      <c r="Y130" s="1">
        <f t="shared" ref="Y130:Y193" si="68">(L130*E130)/1000</f>
        <v>6.9546793798449622E-2</v>
      </c>
      <c r="AA130" s="1">
        <f t="shared" si="43"/>
        <v>21.335751797415821</v>
      </c>
      <c r="AD130" s="1">
        <f t="shared" si="44"/>
        <v>0.25</v>
      </c>
    </row>
    <row r="131" spans="1:30" ht="15">
      <c r="A131" s="1">
        <v>130</v>
      </c>
      <c r="B131" s="1">
        <f t="shared" si="47"/>
        <v>0</v>
      </c>
      <c r="C131" s="1">
        <f t="shared" ref="C131:C194" si="69">IF(V130="discharge",M130,0)</f>
        <v>0</v>
      </c>
      <c r="D131" s="1">
        <f t="shared" si="45"/>
        <v>9.1267833809677601</v>
      </c>
      <c r="E131">
        <v>174.14</v>
      </c>
      <c r="K131" s="1">
        <f>'Solar Availability and Gener GR'!F131</f>
        <v>1.4132288791952279</v>
      </c>
      <c r="L131" s="1">
        <v>0.39891472868217059</v>
      </c>
      <c r="M131" s="1">
        <f t="shared" ref="M131:M194" si="70">K131-L131</f>
        <v>1.0143141505130573</v>
      </c>
      <c r="N131" s="1" t="str">
        <f t="shared" ref="N131:N194" si="71">IF(M131&lt;0,"Buy from Grid","sell the surplus or charge")</f>
        <v>sell the surplus or charge</v>
      </c>
      <c r="O131" s="1">
        <v>0.25</v>
      </c>
      <c r="P131" s="1">
        <f t="shared" si="62"/>
        <v>0.62670034978624167</v>
      </c>
      <c r="Q131" s="1">
        <f t="shared" si="63"/>
        <v>1.1632288791952279</v>
      </c>
      <c r="R131" s="1">
        <f t="shared" si="64"/>
        <v>202.55671667645277</v>
      </c>
      <c r="S131" s="1">
        <f t="shared" si="65"/>
        <v>176.6273890667118</v>
      </c>
      <c r="T131" s="1">
        <f t="shared" si="66"/>
        <v>151.85018321139376</v>
      </c>
      <c r="U131" s="1" t="str">
        <f t="shared" si="67"/>
        <v>sell to the Grid</v>
      </c>
      <c r="W131" s="1">
        <f>(Q131*E131)/1000</f>
        <v>0.20256467702305697</v>
      </c>
      <c r="Y131" s="1">
        <f t="shared" si="68"/>
        <v>6.9467010852713187E-2</v>
      </c>
      <c r="AA131" s="1">
        <f t="shared" ref="AA131:AA194" si="72">M131+AA130</f>
        <v>22.350065947928879</v>
      </c>
      <c r="AD131" s="1">
        <f t="shared" ref="AD131:AD194" si="73">AC131+O131</f>
        <v>0.25</v>
      </c>
    </row>
    <row r="132" spans="1:30" ht="15">
      <c r="A132" s="1">
        <v>131</v>
      </c>
      <c r="B132" s="1">
        <f t="shared" si="47"/>
        <v>2.1777485978812412</v>
      </c>
      <c r="C132" s="1">
        <f t="shared" si="69"/>
        <v>0</v>
      </c>
      <c r="D132" s="1">
        <f t="shared" ref="D132:D195" si="74">(D131)+(B132*0.8)+(C132/0.8)</f>
        <v>10.868982259272753</v>
      </c>
      <c r="E132">
        <v>156.68</v>
      </c>
      <c r="K132" s="1">
        <f>'Solar Availability and Gener GR'!F132</f>
        <v>2.4277485978812412</v>
      </c>
      <c r="L132" s="1">
        <v>0.39891472868217059</v>
      </c>
      <c r="M132" s="1">
        <f t="shared" si="70"/>
        <v>2.0288338691990706</v>
      </c>
      <c r="N132" s="1" t="str">
        <f t="shared" si="71"/>
        <v>sell the surplus or charge</v>
      </c>
      <c r="O132" s="1">
        <v>0.25</v>
      </c>
      <c r="P132" s="1">
        <f t="shared" si="62"/>
        <v>0.62670034978624167</v>
      </c>
      <c r="Q132" s="1">
        <f t="shared" si="63"/>
        <v>2.1777485978812412</v>
      </c>
      <c r="R132" s="1">
        <f t="shared" si="64"/>
        <v>341.20080294631481</v>
      </c>
      <c r="S132" s="1">
        <f t="shared" si="65"/>
        <v>317.87182549369919</v>
      </c>
      <c r="T132" s="1">
        <f t="shared" si="66"/>
        <v>145.96786932151767</v>
      </c>
      <c r="U132" s="1" t="str">
        <f t="shared" si="67"/>
        <v>charge</v>
      </c>
      <c r="Y132" s="1">
        <f t="shared" si="68"/>
        <v>6.250195968992249E-2</v>
      </c>
      <c r="AA132" s="1">
        <f t="shared" si="72"/>
        <v>24.378899817127952</v>
      </c>
      <c r="AD132" s="1">
        <f t="shared" si="73"/>
        <v>0.25</v>
      </c>
    </row>
    <row r="133" spans="1:30" ht="15">
      <c r="A133" s="1">
        <v>132</v>
      </c>
      <c r="B133" s="1">
        <f t="shared" si="47"/>
        <v>2.6751936259236153</v>
      </c>
      <c r="C133" s="1">
        <f t="shared" si="69"/>
        <v>0</v>
      </c>
      <c r="D133" s="1">
        <f t="shared" si="74"/>
        <v>13.009137160011646</v>
      </c>
      <c r="E133">
        <v>147.6</v>
      </c>
      <c r="K133" s="1">
        <f>'Solar Availability and Gener GR'!F133</f>
        <v>2.9251936259236153</v>
      </c>
      <c r="L133" s="1">
        <v>0.39891472868217059</v>
      </c>
      <c r="M133" s="1">
        <f t="shared" si="70"/>
        <v>2.5262788972414447</v>
      </c>
      <c r="N133" s="1" t="str">
        <f t="shared" si="71"/>
        <v>sell the surplus or charge</v>
      </c>
      <c r="O133" s="1">
        <v>0.25</v>
      </c>
      <c r="P133" s="1">
        <f t="shared" si="62"/>
        <v>0.62670034978624167</v>
      </c>
      <c r="Q133" s="1">
        <f t="shared" si="63"/>
        <v>2.6751936259236153</v>
      </c>
      <c r="R133" s="1">
        <f t="shared" si="64"/>
        <v>394.84918758439403</v>
      </c>
      <c r="S133" s="1">
        <f t="shared" si="65"/>
        <v>372.87253931591079</v>
      </c>
      <c r="T133" s="1">
        <f t="shared" si="66"/>
        <v>139.3852323357049</v>
      </c>
      <c r="U133" s="1" t="str">
        <f t="shared" si="67"/>
        <v>charge</v>
      </c>
      <c r="Y133" s="1">
        <f t="shared" si="68"/>
        <v>5.8879813953488382E-2</v>
      </c>
      <c r="AA133" s="1">
        <f t="shared" si="72"/>
        <v>26.905178714369395</v>
      </c>
      <c r="AD133" s="1">
        <f t="shared" si="73"/>
        <v>0.25</v>
      </c>
    </row>
    <row r="134" spans="1:30" ht="15">
      <c r="A134" s="1">
        <v>133</v>
      </c>
      <c r="B134" s="1">
        <f t="shared" si="47"/>
        <v>2.9428647734354128</v>
      </c>
      <c r="C134" s="1">
        <f t="shared" si="69"/>
        <v>0</v>
      </c>
      <c r="D134" s="1">
        <f t="shared" si="74"/>
        <v>15.363428978759977</v>
      </c>
      <c r="E134">
        <v>145.5</v>
      </c>
      <c r="K134" s="1">
        <f>'Solar Availability and Gener GR'!F134</f>
        <v>3.1928647734354128</v>
      </c>
      <c r="L134" s="1">
        <v>0.38604651162790704</v>
      </c>
      <c r="M134" s="1">
        <f t="shared" si="70"/>
        <v>2.8068182618075057</v>
      </c>
      <c r="N134" s="1" t="str">
        <f t="shared" si="71"/>
        <v>sell the surplus or charge</v>
      </c>
      <c r="O134" s="1">
        <v>0.25</v>
      </c>
      <c r="P134" s="1">
        <f t="shared" si="62"/>
        <v>0.64759036144578308</v>
      </c>
      <c r="Q134" s="1">
        <f t="shared" si="63"/>
        <v>2.9428647734354128</v>
      </c>
      <c r="R134" s="1">
        <f t="shared" si="64"/>
        <v>428.1772973933426</v>
      </c>
      <c r="S134" s="1">
        <f t="shared" si="65"/>
        <v>408.38551597952682</v>
      </c>
      <c r="T134" s="1">
        <f t="shared" si="66"/>
        <v>138.77481194187325</v>
      </c>
      <c r="U134" s="1" t="str">
        <f t="shared" si="67"/>
        <v>charge</v>
      </c>
      <c r="Y134" s="1">
        <f t="shared" si="68"/>
        <v>5.6169767441860474E-2</v>
      </c>
      <c r="AA134" s="1">
        <f t="shared" si="72"/>
        <v>29.711996976176902</v>
      </c>
      <c r="AD134" s="1">
        <f t="shared" si="73"/>
        <v>0.25</v>
      </c>
    </row>
    <row r="135" spans="1:30" ht="15">
      <c r="A135" s="1">
        <v>134</v>
      </c>
      <c r="B135" s="1">
        <f t="shared" si="47"/>
        <v>2.9424241075402815</v>
      </c>
      <c r="C135" s="1">
        <f t="shared" si="69"/>
        <v>0</v>
      </c>
      <c r="D135" s="1">
        <f t="shared" si="74"/>
        <v>17.717368264792203</v>
      </c>
      <c r="E135">
        <v>135.44999999999999</v>
      </c>
      <c r="K135" s="1">
        <f>'Solar Availability and Gener GR'!F135</f>
        <v>3.1924241075402815</v>
      </c>
      <c r="L135" s="1">
        <v>0.39891472868217059</v>
      </c>
      <c r="M135" s="1">
        <f t="shared" si="70"/>
        <v>2.7935093788581109</v>
      </c>
      <c r="N135" s="1" t="str">
        <f t="shared" si="71"/>
        <v>sell the surplus or charge</v>
      </c>
      <c r="O135" s="1">
        <v>0.25</v>
      </c>
      <c r="P135" s="1">
        <f t="shared" si="62"/>
        <v>0.62670034978624167</v>
      </c>
      <c r="Q135" s="1">
        <f t="shared" si="63"/>
        <v>2.9424241075402815</v>
      </c>
      <c r="R135" s="1">
        <f t="shared" si="64"/>
        <v>398.54111139053663</v>
      </c>
      <c r="S135" s="1">
        <f t="shared" si="65"/>
        <v>378.37406101967889</v>
      </c>
      <c r="T135" s="1">
        <f t="shared" si="66"/>
        <v>128.59629590937431</v>
      </c>
      <c r="U135" s="1" t="str">
        <f t="shared" si="67"/>
        <v>charge</v>
      </c>
      <c r="Y135" s="1">
        <f t="shared" si="68"/>
        <v>5.4033000000000005E-2</v>
      </c>
      <c r="AA135" s="1">
        <f t="shared" si="72"/>
        <v>32.50550635503501</v>
      </c>
      <c r="AD135" s="1">
        <f t="shared" si="73"/>
        <v>0.25</v>
      </c>
    </row>
    <row r="136" spans="1:30" ht="15">
      <c r="A136" s="1">
        <v>135</v>
      </c>
      <c r="B136" s="1">
        <f t="shared" si="47"/>
        <v>2.8079809489895817</v>
      </c>
      <c r="C136" s="1">
        <f t="shared" si="69"/>
        <v>0</v>
      </c>
      <c r="D136" s="1">
        <f t="shared" si="74"/>
        <v>19.96375302398387</v>
      </c>
      <c r="E136">
        <v>149.99</v>
      </c>
      <c r="K136" s="1">
        <f>'Solar Availability and Gener GR'!F136</f>
        <v>3.0579809489895817</v>
      </c>
      <c r="L136" s="1">
        <v>0.39891472868217059</v>
      </c>
      <c r="M136" s="1">
        <f t="shared" si="70"/>
        <v>2.6590662203074111</v>
      </c>
      <c r="N136" s="1" t="str">
        <f t="shared" si="71"/>
        <v>sell the surplus or charge</v>
      </c>
      <c r="O136" s="1">
        <v>0.25</v>
      </c>
      <c r="P136" s="1">
        <f t="shared" si="62"/>
        <v>0.62670034978624167</v>
      </c>
      <c r="Q136" s="1">
        <f t="shared" si="63"/>
        <v>2.8079809489895817</v>
      </c>
      <c r="R136" s="1">
        <f t="shared" si="64"/>
        <v>421.15982057653991</v>
      </c>
      <c r="S136" s="1">
        <f t="shared" si="65"/>
        <v>398.82721566659194</v>
      </c>
      <c r="T136" s="1">
        <f t="shared" si="66"/>
        <v>142.03692368659964</v>
      </c>
      <c r="U136" s="1" t="str">
        <f t="shared" si="67"/>
        <v>charge</v>
      </c>
      <c r="Y136" s="1">
        <f t="shared" si="68"/>
        <v>5.9833220155038773E-2</v>
      </c>
      <c r="AA136" s="1">
        <f t="shared" si="72"/>
        <v>35.164572575342419</v>
      </c>
      <c r="AD136" s="1">
        <f t="shared" si="73"/>
        <v>0.25</v>
      </c>
    </row>
    <row r="137" spans="1:30" ht="15">
      <c r="A137" s="1">
        <v>136</v>
      </c>
      <c r="B137" s="1">
        <f t="shared" si="47"/>
        <v>2.5394952372473929</v>
      </c>
      <c r="C137" s="1">
        <f t="shared" si="69"/>
        <v>0</v>
      </c>
      <c r="D137" s="1">
        <f t="shared" si="74"/>
        <v>21.995349213781783</v>
      </c>
      <c r="E137">
        <v>227.23</v>
      </c>
      <c r="K137" s="1">
        <f>'Solar Availability and Gener GR'!F137</f>
        <v>2.7894952372473929</v>
      </c>
      <c r="L137" s="1">
        <v>0.39891472868217059</v>
      </c>
      <c r="M137" s="1">
        <f t="shared" si="70"/>
        <v>2.3905805085652223</v>
      </c>
      <c r="N137" s="1" t="str">
        <f t="shared" si="71"/>
        <v>sell the surplus or charge</v>
      </c>
      <c r="O137" s="1">
        <v>0.25</v>
      </c>
      <c r="P137" s="1">
        <f t="shared" si="62"/>
        <v>0.62670034978624167</v>
      </c>
      <c r="Q137" s="1">
        <f t="shared" si="63"/>
        <v>2.5394952372473929</v>
      </c>
      <c r="R137" s="1">
        <f t="shared" si="64"/>
        <v>577.04340218605353</v>
      </c>
      <c r="S137" s="1">
        <f t="shared" si="65"/>
        <v>543.20756474547943</v>
      </c>
      <c r="T137" s="1">
        <f t="shared" si="66"/>
        <v>213.90630611411189</v>
      </c>
      <c r="U137" s="1" t="str">
        <f t="shared" si="67"/>
        <v>charge</v>
      </c>
      <c r="Y137" s="1">
        <f t="shared" si="68"/>
        <v>9.0645393798449617E-2</v>
      </c>
      <c r="AA137" s="1">
        <f t="shared" si="72"/>
        <v>37.555153083907641</v>
      </c>
      <c r="AD137" s="1">
        <f t="shared" si="73"/>
        <v>0.25</v>
      </c>
    </row>
    <row r="138" spans="1:30" ht="15">
      <c r="A138" s="1">
        <v>137</v>
      </c>
      <c r="B138" s="1">
        <f t="shared" si="47"/>
        <v>0</v>
      </c>
      <c r="C138" s="1">
        <f t="shared" si="69"/>
        <v>0</v>
      </c>
      <c r="D138" s="1">
        <f t="shared" si="74"/>
        <v>21.995349213781783</v>
      </c>
      <c r="E138">
        <v>265.91000000000003</v>
      </c>
      <c r="K138" s="1">
        <f>'Solar Availability and Gener GR'!F138</f>
        <v>2.3678046826315309</v>
      </c>
      <c r="L138" s="1">
        <v>0.66914728682170543</v>
      </c>
      <c r="M138" s="1">
        <f t="shared" si="70"/>
        <v>1.6986573958098254</v>
      </c>
      <c r="N138" s="1" t="str">
        <f t="shared" si="71"/>
        <v>sell the surplus or charge</v>
      </c>
      <c r="O138" s="1">
        <v>0.25</v>
      </c>
      <c r="P138" s="1">
        <f t="shared" si="62"/>
        <v>0.3736098239110287</v>
      </c>
      <c r="Q138" s="1">
        <f t="shared" si="63"/>
        <v>2.1178046826315309</v>
      </c>
      <c r="R138" s="1">
        <f t="shared" si="64"/>
        <v>563.14022995773394</v>
      </c>
      <c r="S138" s="1">
        <f t="shared" si="65"/>
        <v>451.6884773229969</v>
      </c>
      <c r="T138" s="1">
        <f t="shared" si="66"/>
        <v>213.28453032951901</v>
      </c>
      <c r="U138" s="1" t="str">
        <f t="shared" si="67"/>
        <v>sell to the Grid</v>
      </c>
      <c r="W138" s="1">
        <f>(Q138*E138)/1000</f>
        <v>0.56314544315855042</v>
      </c>
      <c r="Y138" s="1">
        <f t="shared" si="68"/>
        <v>0.17793295503875969</v>
      </c>
      <c r="AA138" s="1">
        <f t="shared" si="72"/>
        <v>39.253810479717465</v>
      </c>
      <c r="AD138" s="1">
        <f t="shared" si="73"/>
        <v>0.25</v>
      </c>
    </row>
    <row r="139" spans="1:30" ht="15">
      <c r="A139" s="1">
        <v>138</v>
      </c>
      <c r="B139" s="1">
        <f t="shared" si="47"/>
        <v>0</v>
      </c>
      <c r="C139" s="1">
        <f t="shared" si="69"/>
        <v>0</v>
      </c>
      <c r="D139" s="1">
        <f t="shared" si="74"/>
        <v>21.995349213781783</v>
      </c>
      <c r="E139">
        <v>278.12</v>
      </c>
      <c r="K139" s="1">
        <f>'Solar Availability and Gener GR'!F139</f>
        <v>1.7929226386539647</v>
      </c>
      <c r="L139" s="1">
        <v>0.65627906976744199</v>
      </c>
      <c r="M139" s="1">
        <f t="shared" si="70"/>
        <v>1.1366435688865226</v>
      </c>
      <c r="N139" s="1" t="str">
        <f t="shared" si="71"/>
        <v>sell the surplus or charge</v>
      </c>
      <c r="O139" s="1">
        <v>0.25</v>
      </c>
      <c r="P139" s="1">
        <f t="shared" si="62"/>
        <v>0.38093550673281351</v>
      </c>
      <c r="Q139" s="1">
        <f t="shared" si="63"/>
        <v>1.5429226386539647</v>
      </c>
      <c r="R139" s="1">
        <f t="shared" si="64"/>
        <v>429.11265992288315</v>
      </c>
      <c r="S139" s="1">
        <f t="shared" si="65"/>
        <v>316.12179508982865</v>
      </c>
      <c r="T139" s="1">
        <f t="shared" si="66"/>
        <v>204.88944372873004</v>
      </c>
      <c r="U139" s="1" t="str">
        <f t="shared" si="67"/>
        <v>sell to the Grid</v>
      </c>
      <c r="W139" s="1">
        <f>(Q139*E139)/1000</f>
        <v>0.42911764426244065</v>
      </c>
      <c r="Y139" s="1">
        <f t="shared" si="68"/>
        <v>0.18252433488372097</v>
      </c>
      <c r="AA139" s="1">
        <f t="shared" si="72"/>
        <v>40.390454048603985</v>
      </c>
      <c r="AD139" s="1">
        <f t="shared" si="73"/>
        <v>0.25</v>
      </c>
    </row>
    <row r="140" spans="1:30" ht="15">
      <c r="A140" s="1">
        <v>139</v>
      </c>
      <c r="B140" s="1">
        <f t="shared" si="47"/>
        <v>0</v>
      </c>
      <c r="C140" s="1">
        <f t="shared" si="69"/>
        <v>0</v>
      </c>
      <c r="D140" s="1">
        <f t="shared" si="74"/>
        <v>21.995349213781783</v>
      </c>
      <c r="E140">
        <v>269.14999999999998</v>
      </c>
      <c r="K140" s="1">
        <f>'Solar Availability and Gener GR'!F140</f>
        <v>1.1222825603133602</v>
      </c>
      <c r="L140" s="1">
        <v>0.66914728682170543</v>
      </c>
      <c r="M140" s="1">
        <f t="shared" si="70"/>
        <v>0.45313527349165472</v>
      </c>
      <c r="N140" s="1" t="str">
        <f t="shared" si="71"/>
        <v>sell the surplus or charge</v>
      </c>
      <c r="O140" s="1">
        <v>0.25</v>
      </c>
      <c r="P140" s="1">
        <f t="shared" si="62"/>
        <v>0.3736098239110287</v>
      </c>
      <c r="Q140" s="1">
        <f t="shared" si="63"/>
        <v>0.87228256031336016</v>
      </c>
      <c r="R140" s="1">
        <f t="shared" si="64"/>
        <v>234.76970066116775</v>
      </c>
      <c r="S140" s="1">
        <f t="shared" si="65"/>
        <v>121.95986624962568</v>
      </c>
      <c r="T140" s="1">
        <f t="shared" si="66"/>
        <v>139.82829195632735</v>
      </c>
      <c r="U140" s="1" t="str">
        <f t="shared" si="67"/>
        <v>sell to the Grid</v>
      </c>
      <c r="W140" s="1">
        <f>(Q140*E140)/1000</f>
        <v>0.23477485110834087</v>
      </c>
      <c r="Y140" s="1">
        <f t="shared" si="68"/>
        <v>0.180100992248062</v>
      </c>
      <c r="AA140" s="1">
        <f t="shared" si="72"/>
        <v>40.843589322095639</v>
      </c>
      <c r="AD140" s="1">
        <f t="shared" si="73"/>
        <v>0.25</v>
      </c>
    </row>
    <row r="141" spans="1:30" ht="15">
      <c r="A141" s="1">
        <v>140</v>
      </c>
      <c r="B141" s="1">
        <f t="shared" si="47"/>
        <v>0</v>
      </c>
      <c r="C141" s="1">
        <f t="shared" si="69"/>
        <v>0</v>
      </c>
      <c r="D141" s="1">
        <f t="shared" si="74"/>
        <v>21.995349213781783</v>
      </c>
      <c r="E141">
        <v>295.81</v>
      </c>
      <c r="K141" s="1">
        <f>'Solar Availability and Gener GR'!F141</f>
        <v>0.45164248197275875</v>
      </c>
      <c r="L141" s="1">
        <v>0.65627906976744199</v>
      </c>
      <c r="M141" s="1">
        <f t="shared" si="70"/>
        <v>-0.20463658779468324</v>
      </c>
      <c r="N141" s="1" t="str">
        <f t="shared" si="71"/>
        <v>Buy from Grid</v>
      </c>
      <c r="V141" s="1" t="str">
        <f t="shared" ref="V141:V153" si="75">IF(D141+M141&gt;0,"discharge","buy from the Grid")</f>
        <v>discharge</v>
      </c>
      <c r="Y141" s="1">
        <f t="shared" si="68"/>
        <v>0.19413391162790702</v>
      </c>
      <c r="AA141" s="1">
        <f t="shared" si="72"/>
        <v>40.638952734300958</v>
      </c>
      <c r="AD141" s="1">
        <f t="shared" si="73"/>
        <v>0</v>
      </c>
    </row>
    <row r="142" spans="1:30" ht="15">
      <c r="A142" s="1">
        <v>141</v>
      </c>
      <c r="B142" s="1">
        <f t="shared" si="47"/>
        <v>0</v>
      </c>
      <c r="C142" s="1">
        <f t="shared" si="69"/>
        <v>-0.20463658779468324</v>
      </c>
      <c r="D142" s="1">
        <f t="shared" si="74"/>
        <v>21.739553479038427</v>
      </c>
      <c r="E142">
        <v>294.83</v>
      </c>
      <c r="K142" s="1">
        <f>'Solar Availability and Gener GR'!F142</f>
        <v>4.91142170390814E-2</v>
      </c>
      <c r="L142" s="1">
        <v>0.39891472868217059</v>
      </c>
      <c r="M142" s="1">
        <f t="shared" si="70"/>
        <v>-0.34980051164308917</v>
      </c>
      <c r="N142" s="1" t="str">
        <f t="shared" si="71"/>
        <v>Buy from Grid</v>
      </c>
      <c r="V142" s="1" t="str">
        <f t="shared" si="75"/>
        <v>discharge</v>
      </c>
      <c r="Y142" s="1">
        <f t="shared" si="68"/>
        <v>0.11761202945736435</v>
      </c>
      <c r="AA142" s="1">
        <f t="shared" si="72"/>
        <v>40.289152222657869</v>
      </c>
      <c r="AD142" s="1">
        <f t="shared" si="73"/>
        <v>0</v>
      </c>
    </row>
    <row r="143" spans="1:30" ht="15">
      <c r="A143" s="1">
        <v>142</v>
      </c>
      <c r="B143" s="1">
        <f t="shared" si="47"/>
        <v>0</v>
      </c>
      <c r="C143" s="1">
        <f t="shared" si="69"/>
        <v>-0.34980051164308917</v>
      </c>
      <c r="D143" s="1">
        <f t="shared" si="74"/>
        <v>21.302302839484565</v>
      </c>
      <c r="E143">
        <v>265.18</v>
      </c>
      <c r="K143" s="1">
        <f>'Solar Availability and Gener GR'!F143</f>
        <v>0</v>
      </c>
      <c r="L143" s="1">
        <v>0.39891472868217059</v>
      </c>
      <c r="M143" s="1">
        <f t="shared" si="70"/>
        <v>-0.39891472868217059</v>
      </c>
      <c r="N143" s="1" t="str">
        <f t="shared" si="71"/>
        <v>Buy from Grid</v>
      </c>
      <c r="V143" s="1" t="str">
        <f t="shared" si="75"/>
        <v>discharge</v>
      </c>
      <c r="Y143" s="1">
        <f t="shared" si="68"/>
        <v>0.105784207751938</v>
      </c>
      <c r="AA143" s="1">
        <f t="shared" si="72"/>
        <v>39.890237493975697</v>
      </c>
      <c r="AD143" s="1">
        <f t="shared" si="73"/>
        <v>0</v>
      </c>
    </row>
    <row r="144" spans="1:30" ht="15">
      <c r="A144" s="1">
        <v>143</v>
      </c>
      <c r="B144" s="1">
        <f t="shared" ref="B144:B207" si="76">IF(U144="charge",Q144,0)</f>
        <v>0</v>
      </c>
      <c r="C144" s="1">
        <f t="shared" si="69"/>
        <v>-0.39891472868217059</v>
      </c>
      <c r="D144" s="1">
        <f t="shared" si="74"/>
        <v>20.80365942863185</v>
      </c>
      <c r="E144">
        <v>290.77999999999997</v>
      </c>
      <c r="K144" s="1">
        <f>'Solar Availability and Gener GR'!F144</f>
        <v>0</v>
      </c>
      <c r="L144" s="1">
        <v>0.39891472868217059</v>
      </c>
      <c r="M144" s="1">
        <f t="shared" si="70"/>
        <v>-0.39891472868217059</v>
      </c>
      <c r="N144" s="1" t="str">
        <f t="shared" si="71"/>
        <v>Buy from Grid</v>
      </c>
      <c r="V144" s="1" t="str">
        <f t="shared" si="75"/>
        <v>discharge</v>
      </c>
      <c r="Y144" s="1">
        <f t="shared" si="68"/>
        <v>0.11599642480620156</v>
      </c>
      <c r="AA144" s="1">
        <f t="shared" si="72"/>
        <v>39.491322765293525</v>
      </c>
      <c r="AD144" s="1">
        <f t="shared" si="73"/>
        <v>0</v>
      </c>
    </row>
    <row r="145" spans="1:30" ht="15">
      <c r="A145" s="1">
        <v>144</v>
      </c>
      <c r="B145" s="1">
        <f t="shared" si="76"/>
        <v>0</v>
      </c>
      <c r="C145" s="1">
        <f t="shared" si="69"/>
        <v>-0.39891472868217059</v>
      </c>
      <c r="D145" s="1">
        <f t="shared" si="74"/>
        <v>20.305016017779135</v>
      </c>
      <c r="E145">
        <v>263.42</v>
      </c>
      <c r="K145" s="1">
        <f>'Solar Availability and Gener GR'!F145</f>
        <v>0</v>
      </c>
      <c r="L145" s="1">
        <v>0.29596899224806206</v>
      </c>
      <c r="M145" s="1">
        <f t="shared" si="70"/>
        <v>-0.29596899224806206</v>
      </c>
      <c r="N145" s="1" t="str">
        <f t="shared" si="71"/>
        <v>Buy from Grid</v>
      </c>
      <c r="V145" s="1" t="str">
        <f t="shared" si="75"/>
        <v>discharge</v>
      </c>
      <c r="Y145" s="1">
        <f t="shared" si="68"/>
        <v>7.7964151937984505E-2</v>
      </c>
      <c r="AA145" s="1">
        <f t="shared" si="72"/>
        <v>39.195353773045461</v>
      </c>
      <c r="AD145" s="1">
        <f t="shared" si="73"/>
        <v>0</v>
      </c>
    </row>
    <row r="146" spans="1:30" ht="15">
      <c r="A146" s="1">
        <v>145</v>
      </c>
      <c r="B146" s="1">
        <f t="shared" si="76"/>
        <v>0</v>
      </c>
      <c r="C146" s="1">
        <f t="shared" si="69"/>
        <v>-0.29596899224806206</v>
      </c>
      <c r="D146" s="1">
        <f t="shared" si="74"/>
        <v>19.935054777469059</v>
      </c>
      <c r="E146">
        <v>272.58</v>
      </c>
      <c r="K146" s="1">
        <f>'Solar Availability and Gener GR'!F146</f>
        <v>0</v>
      </c>
      <c r="L146" s="1">
        <v>0.29596899224806206</v>
      </c>
      <c r="M146" s="1">
        <f t="shared" si="70"/>
        <v>-0.29596899224806206</v>
      </c>
      <c r="N146" s="1" t="str">
        <f t="shared" si="71"/>
        <v>Buy from Grid</v>
      </c>
      <c r="V146" s="1" t="str">
        <f t="shared" si="75"/>
        <v>discharge</v>
      </c>
      <c r="Y146" s="1">
        <f t="shared" si="68"/>
        <v>8.0675227906976746E-2</v>
      </c>
      <c r="AA146" s="1">
        <f t="shared" si="72"/>
        <v>38.899384780797398</v>
      </c>
      <c r="AD146" s="1">
        <f t="shared" si="73"/>
        <v>0</v>
      </c>
    </row>
    <row r="147" spans="1:30" ht="15">
      <c r="A147" s="1">
        <v>146</v>
      </c>
      <c r="B147" s="1">
        <f t="shared" si="76"/>
        <v>0</v>
      </c>
      <c r="C147" s="1">
        <f t="shared" si="69"/>
        <v>-0.29596899224806206</v>
      </c>
      <c r="D147" s="1">
        <f t="shared" si="74"/>
        <v>19.565093537158983</v>
      </c>
      <c r="E147">
        <v>311</v>
      </c>
      <c r="K147" s="1">
        <f>'Solar Availability and Gener GR'!F147</f>
        <v>0</v>
      </c>
      <c r="L147" s="1">
        <v>0.29596899224806206</v>
      </c>
      <c r="M147" s="1">
        <f t="shared" si="70"/>
        <v>-0.29596899224806206</v>
      </c>
      <c r="N147" s="1" t="str">
        <f t="shared" si="71"/>
        <v>Buy from Grid</v>
      </c>
      <c r="V147" s="1" t="str">
        <f t="shared" si="75"/>
        <v>discharge</v>
      </c>
      <c r="Y147" s="1">
        <f t="shared" si="68"/>
        <v>9.2046356589147296E-2</v>
      </c>
      <c r="AA147" s="1">
        <f t="shared" si="72"/>
        <v>38.603415788549334</v>
      </c>
      <c r="AD147" s="1">
        <f t="shared" si="73"/>
        <v>0</v>
      </c>
    </row>
    <row r="148" spans="1:30" ht="15">
      <c r="A148" s="1">
        <v>147</v>
      </c>
      <c r="B148" s="1">
        <f t="shared" si="76"/>
        <v>0</v>
      </c>
      <c r="C148" s="1">
        <f t="shared" si="69"/>
        <v>-0.29596899224806206</v>
      </c>
      <c r="D148" s="1">
        <f t="shared" si="74"/>
        <v>19.195132296848907</v>
      </c>
      <c r="E148">
        <v>174.01</v>
      </c>
      <c r="K148" s="1">
        <f>'Solar Availability and Gener GR'!F148</f>
        <v>0</v>
      </c>
      <c r="L148" s="1">
        <v>0.30883720930232561</v>
      </c>
      <c r="M148" s="1">
        <f t="shared" si="70"/>
        <v>-0.30883720930232561</v>
      </c>
      <c r="N148" s="1" t="str">
        <f t="shared" si="71"/>
        <v>Buy from Grid</v>
      </c>
      <c r="V148" s="1" t="str">
        <f t="shared" si="75"/>
        <v>discharge</v>
      </c>
      <c r="Y148" s="1">
        <f t="shared" si="68"/>
        <v>5.3740762790697678E-2</v>
      </c>
      <c r="AA148" s="1">
        <f t="shared" si="72"/>
        <v>38.294578579247009</v>
      </c>
      <c r="AD148" s="1">
        <f t="shared" si="73"/>
        <v>0</v>
      </c>
    </row>
    <row r="149" spans="1:30" ht="15">
      <c r="A149" s="1">
        <v>148</v>
      </c>
      <c r="B149" s="1">
        <f t="shared" si="76"/>
        <v>0</v>
      </c>
      <c r="C149" s="1">
        <f t="shared" si="69"/>
        <v>-0.30883720930232561</v>
      </c>
      <c r="D149" s="1">
        <f t="shared" si="74"/>
        <v>18.809085785221001</v>
      </c>
      <c r="E149">
        <v>173.05</v>
      </c>
      <c r="K149" s="1">
        <f>'Solar Availability and Gener GR'!F149</f>
        <v>0</v>
      </c>
      <c r="L149" s="1">
        <v>0.29596899224806206</v>
      </c>
      <c r="M149" s="1">
        <f t="shared" si="70"/>
        <v>-0.29596899224806206</v>
      </c>
      <c r="N149" s="1" t="str">
        <f t="shared" si="71"/>
        <v>Buy from Grid</v>
      </c>
      <c r="V149" s="1" t="str">
        <f t="shared" si="75"/>
        <v>discharge</v>
      </c>
      <c r="Y149" s="1">
        <f t="shared" si="68"/>
        <v>5.1217434108527145E-2</v>
      </c>
      <c r="AA149" s="1">
        <f t="shared" si="72"/>
        <v>37.998609586998946</v>
      </c>
      <c r="AD149" s="1">
        <f t="shared" si="73"/>
        <v>0</v>
      </c>
    </row>
    <row r="150" spans="1:30" ht="15">
      <c r="A150" s="1">
        <v>149</v>
      </c>
      <c r="B150" s="1">
        <f t="shared" si="76"/>
        <v>0</v>
      </c>
      <c r="C150" s="1">
        <f t="shared" si="69"/>
        <v>-0.29596899224806206</v>
      </c>
      <c r="D150" s="1">
        <f t="shared" si="74"/>
        <v>18.439124544910925</v>
      </c>
      <c r="E150">
        <v>173.03</v>
      </c>
      <c r="K150" s="1">
        <f>'Solar Availability and Gener GR'!F150</f>
        <v>0</v>
      </c>
      <c r="L150" s="1">
        <v>0.39891472868217059</v>
      </c>
      <c r="M150" s="1">
        <f t="shared" si="70"/>
        <v>-0.39891472868217059</v>
      </c>
      <c r="N150" s="1" t="str">
        <f t="shared" si="71"/>
        <v>Buy from Grid</v>
      </c>
      <c r="V150" s="1" t="str">
        <f t="shared" si="75"/>
        <v>discharge</v>
      </c>
      <c r="Y150" s="1">
        <f t="shared" si="68"/>
        <v>6.9024215503875982E-2</v>
      </c>
      <c r="AA150" s="1">
        <f t="shared" si="72"/>
        <v>37.599694858316774</v>
      </c>
      <c r="AD150" s="1">
        <f t="shared" si="73"/>
        <v>0</v>
      </c>
    </row>
    <row r="151" spans="1:30" ht="15">
      <c r="A151" s="1">
        <v>150</v>
      </c>
      <c r="B151" s="1">
        <f t="shared" si="76"/>
        <v>0</v>
      </c>
      <c r="C151" s="1">
        <f t="shared" si="69"/>
        <v>-0.39891472868217059</v>
      </c>
      <c r="D151" s="1">
        <f t="shared" si="74"/>
        <v>17.94048113405821</v>
      </c>
      <c r="E151">
        <v>264.45999999999998</v>
      </c>
      <c r="K151" s="1">
        <f>'Solar Availability and Gener GR'!F151</f>
        <v>0</v>
      </c>
      <c r="L151" s="1">
        <v>0.66914728682170543</v>
      </c>
      <c r="M151" s="1">
        <f t="shared" si="70"/>
        <v>-0.66914728682170543</v>
      </c>
      <c r="N151" s="1" t="str">
        <f t="shared" si="71"/>
        <v>Buy from Grid</v>
      </c>
      <c r="V151" s="1" t="str">
        <f t="shared" si="75"/>
        <v>discharge</v>
      </c>
      <c r="Y151" s="1">
        <f t="shared" si="68"/>
        <v>0.17696269147286822</v>
      </c>
      <c r="AA151" s="1">
        <f t="shared" si="72"/>
        <v>36.930547571495069</v>
      </c>
      <c r="AD151" s="1">
        <f t="shared" si="73"/>
        <v>0</v>
      </c>
    </row>
    <row r="152" spans="1:30" ht="15">
      <c r="A152" s="1">
        <v>151</v>
      </c>
      <c r="B152" s="1">
        <f t="shared" si="76"/>
        <v>0</v>
      </c>
      <c r="C152" s="1">
        <f t="shared" si="69"/>
        <v>-0.66914728682170543</v>
      </c>
      <c r="D152" s="1">
        <f t="shared" si="74"/>
        <v>17.104047025531077</v>
      </c>
      <c r="E152">
        <v>339.1</v>
      </c>
      <c r="K152" s="1">
        <f>'Solar Availability and Gener GR'!F152</f>
        <v>5.3999999999999999E-2</v>
      </c>
      <c r="L152" s="1">
        <v>0.66914728682170543</v>
      </c>
      <c r="M152" s="1">
        <f t="shared" si="70"/>
        <v>-0.61514728682170539</v>
      </c>
      <c r="N152" s="1" t="str">
        <f t="shared" si="71"/>
        <v>Buy from Grid</v>
      </c>
      <c r="V152" s="1" t="str">
        <f t="shared" si="75"/>
        <v>discharge</v>
      </c>
      <c r="Y152" s="1">
        <f t="shared" si="68"/>
        <v>0.22690784496124033</v>
      </c>
      <c r="AA152" s="1">
        <f t="shared" si="72"/>
        <v>36.315400284673366</v>
      </c>
      <c r="AD152" s="1">
        <f t="shared" si="73"/>
        <v>0</v>
      </c>
    </row>
    <row r="153" spans="1:30" ht="15">
      <c r="A153" s="1">
        <v>152</v>
      </c>
      <c r="B153" s="1">
        <f t="shared" si="76"/>
        <v>0</v>
      </c>
      <c r="C153" s="1">
        <f t="shared" si="69"/>
        <v>-0.61514728682170539</v>
      </c>
      <c r="D153" s="1">
        <f t="shared" si="74"/>
        <v>16.335112917003947</v>
      </c>
      <c r="E153">
        <v>344.1</v>
      </c>
      <c r="K153" s="1">
        <f>'Solar Availability and Gener GR'!F153</f>
        <v>0.33119999999999994</v>
      </c>
      <c r="L153" s="1">
        <v>0.66914728682170543</v>
      </c>
      <c r="M153" s="1">
        <f t="shared" si="70"/>
        <v>-0.33794728682170549</v>
      </c>
      <c r="N153" s="1" t="str">
        <f t="shared" si="71"/>
        <v>Buy from Grid</v>
      </c>
      <c r="V153" s="1" t="str">
        <f t="shared" si="75"/>
        <v>discharge</v>
      </c>
      <c r="Y153" s="1">
        <f t="shared" si="68"/>
        <v>0.23025358139534885</v>
      </c>
      <c r="AA153" s="1">
        <f t="shared" si="72"/>
        <v>35.977452997851664</v>
      </c>
      <c r="AD153" s="1">
        <f t="shared" si="73"/>
        <v>0</v>
      </c>
    </row>
    <row r="154" spans="1:30" ht="15">
      <c r="A154" s="1">
        <v>153</v>
      </c>
      <c r="B154" s="1">
        <f t="shared" si="76"/>
        <v>0</v>
      </c>
      <c r="C154" s="1">
        <f t="shared" si="69"/>
        <v>-0.33794728682170549</v>
      </c>
      <c r="D154" s="1">
        <f t="shared" si="74"/>
        <v>15.912678808476816</v>
      </c>
      <c r="E154">
        <v>204.99</v>
      </c>
      <c r="K154" s="1">
        <f>'Solar Availability and Gener GR'!F154</f>
        <v>0.68602332413424605</v>
      </c>
      <c r="L154" s="1">
        <v>0.39891472868217059</v>
      </c>
      <c r="M154" s="1">
        <f t="shared" si="70"/>
        <v>0.28710859545207545</v>
      </c>
      <c r="N154" s="1" t="str">
        <f t="shared" si="71"/>
        <v>sell the surplus or charge</v>
      </c>
      <c r="O154" s="1">
        <v>0.25</v>
      </c>
      <c r="P154" s="1">
        <f t="shared" ref="P154:P165" si="77">0.25/L154</f>
        <v>0.62670034978624167</v>
      </c>
      <c r="Q154" s="1">
        <f t="shared" ref="Q154:Q165" si="78">K154-P154*L154</f>
        <v>0.43602332413424605</v>
      </c>
      <c r="R154" s="1">
        <f t="shared" ref="R154:R165" si="79">((1/(E154+0.01))*LN(0.25))+(E154*(K154-0.25))</f>
        <v>89.37365880276144</v>
      </c>
      <c r="S154" s="1">
        <f t="shared" ref="S154:S165" si="80">((1/(E154+0.01))*LN(L154))+(E154*(K154-L154))</f>
        <v>58.849908017830664</v>
      </c>
      <c r="T154" s="1">
        <f t="shared" ref="T154:T165" si="81">(S154+((S154^2)-4*(K154-L154*P154)*LN(L154*P154))^(0.5))/(2*(K154-L154*P154))</f>
        <v>134.99318528478281</v>
      </c>
      <c r="U154" s="1" t="str">
        <f t="shared" ref="U154:U165" si="82">IF(E154&gt;=T154*1.1,"sell to the Grid","charge")</f>
        <v>sell to the Grid</v>
      </c>
      <c r="W154" s="1">
        <f>(Q154*E154)/1000</f>
        <v>8.9380421214279096E-2</v>
      </c>
      <c r="Y154" s="1">
        <f t="shared" si="68"/>
        <v>8.1773530232558164E-2</v>
      </c>
      <c r="AA154" s="1">
        <f t="shared" si="72"/>
        <v>36.264561593303739</v>
      </c>
      <c r="AD154" s="1">
        <f t="shared" si="73"/>
        <v>0.25</v>
      </c>
    </row>
    <row r="155" spans="1:30" ht="15">
      <c r="A155" s="1">
        <v>154</v>
      </c>
      <c r="B155" s="1">
        <f t="shared" si="76"/>
        <v>0</v>
      </c>
      <c r="C155" s="1">
        <f t="shared" si="69"/>
        <v>0</v>
      </c>
      <c r="D155" s="1">
        <f t="shared" si="74"/>
        <v>15.912678808476816</v>
      </c>
      <c r="E155">
        <v>206.09</v>
      </c>
      <c r="K155" s="1">
        <f>'Solar Availability and Gener GR'!F155</f>
        <v>1.2600640968574714</v>
      </c>
      <c r="L155" s="1">
        <v>0.39891472868217059</v>
      </c>
      <c r="M155" s="1">
        <f t="shared" si="70"/>
        <v>0.86114936817530086</v>
      </c>
      <c r="N155" s="1" t="str">
        <f t="shared" si="71"/>
        <v>sell the surplus or charge</v>
      </c>
      <c r="O155" s="1">
        <v>0.25</v>
      </c>
      <c r="P155" s="1">
        <f t="shared" si="77"/>
        <v>0.62670034978624167</v>
      </c>
      <c r="Q155" s="1">
        <f t="shared" si="78"/>
        <v>1.0100640968574714</v>
      </c>
      <c r="R155" s="1">
        <f t="shared" si="79"/>
        <v>208.15738340228245</v>
      </c>
      <c r="S155" s="1">
        <f t="shared" si="80"/>
        <v>177.46981424989934</v>
      </c>
      <c r="T155" s="1">
        <f t="shared" si="81"/>
        <v>175.70934805412799</v>
      </c>
      <c r="U155" s="1" t="str">
        <f t="shared" si="82"/>
        <v>sell to the Grid</v>
      </c>
      <c r="W155" s="1">
        <f>(Q155*E155)/1000</f>
        <v>0.20816410972135629</v>
      </c>
      <c r="Y155" s="1">
        <f t="shared" si="68"/>
        <v>8.2212336434108538E-2</v>
      </c>
      <c r="AA155" s="1">
        <f t="shared" si="72"/>
        <v>37.125710961479037</v>
      </c>
      <c r="AD155" s="1">
        <f t="shared" si="73"/>
        <v>0.25</v>
      </c>
    </row>
    <row r="156" spans="1:30" ht="15">
      <c r="A156" s="1">
        <v>155</v>
      </c>
      <c r="B156" s="1">
        <f t="shared" si="76"/>
        <v>1.9766981216059798</v>
      </c>
      <c r="C156" s="1">
        <f t="shared" si="69"/>
        <v>0</v>
      </c>
      <c r="D156" s="1">
        <f t="shared" si="74"/>
        <v>17.494037305761601</v>
      </c>
      <c r="E156">
        <v>186.39</v>
      </c>
      <c r="K156" s="1">
        <f>'Solar Availability and Gener GR'!F156</f>
        <v>2.2266981216059798</v>
      </c>
      <c r="L156" s="1">
        <v>0.39891472868217059</v>
      </c>
      <c r="M156" s="1">
        <f t="shared" si="70"/>
        <v>1.8277833929238092</v>
      </c>
      <c r="N156" s="1" t="str">
        <f t="shared" si="71"/>
        <v>sell the surplus or charge</v>
      </c>
      <c r="O156" s="1">
        <v>0.25</v>
      </c>
      <c r="P156" s="1">
        <f t="shared" si="77"/>
        <v>0.62670034978624167</v>
      </c>
      <c r="Q156" s="1">
        <f t="shared" si="78"/>
        <v>1.9766981216059798</v>
      </c>
      <c r="R156" s="1">
        <f t="shared" si="79"/>
        <v>368.42932568463038</v>
      </c>
      <c r="S156" s="1">
        <f t="shared" si="80"/>
        <v>340.67561630879891</v>
      </c>
      <c r="T156" s="1">
        <f t="shared" si="81"/>
        <v>172.34986772869743</v>
      </c>
      <c r="U156" s="1" t="str">
        <f t="shared" si="82"/>
        <v>charge</v>
      </c>
      <c r="Y156" s="1">
        <f t="shared" si="68"/>
        <v>7.4353716279069768E-2</v>
      </c>
      <c r="AA156" s="1">
        <f t="shared" si="72"/>
        <v>38.953494354402849</v>
      </c>
      <c r="AD156" s="1">
        <f t="shared" si="73"/>
        <v>0.25</v>
      </c>
    </row>
    <row r="157" spans="1:30" ht="15">
      <c r="A157" s="1">
        <v>156</v>
      </c>
      <c r="B157" s="1">
        <f t="shared" si="76"/>
        <v>2.6560179827294559</v>
      </c>
      <c r="C157" s="1">
        <f t="shared" si="69"/>
        <v>0</v>
      </c>
      <c r="D157" s="1">
        <f t="shared" si="74"/>
        <v>19.618851691945167</v>
      </c>
      <c r="E157">
        <v>178.54</v>
      </c>
      <c r="K157" s="1">
        <f>'Solar Availability and Gener GR'!F157</f>
        <v>2.9060179827294559</v>
      </c>
      <c r="L157" s="1">
        <v>0.39891472868217059</v>
      </c>
      <c r="M157" s="1">
        <f t="shared" si="70"/>
        <v>2.5071032540472853</v>
      </c>
      <c r="N157" s="1" t="str">
        <f t="shared" si="71"/>
        <v>sell the surplus or charge</v>
      </c>
      <c r="O157" s="1">
        <v>0.25</v>
      </c>
      <c r="P157" s="1">
        <f t="shared" si="77"/>
        <v>0.62670034978624167</v>
      </c>
      <c r="Q157" s="1">
        <f t="shared" si="78"/>
        <v>2.6560179827294559</v>
      </c>
      <c r="R157" s="1">
        <f t="shared" si="79"/>
        <v>474.19768645639311</v>
      </c>
      <c r="S157" s="1">
        <f t="shared" si="80"/>
        <v>447.61306791740901</v>
      </c>
      <c r="T157" s="1">
        <f t="shared" si="81"/>
        <v>168.53097252438292</v>
      </c>
      <c r="U157" s="1" t="str">
        <f t="shared" si="82"/>
        <v>charge</v>
      </c>
      <c r="Y157" s="1">
        <f t="shared" si="68"/>
        <v>7.1222235658914737E-2</v>
      </c>
      <c r="AA157" s="1">
        <f t="shared" si="72"/>
        <v>41.460597608450136</v>
      </c>
      <c r="AD157" s="1">
        <f t="shared" si="73"/>
        <v>0.25</v>
      </c>
    </row>
    <row r="158" spans="1:30" ht="15">
      <c r="A158" s="1">
        <v>157</v>
      </c>
      <c r="B158" s="1">
        <f t="shared" si="76"/>
        <v>2.923729190777173</v>
      </c>
      <c r="C158" s="1">
        <f t="shared" si="69"/>
        <v>0</v>
      </c>
      <c r="D158" s="1">
        <f t="shared" si="74"/>
        <v>21.957835044566906</v>
      </c>
      <c r="E158">
        <v>165</v>
      </c>
      <c r="K158" s="1">
        <f>'Solar Availability and Gener GR'!F158</f>
        <v>3.173729190777173</v>
      </c>
      <c r="L158" s="1">
        <v>0.39891472868217059</v>
      </c>
      <c r="M158" s="1">
        <f t="shared" si="70"/>
        <v>2.7748144620950024</v>
      </c>
      <c r="N158" s="1" t="str">
        <f t="shared" si="71"/>
        <v>sell the surplus or charge</v>
      </c>
      <c r="O158" s="1">
        <v>0.25</v>
      </c>
      <c r="P158" s="1">
        <f t="shared" si="77"/>
        <v>0.62670034978624167</v>
      </c>
      <c r="Q158" s="1">
        <f t="shared" si="78"/>
        <v>2.923729190777173</v>
      </c>
      <c r="R158" s="1">
        <f t="shared" si="79"/>
        <v>482.40691520339493</v>
      </c>
      <c r="S158" s="1">
        <f t="shared" si="80"/>
        <v>457.83881684019991</v>
      </c>
      <c r="T158" s="1">
        <f t="shared" si="81"/>
        <v>156.59715369665</v>
      </c>
      <c r="U158" s="1" t="str">
        <f t="shared" si="82"/>
        <v>charge</v>
      </c>
      <c r="Y158" s="1">
        <f t="shared" si="68"/>
        <v>6.5820930232558153E-2</v>
      </c>
      <c r="AA158" s="1">
        <f t="shared" si="72"/>
        <v>44.235412070545138</v>
      </c>
      <c r="AD158" s="1">
        <f t="shared" si="73"/>
        <v>0.25</v>
      </c>
    </row>
    <row r="159" spans="1:30" ht="15">
      <c r="A159" s="1">
        <v>158</v>
      </c>
      <c r="B159" s="1">
        <f t="shared" si="76"/>
        <v>3.0190465592450799</v>
      </c>
      <c r="C159" s="1">
        <f t="shared" si="69"/>
        <v>0</v>
      </c>
      <c r="D159" s="1">
        <f t="shared" si="74"/>
        <v>24.37307229196297</v>
      </c>
      <c r="E159">
        <v>163.94</v>
      </c>
      <c r="K159" s="1">
        <f>'Solar Availability and Gener GR'!F159</f>
        <v>3.2690465592450799</v>
      </c>
      <c r="L159" s="1">
        <v>0.39891472868217059</v>
      </c>
      <c r="M159" s="1">
        <f t="shared" si="70"/>
        <v>2.8701318305629093</v>
      </c>
      <c r="N159" s="1" t="str">
        <f t="shared" si="71"/>
        <v>sell the surplus or charge</v>
      </c>
      <c r="O159" s="1">
        <v>0.25</v>
      </c>
      <c r="P159" s="1">
        <f t="shared" si="77"/>
        <v>0.62670034978624167</v>
      </c>
      <c r="Q159" s="1">
        <f t="shared" si="78"/>
        <v>3.0190465592450799</v>
      </c>
      <c r="R159" s="1">
        <f t="shared" si="79"/>
        <v>494.93403733031681</v>
      </c>
      <c r="S159" s="1">
        <f t="shared" si="80"/>
        <v>470.52380688865287</v>
      </c>
      <c r="T159" s="1">
        <f t="shared" si="81"/>
        <v>155.85473507613597</v>
      </c>
      <c r="U159" s="1" t="str">
        <f t="shared" si="82"/>
        <v>charge</v>
      </c>
      <c r="Y159" s="1">
        <f t="shared" si="68"/>
        <v>6.5398080620155036E-2</v>
      </c>
      <c r="AA159" s="1">
        <f t="shared" si="72"/>
        <v>47.105543901108049</v>
      </c>
      <c r="AD159" s="1">
        <f t="shared" si="73"/>
        <v>0.25</v>
      </c>
    </row>
    <row r="160" spans="1:30" ht="15">
      <c r="A160" s="1">
        <v>159</v>
      </c>
      <c r="B160" s="1">
        <f t="shared" si="76"/>
        <v>2.9228745660108606</v>
      </c>
      <c r="C160" s="1">
        <f t="shared" si="69"/>
        <v>0</v>
      </c>
      <c r="D160" s="1">
        <f t="shared" si="74"/>
        <v>26.71137194477166</v>
      </c>
      <c r="E160">
        <v>177.44</v>
      </c>
      <c r="K160" s="1">
        <f>'Solar Availability and Gener GR'!F160</f>
        <v>3.1728745660108606</v>
      </c>
      <c r="L160" s="1">
        <v>0.39891472868217059</v>
      </c>
      <c r="M160" s="1">
        <f t="shared" si="70"/>
        <v>2.77395983732869</v>
      </c>
      <c r="N160" s="1" t="str">
        <f t="shared" si="71"/>
        <v>sell the surplus or charge</v>
      </c>
      <c r="O160" s="1">
        <v>0.25</v>
      </c>
      <c r="P160" s="1">
        <f t="shared" si="77"/>
        <v>0.62670034978624167</v>
      </c>
      <c r="Q160" s="1">
        <f t="shared" si="78"/>
        <v>2.9228745660108606</v>
      </c>
      <c r="R160" s="1">
        <f t="shared" si="79"/>
        <v>518.62705068323976</v>
      </c>
      <c r="S160" s="1">
        <f t="shared" si="80"/>
        <v>492.20625456914735</v>
      </c>
      <c r="T160" s="1">
        <f t="shared" si="81"/>
        <v>168.40082445016012</v>
      </c>
      <c r="U160" s="1" t="str">
        <f t="shared" si="82"/>
        <v>charge</v>
      </c>
      <c r="Y160" s="1">
        <f t="shared" si="68"/>
        <v>7.078342945736435E-2</v>
      </c>
      <c r="AA160" s="1">
        <f t="shared" si="72"/>
        <v>49.879503738436739</v>
      </c>
      <c r="AD160" s="1">
        <f t="shared" si="73"/>
        <v>0.25</v>
      </c>
    </row>
    <row r="161" spans="1:30" ht="15">
      <c r="A161" s="1">
        <v>160</v>
      </c>
      <c r="B161" s="1">
        <f t="shared" si="76"/>
        <v>0</v>
      </c>
      <c r="C161" s="1">
        <f t="shared" si="69"/>
        <v>0</v>
      </c>
      <c r="D161" s="1">
        <f t="shared" si="74"/>
        <v>26.71137194477166</v>
      </c>
      <c r="E161">
        <v>216</v>
      </c>
      <c r="K161" s="1">
        <f>'Solar Availability and Gener GR'!F161</f>
        <v>2.9426733730971213</v>
      </c>
      <c r="L161" s="1">
        <v>0.66914728682170543</v>
      </c>
      <c r="M161" s="1">
        <f t="shared" si="70"/>
        <v>2.2735260862754156</v>
      </c>
      <c r="N161" s="1" t="str">
        <f t="shared" si="71"/>
        <v>sell the surplus or charge</v>
      </c>
      <c r="O161" s="1">
        <v>0.25</v>
      </c>
      <c r="P161" s="1">
        <f t="shared" si="77"/>
        <v>0.3736098239110287</v>
      </c>
      <c r="Q161" s="1">
        <f t="shared" si="78"/>
        <v>2.6926733730971213</v>
      </c>
      <c r="R161" s="1">
        <f t="shared" si="79"/>
        <v>581.61103085664581</v>
      </c>
      <c r="S161" s="1">
        <f t="shared" si="80"/>
        <v>491.0797747628755</v>
      </c>
      <c r="T161" s="1">
        <f t="shared" si="81"/>
        <v>182.37911097496669</v>
      </c>
      <c r="U161" s="1" t="str">
        <f t="shared" si="82"/>
        <v>sell to the Grid</v>
      </c>
      <c r="W161" s="1">
        <f>(Q161*E161)/1000</f>
        <v>0.58161744858897813</v>
      </c>
      <c r="Y161" s="1">
        <f t="shared" si="68"/>
        <v>0.14453581395348838</v>
      </c>
      <c r="AA161" s="1">
        <f t="shared" si="72"/>
        <v>52.153029824712156</v>
      </c>
      <c r="AD161" s="1">
        <f t="shared" si="73"/>
        <v>0.25</v>
      </c>
    </row>
    <row r="162" spans="1:30" ht="15">
      <c r="A162" s="1">
        <v>161</v>
      </c>
      <c r="B162" s="1">
        <f t="shared" si="76"/>
        <v>0</v>
      </c>
      <c r="C162" s="1">
        <f t="shared" si="69"/>
        <v>0</v>
      </c>
      <c r="D162" s="1">
        <f t="shared" si="74"/>
        <v>26.71137194477166</v>
      </c>
      <c r="E162">
        <v>329.94</v>
      </c>
      <c r="K162" s="1">
        <f>'Solar Availability and Gener GR'!F162</f>
        <v>2.5114083503961528</v>
      </c>
      <c r="L162" s="1">
        <v>0.66914728682170543</v>
      </c>
      <c r="M162" s="1">
        <f t="shared" si="70"/>
        <v>1.8422610635744474</v>
      </c>
      <c r="N162" s="1" t="str">
        <f t="shared" si="71"/>
        <v>sell the surplus or charge</v>
      </c>
      <c r="O162" s="1">
        <v>0.25</v>
      </c>
      <c r="P162" s="1">
        <f t="shared" si="77"/>
        <v>0.3736098239110287</v>
      </c>
      <c r="Q162" s="1">
        <f t="shared" si="78"/>
        <v>2.2614083503961528</v>
      </c>
      <c r="R162" s="1">
        <f t="shared" si="79"/>
        <v>746.124869601108</v>
      </c>
      <c r="S162" s="1">
        <f t="shared" si="80"/>
        <v>607.83439770374105</v>
      </c>
      <c r="T162" s="1">
        <f t="shared" si="81"/>
        <v>268.78805642135336</v>
      </c>
      <c r="U162" s="1" t="str">
        <f t="shared" si="82"/>
        <v>sell to the Grid</v>
      </c>
      <c r="W162" s="1">
        <f>(Q162*E162)/1000</f>
        <v>0.74612907112970661</v>
      </c>
      <c r="Y162" s="1">
        <f t="shared" si="68"/>
        <v>0.22077845581395347</v>
      </c>
      <c r="AA162" s="1">
        <f t="shared" si="72"/>
        <v>53.995290888286604</v>
      </c>
      <c r="AD162" s="1">
        <f t="shared" si="73"/>
        <v>0.25</v>
      </c>
    </row>
    <row r="163" spans="1:30" ht="15">
      <c r="A163" s="1">
        <v>162</v>
      </c>
      <c r="B163" s="1">
        <f t="shared" si="76"/>
        <v>0</v>
      </c>
      <c r="C163" s="1">
        <f t="shared" si="69"/>
        <v>0</v>
      </c>
      <c r="D163" s="1">
        <f t="shared" si="74"/>
        <v>26.71137194477166</v>
      </c>
      <c r="E163">
        <v>344.1</v>
      </c>
      <c r="K163" s="1">
        <f>'Solar Availability and Gener GR'!F163</f>
        <v>1.8790794979079473</v>
      </c>
      <c r="L163" s="1">
        <v>0.66914728682170543</v>
      </c>
      <c r="M163" s="1">
        <f t="shared" si="70"/>
        <v>1.2099322110862418</v>
      </c>
      <c r="N163" s="1" t="str">
        <f t="shared" si="71"/>
        <v>sell the surplus or charge</v>
      </c>
      <c r="O163" s="1">
        <v>0.25</v>
      </c>
      <c r="P163" s="1">
        <f t="shared" si="77"/>
        <v>0.3736098239110287</v>
      </c>
      <c r="Q163" s="1">
        <f t="shared" si="78"/>
        <v>1.6290794979079473</v>
      </c>
      <c r="R163" s="1">
        <f t="shared" si="79"/>
        <v>560.56222659288335</v>
      </c>
      <c r="S163" s="1">
        <f t="shared" si="80"/>
        <v>416.33650632705036</v>
      </c>
      <c r="T163" s="1">
        <f t="shared" si="81"/>
        <v>255.56882350443973</v>
      </c>
      <c r="U163" s="1" t="str">
        <f t="shared" si="82"/>
        <v>sell to the Grid</v>
      </c>
      <c r="W163" s="1">
        <f>(Q163*E163)/1000</f>
        <v>0.56056625523012471</v>
      </c>
      <c r="Y163" s="1">
        <f t="shared" si="68"/>
        <v>0.23025358139534885</v>
      </c>
      <c r="AA163" s="1">
        <f t="shared" si="72"/>
        <v>55.205223099372844</v>
      </c>
      <c r="AD163" s="1">
        <f t="shared" si="73"/>
        <v>0.25</v>
      </c>
    </row>
    <row r="164" spans="1:30" ht="15">
      <c r="A164" s="1">
        <v>163</v>
      </c>
      <c r="B164" s="1">
        <f t="shared" si="76"/>
        <v>0</v>
      </c>
      <c r="C164" s="1">
        <f t="shared" si="69"/>
        <v>0</v>
      </c>
      <c r="D164" s="1">
        <f t="shared" si="74"/>
        <v>26.71137194477166</v>
      </c>
      <c r="E164">
        <v>290</v>
      </c>
      <c r="K164" s="1">
        <f>'Solar Availability and Gener GR'!F164</f>
        <v>1.2276017092495295</v>
      </c>
      <c r="L164" s="1">
        <v>0.65627906976744199</v>
      </c>
      <c r="M164" s="1">
        <f t="shared" si="70"/>
        <v>0.5713226394820875</v>
      </c>
      <c r="N164" s="1" t="str">
        <f t="shared" si="71"/>
        <v>sell the surplus or charge</v>
      </c>
      <c r="O164" s="1">
        <v>0.25</v>
      </c>
      <c r="P164" s="1">
        <f t="shared" si="77"/>
        <v>0.38093550673281351</v>
      </c>
      <c r="Q164" s="1">
        <f t="shared" si="78"/>
        <v>0.97760170924952949</v>
      </c>
      <c r="R164" s="1">
        <f t="shared" si="79"/>
        <v>283.49971552181347</v>
      </c>
      <c r="S164" s="1">
        <f t="shared" si="80"/>
        <v>165.68211319240297</v>
      </c>
      <c r="T164" s="1">
        <f t="shared" si="81"/>
        <v>169.48650048783492</v>
      </c>
      <c r="U164" s="1" t="str">
        <f t="shared" si="82"/>
        <v>sell to the Grid</v>
      </c>
      <c r="W164" s="1">
        <f>(Q164*E164)/1000</f>
        <v>0.28350449568236352</v>
      </c>
      <c r="Y164" s="1">
        <f t="shared" si="68"/>
        <v>0.19032093023255817</v>
      </c>
      <c r="AA164" s="1">
        <f t="shared" si="72"/>
        <v>55.776545738854935</v>
      </c>
      <c r="AD164" s="1">
        <f t="shared" si="73"/>
        <v>0.25</v>
      </c>
    </row>
    <row r="165" spans="1:30" ht="15">
      <c r="A165" s="1">
        <v>164</v>
      </c>
      <c r="B165" s="1">
        <f t="shared" si="76"/>
        <v>0</v>
      </c>
      <c r="C165" s="1">
        <f t="shared" si="69"/>
        <v>0</v>
      </c>
      <c r="D165" s="1">
        <f t="shared" si="74"/>
        <v>26.71137194477166</v>
      </c>
      <c r="E165">
        <v>298.2</v>
      </c>
      <c r="K165" s="1">
        <f>'Solar Availability and Gener GR'!F165</f>
        <v>0.48992700080121115</v>
      </c>
      <c r="L165" s="1">
        <v>0.39891472868217059</v>
      </c>
      <c r="M165" s="1">
        <f t="shared" si="70"/>
        <v>9.101227211904056E-2</v>
      </c>
      <c r="N165" s="1" t="str">
        <f t="shared" si="71"/>
        <v>sell the surplus or charge</v>
      </c>
      <c r="O165" s="1">
        <v>0.25</v>
      </c>
      <c r="P165" s="1">
        <f t="shared" si="77"/>
        <v>0.62670034978624167</v>
      </c>
      <c r="Q165" s="1">
        <f t="shared" si="78"/>
        <v>0.23992700080121115</v>
      </c>
      <c r="R165" s="1">
        <f t="shared" si="79"/>
        <v>71.541582920363368</v>
      </c>
      <c r="S165" s="1">
        <f t="shared" si="80"/>
        <v>27.136777799485944</v>
      </c>
      <c r="T165" s="1">
        <f t="shared" si="81"/>
        <v>113.15537207304413</v>
      </c>
      <c r="U165" s="1" t="str">
        <f t="shared" si="82"/>
        <v>sell to the Grid</v>
      </c>
      <c r="W165" s="1">
        <f>(Q165*E165)/1000</f>
        <v>7.1546231638921154E-2</v>
      </c>
      <c r="Y165" s="1">
        <f t="shared" si="68"/>
        <v>0.11895637209302326</v>
      </c>
      <c r="AA165" s="1">
        <f t="shared" si="72"/>
        <v>55.867558010973973</v>
      </c>
      <c r="AD165" s="1">
        <f t="shared" si="73"/>
        <v>0.25</v>
      </c>
    </row>
    <row r="166" spans="1:30" ht="15">
      <c r="A166" s="1">
        <v>165</v>
      </c>
      <c r="B166" s="1">
        <f t="shared" si="76"/>
        <v>0</v>
      </c>
      <c r="C166" s="1">
        <f t="shared" si="69"/>
        <v>0</v>
      </c>
      <c r="D166" s="1">
        <f t="shared" si="74"/>
        <v>26.71137194477166</v>
      </c>
      <c r="E166">
        <v>263</v>
      </c>
      <c r="K166" s="1">
        <f>'Solar Availability and Gener GR'!F166</f>
        <v>6.8263153209294117E-2</v>
      </c>
      <c r="L166" s="1">
        <v>0.39891472868217059</v>
      </c>
      <c r="M166" s="1">
        <f t="shared" si="70"/>
        <v>-0.33065157547287649</v>
      </c>
      <c r="N166" s="1" t="str">
        <f t="shared" si="71"/>
        <v>Buy from Grid</v>
      </c>
      <c r="V166" s="1" t="str">
        <f t="shared" ref="V166:V177" si="83">IF(D166+M166&gt;0,"discharge","buy from the Grid")</f>
        <v>discharge</v>
      </c>
      <c r="Y166" s="1">
        <f t="shared" si="68"/>
        <v>0.10491457364341086</v>
      </c>
      <c r="AA166" s="1">
        <f t="shared" si="72"/>
        <v>55.536906435501095</v>
      </c>
      <c r="AD166" s="1">
        <f t="shared" si="73"/>
        <v>0</v>
      </c>
    </row>
    <row r="167" spans="1:30" ht="15">
      <c r="A167" s="1">
        <v>166</v>
      </c>
      <c r="B167" s="1">
        <f t="shared" si="76"/>
        <v>0</v>
      </c>
      <c r="C167" s="1">
        <f t="shared" si="69"/>
        <v>-0.33065157547287649</v>
      </c>
      <c r="D167" s="1">
        <f t="shared" si="74"/>
        <v>26.298057475430564</v>
      </c>
      <c r="E167">
        <v>210</v>
      </c>
      <c r="K167" s="1">
        <f>'Solar Availability and Gener GR'!F167</f>
        <v>0</v>
      </c>
      <c r="L167" s="1">
        <v>0.39891472868217059</v>
      </c>
      <c r="M167" s="1">
        <f t="shared" si="70"/>
        <v>-0.39891472868217059</v>
      </c>
      <c r="N167" s="1" t="str">
        <f t="shared" si="71"/>
        <v>Buy from Grid</v>
      </c>
      <c r="V167" s="1" t="str">
        <f t="shared" si="83"/>
        <v>discharge</v>
      </c>
      <c r="Y167" s="1">
        <f t="shared" si="68"/>
        <v>8.377209302325582E-2</v>
      </c>
      <c r="AA167" s="1">
        <f t="shared" si="72"/>
        <v>55.137991706818923</v>
      </c>
      <c r="AD167" s="1">
        <f t="shared" si="73"/>
        <v>0</v>
      </c>
    </row>
    <row r="168" spans="1:30" ht="15">
      <c r="A168" s="1">
        <v>167</v>
      </c>
      <c r="B168" s="1">
        <f t="shared" si="76"/>
        <v>0</v>
      </c>
      <c r="C168" s="1">
        <f t="shared" si="69"/>
        <v>-0.39891472868217059</v>
      </c>
      <c r="D168" s="1">
        <f t="shared" si="74"/>
        <v>25.799414064577849</v>
      </c>
      <c r="E168">
        <v>183.59</v>
      </c>
      <c r="K168" s="1">
        <f>'Solar Availability and Gener GR'!F168</f>
        <v>0</v>
      </c>
      <c r="L168" s="1">
        <v>0.29596899224806206</v>
      </c>
      <c r="M168" s="1">
        <f t="shared" si="70"/>
        <v>-0.29596899224806206</v>
      </c>
      <c r="N168" s="1" t="str">
        <f t="shared" si="71"/>
        <v>Buy from Grid</v>
      </c>
      <c r="V168" s="1" t="str">
        <f t="shared" si="83"/>
        <v>discharge</v>
      </c>
      <c r="Y168" s="1">
        <f t="shared" si="68"/>
        <v>5.4336947286821709E-2</v>
      </c>
      <c r="AA168" s="1">
        <f t="shared" si="72"/>
        <v>54.842022714570859</v>
      </c>
      <c r="AD168" s="1">
        <f t="shared" si="73"/>
        <v>0</v>
      </c>
    </row>
    <row r="169" spans="1:30" ht="15">
      <c r="A169" s="1">
        <v>168</v>
      </c>
      <c r="B169" s="1">
        <f t="shared" si="76"/>
        <v>0</v>
      </c>
      <c r="C169" s="1">
        <f t="shared" si="69"/>
        <v>-0.29596899224806206</v>
      </c>
      <c r="D169" s="1">
        <f t="shared" si="74"/>
        <v>25.429452824267774</v>
      </c>
      <c r="E169">
        <v>210</v>
      </c>
      <c r="K169" s="1">
        <f>'Solar Availability and Gener GR'!F169</f>
        <v>0</v>
      </c>
      <c r="L169" s="1">
        <v>0.29596899224806206</v>
      </c>
      <c r="M169" s="1">
        <f t="shared" si="70"/>
        <v>-0.29596899224806206</v>
      </c>
      <c r="N169" s="1" t="str">
        <f t="shared" si="71"/>
        <v>Buy from Grid</v>
      </c>
      <c r="V169" s="1" t="str">
        <f t="shared" si="83"/>
        <v>discharge</v>
      </c>
      <c r="Y169" s="1">
        <f t="shared" si="68"/>
        <v>6.215348837209303E-2</v>
      </c>
      <c r="AA169" s="1">
        <f t="shared" si="72"/>
        <v>54.546053722322796</v>
      </c>
      <c r="AD169" s="1">
        <f t="shared" si="73"/>
        <v>0</v>
      </c>
    </row>
    <row r="170" spans="1:30" ht="15">
      <c r="A170" s="1">
        <v>169</v>
      </c>
      <c r="B170" s="1">
        <f t="shared" si="76"/>
        <v>0</v>
      </c>
      <c r="C170" s="1">
        <f t="shared" si="69"/>
        <v>-0.29596899224806206</v>
      </c>
      <c r="D170" s="1">
        <f t="shared" si="74"/>
        <v>25.059491583957698</v>
      </c>
      <c r="E170">
        <v>165.01</v>
      </c>
      <c r="K170" s="1">
        <f>'Solar Availability and Gener GR'!F170</f>
        <v>0</v>
      </c>
      <c r="L170" s="1">
        <v>0.29596899224806206</v>
      </c>
      <c r="M170" s="1">
        <f t="shared" si="70"/>
        <v>-0.29596899224806206</v>
      </c>
      <c r="N170" s="1" t="str">
        <f t="shared" si="71"/>
        <v>Buy from Grid</v>
      </c>
      <c r="V170" s="1" t="str">
        <f t="shared" si="83"/>
        <v>discharge</v>
      </c>
      <c r="Y170" s="1">
        <f t="shared" si="68"/>
        <v>4.8837843410852719E-2</v>
      </c>
      <c r="AA170" s="1">
        <f t="shared" si="72"/>
        <v>54.250084730074732</v>
      </c>
      <c r="AD170" s="1">
        <f t="shared" si="73"/>
        <v>0</v>
      </c>
    </row>
    <row r="171" spans="1:30" ht="15">
      <c r="A171" s="1">
        <v>170</v>
      </c>
      <c r="B171" s="1">
        <f t="shared" si="76"/>
        <v>0</v>
      </c>
      <c r="C171" s="1">
        <f t="shared" si="69"/>
        <v>-0.29596899224806206</v>
      </c>
      <c r="D171" s="1">
        <f t="shared" si="74"/>
        <v>24.689530343647622</v>
      </c>
      <c r="E171">
        <v>155.72999999999999</v>
      </c>
      <c r="K171" s="1">
        <f>'Solar Availability and Gener GR'!F171</f>
        <v>0</v>
      </c>
      <c r="L171" s="1">
        <v>0.29596899224806206</v>
      </c>
      <c r="M171" s="1">
        <f t="shared" si="70"/>
        <v>-0.29596899224806206</v>
      </c>
      <c r="N171" s="1" t="str">
        <f t="shared" si="71"/>
        <v>Buy from Grid</v>
      </c>
      <c r="V171" s="1" t="str">
        <f t="shared" si="83"/>
        <v>discharge</v>
      </c>
      <c r="Y171" s="1">
        <f t="shared" si="68"/>
        <v>4.6091251162790697E-2</v>
      </c>
      <c r="AA171" s="1">
        <f t="shared" si="72"/>
        <v>53.954115737826669</v>
      </c>
      <c r="AD171" s="1">
        <f t="shared" si="73"/>
        <v>0</v>
      </c>
    </row>
    <row r="172" spans="1:30" ht="15">
      <c r="A172" s="1">
        <v>171</v>
      </c>
      <c r="B172" s="1">
        <f t="shared" si="76"/>
        <v>0</v>
      </c>
      <c r="C172" s="1">
        <f t="shared" si="69"/>
        <v>-0.29596899224806206</v>
      </c>
      <c r="D172" s="1">
        <f t="shared" si="74"/>
        <v>24.319569103337546</v>
      </c>
      <c r="E172">
        <v>150</v>
      </c>
      <c r="K172" s="1">
        <f>'Solar Availability and Gener GR'!F172</f>
        <v>0</v>
      </c>
      <c r="L172" s="1">
        <v>0.39891472868217059</v>
      </c>
      <c r="M172" s="1">
        <f t="shared" si="70"/>
        <v>-0.39891472868217059</v>
      </c>
      <c r="N172" s="1" t="str">
        <f t="shared" si="71"/>
        <v>Buy from Grid</v>
      </c>
      <c r="V172" s="1" t="str">
        <f t="shared" si="83"/>
        <v>discharge</v>
      </c>
      <c r="Y172" s="1">
        <f t="shared" si="68"/>
        <v>5.983720930232559E-2</v>
      </c>
      <c r="AA172" s="1">
        <f t="shared" si="72"/>
        <v>53.555201009144497</v>
      </c>
      <c r="AD172" s="1">
        <f t="shared" si="73"/>
        <v>0</v>
      </c>
    </row>
    <row r="173" spans="1:30" ht="15">
      <c r="A173" s="1">
        <v>172</v>
      </c>
      <c r="B173" s="1">
        <f t="shared" si="76"/>
        <v>0</v>
      </c>
      <c r="C173" s="1">
        <f t="shared" si="69"/>
        <v>-0.39891472868217059</v>
      </c>
      <c r="D173" s="1">
        <f t="shared" si="74"/>
        <v>23.820925692484831</v>
      </c>
      <c r="E173">
        <v>179.51</v>
      </c>
      <c r="K173" s="1">
        <f>'Solar Availability and Gener GR'!F173</f>
        <v>0</v>
      </c>
      <c r="L173" s="1">
        <v>0.66914728682170543</v>
      </c>
      <c r="M173" s="1">
        <f t="shared" si="70"/>
        <v>-0.66914728682170543</v>
      </c>
      <c r="N173" s="1" t="str">
        <f t="shared" si="71"/>
        <v>Buy from Grid</v>
      </c>
      <c r="V173" s="1" t="str">
        <f t="shared" si="83"/>
        <v>discharge</v>
      </c>
      <c r="Y173" s="1">
        <f t="shared" si="68"/>
        <v>0.12011862945736433</v>
      </c>
      <c r="AA173" s="1">
        <f t="shared" si="72"/>
        <v>52.886053722322792</v>
      </c>
      <c r="AD173" s="1">
        <f t="shared" si="73"/>
        <v>0</v>
      </c>
    </row>
    <row r="174" spans="1:30" ht="15">
      <c r="A174" s="1">
        <v>173</v>
      </c>
      <c r="B174" s="1">
        <f t="shared" si="76"/>
        <v>0</v>
      </c>
      <c r="C174" s="1">
        <f t="shared" si="69"/>
        <v>-0.66914728682170543</v>
      </c>
      <c r="D174" s="1">
        <f t="shared" si="74"/>
        <v>22.984491583957698</v>
      </c>
      <c r="E174">
        <v>216.28</v>
      </c>
      <c r="K174" s="1">
        <f>'Solar Availability and Gener GR'!F174</f>
        <v>0</v>
      </c>
      <c r="L174" s="1">
        <v>0.66914728682170543</v>
      </c>
      <c r="M174" s="1">
        <f t="shared" si="70"/>
        <v>-0.66914728682170543</v>
      </c>
      <c r="N174" s="1" t="str">
        <f t="shared" si="71"/>
        <v>Buy from Grid</v>
      </c>
      <c r="V174" s="1" t="str">
        <f t="shared" si="83"/>
        <v>discharge</v>
      </c>
      <c r="Y174" s="1">
        <f t="shared" si="68"/>
        <v>0.14472317519379846</v>
      </c>
      <c r="AA174" s="1">
        <f t="shared" si="72"/>
        <v>52.216906435501087</v>
      </c>
      <c r="AD174" s="1">
        <f t="shared" si="73"/>
        <v>0</v>
      </c>
    </row>
    <row r="175" spans="1:30" ht="15">
      <c r="A175" s="1">
        <v>174</v>
      </c>
      <c r="B175" s="1">
        <f t="shared" si="76"/>
        <v>0</v>
      </c>
      <c r="C175" s="1">
        <f t="shared" si="69"/>
        <v>-0.66914728682170543</v>
      </c>
      <c r="D175" s="1">
        <f t="shared" si="74"/>
        <v>22.148057475430566</v>
      </c>
      <c r="E175">
        <v>216.3</v>
      </c>
      <c r="K175" s="1">
        <f>'Solar Availability and Gener GR'!F175</f>
        <v>0</v>
      </c>
      <c r="L175" s="1">
        <v>0.65627906976744199</v>
      </c>
      <c r="M175" s="1">
        <f t="shared" si="70"/>
        <v>-0.65627906976744199</v>
      </c>
      <c r="N175" s="1" t="str">
        <f t="shared" si="71"/>
        <v>Buy from Grid</v>
      </c>
      <c r="V175" s="1" t="str">
        <f t="shared" si="83"/>
        <v>discharge</v>
      </c>
      <c r="Y175" s="1">
        <f t="shared" si="68"/>
        <v>0.14195316279069772</v>
      </c>
      <c r="AA175" s="1">
        <f t="shared" si="72"/>
        <v>51.560627365733644</v>
      </c>
      <c r="AD175" s="1">
        <f t="shared" si="73"/>
        <v>0</v>
      </c>
    </row>
    <row r="176" spans="1:30" ht="15">
      <c r="A176" s="1">
        <v>175</v>
      </c>
      <c r="B176" s="1">
        <f t="shared" si="76"/>
        <v>0</v>
      </c>
      <c r="C176" s="1">
        <f t="shared" si="69"/>
        <v>-0.65627906976744199</v>
      </c>
      <c r="D176" s="1">
        <f t="shared" si="74"/>
        <v>21.327708638221264</v>
      </c>
      <c r="E176">
        <v>270.76</v>
      </c>
      <c r="K176" s="1">
        <f>'Solar Availability and Gener GR'!F176</f>
        <v>1.6611768895219918E-2</v>
      </c>
      <c r="L176" s="1">
        <v>0.39891472868217059</v>
      </c>
      <c r="M176" s="1">
        <f t="shared" si="70"/>
        <v>-0.38230295978695067</v>
      </c>
      <c r="N176" s="1" t="str">
        <f t="shared" si="71"/>
        <v>Buy from Grid</v>
      </c>
      <c r="V176" s="1" t="str">
        <f t="shared" si="83"/>
        <v>discharge</v>
      </c>
      <c r="Y176" s="1">
        <f t="shared" si="68"/>
        <v>0.10801015193798451</v>
      </c>
      <c r="AA176" s="1">
        <f t="shared" si="72"/>
        <v>51.178324405946697</v>
      </c>
      <c r="AD176" s="1">
        <f t="shared" si="73"/>
        <v>0</v>
      </c>
    </row>
    <row r="177" spans="1:30" ht="15">
      <c r="A177" s="1">
        <v>176</v>
      </c>
      <c r="B177" s="1">
        <f t="shared" si="76"/>
        <v>0</v>
      </c>
      <c r="C177" s="1">
        <f t="shared" si="69"/>
        <v>-0.38230295978695067</v>
      </c>
      <c r="D177" s="1">
        <f t="shared" si="74"/>
        <v>20.849829938487577</v>
      </c>
      <c r="E177">
        <v>263.67</v>
      </c>
      <c r="K177" s="1">
        <f>'Solar Availability and Gener GR'!F177</f>
        <v>0.18857829609187202</v>
      </c>
      <c r="L177" s="1">
        <v>0.39891472868217059</v>
      </c>
      <c r="M177" s="1">
        <f t="shared" si="70"/>
        <v>-0.21033643259029858</v>
      </c>
      <c r="N177" s="1" t="str">
        <f t="shared" si="71"/>
        <v>Buy from Grid</v>
      </c>
      <c r="V177" s="1" t="str">
        <f t="shared" si="83"/>
        <v>discharge</v>
      </c>
      <c r="Y177" s="1">
        <f t="shared" si="68"/>
        <v>0.10518184651162793</v>
      </c>
      <c r="AA177" s="1">
        <f t="shared" si="72"/>
        <v>50.967987973356401</v>
      </c>
      <c r="AD177" s="1">
        <f t="shared" si="73"/>
        <v>0</v>
      </c>
    </row>
    <row r="178" spans="1:30" ht="15">
      <c r="A178" s="1">
        <v>177</v>
      </c>
      <c r="B178" s="1">
        <f t="shared" si="76"/>
        <v>0</v>
      </c>
      <c r="C178" s="1">
        <f t="shared" si="69"/>
        <v>-0.21033643259029858</v>
      </c>
      <c r="D178" s="1">
        <f t="shared" si="74"/>
        <v>20.586909397749704</v>
      </c>
      <c r="E178">
        <v>170.5</v>
      </c>
      <c r="K178" s="1">
        <f>'Solar Availability and Gener GR'!F178</f>
        <v>0.47539837977387839</v>
      </c>
      <c r="L178" s="1">
        <v>0.39891472868217059</v>
      </c>
      <c r="M178" s="1">
        <f t="shared" si="70"/>
        <v>7.6483651091707794E-2</v>
      </c>
      <c r="N178" s="1" t="str">
        <f t="shared" si="71"/>
        <v>sell the surplus or charge</v>
      </c>
      <c r="O178" s="1">
        <v>0.25</v>
      </c>
      <c r="P178" s="1">
        <f t="shared" ref="P178:P189" si="84">0.25/L178</f>
        <v>0.62670034978624167</v>
      </c>
      <c r="Q178" s="1">
        <f t="shared" ref="Q178:Q189" si="85">K178-P178*L178</f>
        <v>0.22539837977387839</v>
      </c>
      <c r="R178" s="1">
        <f t="shared" ref="R178:R189" si="86">((1/(E178+0.01))*LN(0.25))+(E178*(K178-0.25))</f>
        <v>38.422293469579394</v>
      </c>
      <c r="S178" s="1">
        <f t="shared" ref="S178:S189" si="87">((1/(E178+0.01))*LN(L178))+(E178*(K178-L178))</f>
        <v>13.035072753365325</v>
      </c>
      <c r="T178" s="1">
        <f t="shared" ref="T178:T189" si="88">(S178+((S178^2)-4*(K178-L178*P178)*LN(L178*P178))^(0.5))/(2*(K178-L178*P178))</f>
        <v>57.93741823254809</v>
      </c>
      <c r="U178" s="1" t="str">
        <f t="shared" ref="U178:U189" si="89">IF(E178&gt;=T178*1.1,"sell to the Grid","charge")</f>
        <v>sell to the Grid</v>
      </c>
      <c r="W178" s="1">
        <f>(Q178*E178)/1000</f>
        <v>3.8430423751446265E-2</v>
      </c>
      <c r="Y178" s="1">
        <f t="shared" si="68"/>
        <v>6.801496124031009E-2</v>
      </c>
      <c r="AA178" s="1">
        <f t="shared" si="72"/>
        <v>51.044471624448107</v>
      </c>
      <c r="AD178" s="1">
        <f t="shared" si="73"/>
        <v>0.25</v>
      </c>
    </row>
    <row r="179" spans="1:30" ht="15">
      <c r="A179" s="1">
        <v>178</v>
      </c>
      <c r="B179" s="1">
        <f t="shared" si="76"/>
        <v>0</v>
      </c>
      <c r="C179" s="1">
        <f t="shared" si="69"/>
        <v>0</v>
      </c>
      <c r="D179" s="1">
        <f t="shared" si="74"/>
        <v>20.586909397749704</v>
      </c>
      <c r="E179">
        <v>170.14</v>
      </c>
      <c r="K179" s="1">
        <f>'Solar Availability and Gener GR'!F179</f>
        <v>0.86753761239205807</v>
      </c>
      <c r="L179" s="1">
        <v>0.39891472868217059</v>
      </c>
      <c r="M179" s="1">
        <f t="shared" si="70"/>
        <v>0.46862288370988747</v>
      </c>
      <c r="N179" s="1" t="str">
        <f t="shared" si="71"/>
        <v>sell the surplus or charge</v>
      </c>
      <c r="O179" s="1">
        <v>0.25</v>
      </c>
      <c r="P179" s="1">
        <f t="shared" si="84"/>
        <v>0.62670034978624167</v>
      </c>
      <c r="Q179" s="1">
        <f t="shared" si="85"/>
        <v>0.61753761239205807</v>
      </c>
      <c r="R179" s="1">
        <f t="shared" si="86"/>
        <v>105.05970188862854</v>
      </c>
      <c r="S179" s="1">
        <f t="shared" si="87"/>
        <v>79.726096273086654</v>
      </c>
      <c r="T179" s="1">
        <f t="shared" si="88"/>
        <v>129.12060917886586</v>
      </c>
      <c r="U179" s="1" t="str">
        <f t="shared" si="89"/>
        <v>sell to the Grid</v>
      </c>
      <c r="W179" s="1">
        <f>(Q179*E179)/1000</f>
        <v>0.10506784937238475</v>
      </c>
      <c r="Y179" s="1">
        <f t="shared" si="68"/>
        <v>6.7871351937984506E-2</v>
      </c>
      <c r="AA179" s="1">
        <f t="shared" si="72"/>
        <v>51.513094508157998</v>
      </c>
      <c r="AD179" s="1">
        <f t="shared" si="73"/>
        <v>0.25</v>
      </c>
    </row>
    <row r="180" spans="1:30" ht="15">
      <c r="A180" s="1">
        <v>179</v>
      </c>
      <c r="B180" s="1">
        <f t="shared" si="76"/>
        <v>0</v>
      </c>
      <c r="C180" s="1">
        <f t="shared" si="69"/>
        <v>0</v>
      </c>
      <c r="D180" s="1">
        <f t="shared" si="74"/>
        <v>20.586909397749704</v>
      </c>
      <c r="E180">
        <v>165</v>
      </c>
      <c r="K180" s="1">
        <f>'Solar Availability and Gener GR'!F180</f>
        <v>1.8437193982017253</v>
      </c>
      <c r="L180" s="1">
        <v>0.39891472868217059</v>
      </c>
      <c r="M180" s="1">
        <f t="shared" si="70"/>
        <v>1.4448046695195547</v>
      </c>
      <c r="N180" s="1" t="str">
        <f t="shared" si="71"/>
        <v>sell the surplus or charge</v>
      </c>
      <c r="O180" s="1">
        <v>0.25</v>
      </c>
      <c r="P180" s="1">
        <f t="shared" si="84"/>
        <v>0.62670034978624167</v>
      </c>
      <c r="Q180" s="1">
        <f t="shared" si="85"/>
        <v>1.5937193982017253</v>
      </c>
      <c r="R180" s="1">
        <f t="shared" si="86"/>
        <v>262.95529942844604</v>
      </c>
      <c r="S180" s="1">
        <f t="shared" si="87"/>
        <v>238.38720106525105</v>
      </c>
      <c r="T180" s="1">
        <f t="shared" si="88"/>
        <v>149.58497018914872</v>
      </c>
      <c r="U180" s="1" t="str">
        <f t="shared" si="89"/>
        <v>sell to the Grid</v>
      </c>
      <c r="W180" s="1">
        <f>(Q180*E180)/1000</f>
        <v>0.26296370070328462</v>
      </c>
      <c r="Y180" s="1">
        <f t="shared" si="68"/>
        <v>6.5820930232558153E-2</v>
      </c>
      <c r="AA180" s="1">
        <f t="shared" si="72"/>
        <v>52.957899177677554</v>
      </c>
      <c r="AD180" s="1">
        <f t="shared" si="73"/>
        <v>0.25</v>
      </c>
    </row>
    <row r="181" spans="1:30" ht="15">
      <c r="A181" s="1">
        <v>180</v>
      </c>
      <c r="B181" s="1">
        <f t="shared" si="76"/>
        <v>2.4645820350752228</v>
      </c>
      <c r="C181" s="1">
        <f t="shared" si="69"/>
        <v>0</v>
      </c>
      <c r="D181" s="1">
        <f t="shared" si="74"/>
        <v>22.558575025809883</v>
      </c>
      <c r="E181">
        <v>150</v>
      </c>
      <c r="K181" s="1">
        <f>'Solar Availability and Gener GR'!F181</f>
        <v>2.7145820350752228</v>
      </c>
      <c r="L181" s="1">
        <v>0.39891472868217059</v>
      </c>
      <c r="M181" s="1">
        <f t="shared" si="70"/>
        <v>2.3156673063930522</v>
      </c>
      <c r="N181" s="1" t="str">
        <f t="shared" si="71"/>
        <v>sell the surplus or charge</v>
      </c>
      <c r="O181" s="1">
        <v>0.25</v>
      </c>
      <c r="P181" s="1">
        <f t="shared" si="84"/>
        <v>0.62670034978624167</v>
      </c>
      <c r="Q181" s="1">
        <f t="shared" si="85"/>
        <v>2.4645820350752228</v>
      </c>
      <c r="R181" s="1">
        <f t="shared" si="86"/>
        <v>369.67806391496572</v>
      </c>
      <c r="S181" s="1">
        <f t="shared" si="87"/>
        <v>347.34396965006169</v>
      </c>
      <c r="T181" s="1">
        <f t="shared" si="88"/>
        <v>140.93822031130861</v>
      </c>
      <c r="U181" s="1" t="str">
        <f t="shared" si="89"/>
        <v>charge</v>
      </c>
      <c r="Y181" s="1">
        <f t="shared" si="68"/>
        <v>5.983720930232559E-2</v>
      </c>
      <c r="AA181" s="1">
        <f t="shared" si="72"/>
        <v>55.273566484070606</v>
      </c>
      <c r="AD181" s="1">
        <f t="shared" si="73"/>
        <v>0.25</v>
      </c>
    </row>
    <row r="182" spans="1:30" ht="15">
      <c r="A182" s="1">
        <v>181</v>
      </c>
      <c r="B182" s="1">
        <f t="shared" si="76"/>
        <v>2.7705377014154697</v>
      </c>
      <c r="C182" s="1">
        <f t="shared" si="69"/>
        <v>0</v>
      </c>
      <c r="D182" s="1">
        <f t="shared" si="74"/>
        <v>24.775005186942259</v>
      </c>
      <c r="E182">
        <v>160</v>
      </c>
      <c r="K182" s="1">
        <f>'Solar Availability and Gener GR'!F182</f>
        <v>3.0205377014154697</v>
      </c>
      <c r="L182" s="1">
        <v>0.39891472868217059</v>
      </c>
      <c r="M182" s="1">
        <f t="shared" si="70"/>
        <v>2.6216229727332991</v>
      </c>
      <c r="N182" s="1" t="str">
        <f t="shared" si="71"/>
        <v>sell the surplus or charge</v>
      </c>
      <c r="O182" s="1">
        <v>0.25</v>
      </c>
      <c r="P182" s="1">
        <f t="shared" si="84"/>
        <v>0.62670034978624167</v>
      </c>
      <c r="Q182" s="1">
        <f t="shared" si="85"/>
        <v>2.7705377014154697</v>
      </c>
      <c r="R182" s="1">
        <f t="shared" si="86"/>
        <v>443.27736842820559</v>
      </c>
      <c r="S182" s="1">
        <f t="shared" si="87"/>
        <v>419.45393219880833</v>
      </c>
      <c r="T182" s="1">
        <f t="shared" si="88"/>
        <v>151.40132848792646</v>
      </c>
      <c r="U182" s="1" t="str">
        <f t="shared" si="89"/>
        <v>charge</v>
      </c>
      <c r="Y182" s="1">
        <f t="shared" si="68"/>
        <v>6.3826356589147301E-2</v>
      </c>
      <c r="AA182" s="1">
        <f t="shared" si="72"/>
        <v>57.895189456803905</v>
      </c>
      <c r="AD182" s="1">
        <f t="shared" si="73"/>
        <v>0.25</v>
      </c>
    </row>
    <row r="183" spans="1:30" ht="15">
      <c r="A183" s="1">
        <v>182</v>
      </c>
      <c r="B183" s="1">
        <f t="shared" si="76"/>
        <v>2.8658417163714054</v>
      </c>
      <c r="C183" s="1">
        <f t="shared" si="69"/>
        <v>0</v>
      </c>
      <c r="D183" s="1">
        <f t="shared" si="74"/>
        <v>27.067678560039383</v>
      </c>
      <c r="E183">
        <v>152.4</v>
      </c>
      <c r="K183" s="1">
        <f>'Solar Availability and Gener GR'!F183</f>
        <v>3.1158417163714054</v>
      </c>
      <c r="L183" s="1">
        <v>0.39891472868217059</v>
      </c>
      <c r="M183" s="1">
        <f t="shared" si="70"/>
        <v>2.7169269876892348</v>
      </c>
      <c r="N183" s="1" t="str">
        <f t="shared" si="71"/>
        <v>sell the surplus or charge</v>
      </c>
      <c r="O183" s="1">
        <v>0.25</v>
      </c>
      <c r="P183" s="1">
        <f t="shared" si="84"/>
        <v>0.62670034978624167</v>
      </c>
      <c r="Q183" s="1">
        <f t="shared" si="85"/>
        <v>2.8658417163714054</v>
      </c>
      <c r="R183" s="1">
        <f t="shared" si="86"/>
        <v>436.7451817521486</v>
      </c>
      <c r="S183" s="1">
        <f t="shared" si="87"/>
        <v>414.05364308591862</v>
      </c>
      <c r="T183" s="1">
        <f t="shared" si="88"/>
        <v>144.4822425580073</v>
      </c>
      <c r="U183" s="1" t="str">
        <f t="shared" si="89"/>
        <v>charge</v>
      </c>
      <c r="Y183" s="1">
        <f t="shared" si="68"/>
        <v>6.0794604651162799E-2</v>
      </c>
      <c r="AA183" s="1">
        <f t="shared" si="72"/>
        <v>60.61211644449314</v>
      </c>
      <c r="AD183" s="1">
        <f t="shared" si="73"/>
        <v>0.25</v>
      </c>
    </row>
    <row r="184" spans="1:30" ht="15">
      <c r="A184" s="1">
        <v>183</v>
      </c>
      <c r="B184" s="1">
        <f t="shared" si="76"/>
        <v>2.7601086085640518</v>
      </c>
      <c r="C184" s="1">
        <f t="shared" si="69"/>
        <v>0</v>
      </c>
      <c r="D184" s="1">
        <f t="shared" si="74"/>
        <v>29.275765446890624</v>
      </c>
      <c r="E184">
        <v>165</v>
      </c>
      <c r="K184" s="1">
        <f>'Solar Availability and Gener GR'!F184</f>
        <v>3.0101086085640518</v>
      </c>
      <c r="L184" s="1">
        <v>0.39891472868217059</v>
      </c>
      <c r="M184" s="1">
        <f t="shared" si="70"/>
        <v>2.6111938798818812</v>
      </c>
      <c r="N184" s="1" t="str">
        <f t="shared" si="71"/>
        <v>sell the surplus or charge</v>
      </c>
      <c r="O184" s="1">
        <v>0.25</v>
      </c>
      <c r="P184" s="1">
        <f t="shared" si="84"/>
        <v>0.62670034978624167</v>
      </c>
      <c r="Q184" s="1">
        <f t="shared" si="85"/>
        <v>2.7601086085640518</v>
      </c>
      <c r="R184" s="1">
        <f t="shared" si="86"/>
        <v>455.40951913822994</v>
      </c>
      <c r="S184" s="1">
        <f t="shared" si="87"/>
        <v>430.84142077503492</v>
      </c>
      <c r="T184" s="1">
        <f t="shared" si="88"/>
        <v>156.09903911112409</v>
      </c>
      <c r="U184" s="1" t="str">
        <f t="shared" si="89"/>
        <v>charge</v>
      </c>
      <c r="Y184" s="1">
        <f t="shared" si="68"/>
        <v>6.5820930232558153E-2</v>
      </c>
      <c r="AA184" s="1">
        <f t="shared" si="72"/>
        <v>63.223310324375021</v>
      </c>
      <c r="AD184" s="1">
        <f t="shared" si="73"/>
        <v>0.25</v>
      </c>
    </row>
    <row r="185" spans="1:30" ht="15">
      <c r="A185" s="1">
        <v>184</v>
      </c>
      <c r="B185" s="1">
        <f t="shared" si="76"/>
        <v>0</v>
      </c>
      <c r="C185" s="1">
        <f t="shared" si="69"/>
        <v>0</v>
      </c>
      <c r="D185" s="1">
        <f t="shared" si="74"/>
        <v>29.275765446890624</v>
      </c>
      <c r="E185">
        <v>216</v>
      </c>
      <c r="K185" s="1">
        <f>'Solar Availability and Gener GR'!F185</f>
        <v>2.732048428736757</v>
      </c>
      <c r="L185" s="1">
        <v>0.65627906976744199</v>
      </c>
      <c r="M185" s="1">
        <f t="shared" si="70"/>
        <v>2.0757693589693149</v>
      </c>
      <c r="N185" s="1" t="str">
        <f t="shared" si="71"/>
        <v>sell the surplus or charge</v>
      </c>
      <c r="O185" s="1">
        <v>0.25</v>
      </c>
      <c r="P185" s="1">
        <f t="shared" si="84"/>
        <v>0.38093550673281351</v>
      </c>
      <c r="Q185" s="1">
        <f t="shared" si="85"/>
        <v>2.482048428736757</v>
      </c>
      <c r="R185" s="1">
        <f t="shared" si="86"/>
        <v>536.11604287480714</v>
      </c>
      <c r="S185" s="1">
        <f t="shared" si="87"/>
        <v>448.36423177037386</v>
      </c>
      <c r="T185" s="1">
        <f t="shared" si="88"/>
        <v>180.64591354332103</v>
      </c>
      <c r="U185" s="1" t="str">
        <f t="shared" si="89"/>
        <v>sell to the Grid</v>
      </c>
      <c r="W185" s="1">
        <f>(Q185*E185)/1000</f>
        <v>0.53612246060713953</v>
      </c>
      <c r="Y185" s="1">
        <f t="shared" si="68"/>
        <v>0.14175627906976745</v>
      </c>
      <c r="AA185" s="1">
        <f t="shared" si="72"/>
        <v>65.299079683344331</v>
      </c>
      <c r="AD185" s="1">
        <f t="shared" si="73"/>
        <v>0.25</v>
      </c>
    </row>
    <row r="186" spans="1:30" ht="15">
      <c r="A186" s="1">
        <v>185</v>
      </c>
      <c r="B186" s="1">
        <f t="shared" si="76"/>
        <v>0</v>
      </c>
      <c r="C186" s="1">
        <f t="shared" si="69"/>
        <v>0</v>
      </c>
      <c r="D186" s="1">
        <f t="shared" si="74"/>
        <v>29.275765446890624</v>
      </c>
      <c r="E186">
        <v>244.56</v>
      </c>
      <c r="K186" s="1">
        <f>'Solar Availability and Gener GR'!F186</f>
        <v>2.2528977120982803</v>
      </c>
      <c r="L186" s="1">
        <v>0.66914728682170543</v>
      </c>
      <c r="M186" s="1">
        <f t="shared" si="70"/>
        <v>1.5837504252765748</v>
      </c>
      <c r="N186" s="1" t="str">
        <f t="shared" si="71"/>
        <v>sell the surplus or charge</v>
      </c>
      <c r="O186" s="1">
        <v>0.25</v>
      </c>
      <c r="P186" s="1">
        <f t="shared" si="84"/>
        <v>0.3736098239110287</v>
      </c>
      <c r="Q186" s="1">
        <f t="shared" si="85"/>
        <v>2.0028977120982803</v>
      </c>
      <c r="R186" s="1">
        <f t="shared" si="86"/>
        <v>489.82299617799214</v>
      </c>
      <c r="S186" s="1">
        <f t="shared" si="87"/>
        <v>387.32036132222169</v>
      </c>
      <c r="T186" s="1">
        <f t="shared" si="88"/>
        <v>193.38358000390465</v>
      </c>
      <c r="U186" s="1" t="str">
        <f t="shared" si="89"/>
        <v>sell to the Grid</v>
      </c>
      <c r="W186" s="1">
        <f>(Q186*E186)/1000</f>
        <v>0.4898286644707554</v>
      </c>
      <c r="Y186" s="1">
        <f t="shared" si="68"/>
        <v>0.16364666046511628</v>
      </c>
      <c r="AA186" s="1">
        <f t="shared" si="72"/>
        <v>66.882830108620908</v>
      </c>
      <c r="AD186" s="1">
        <f t="shared" si="73"/>
        <v>0.25</v>
      </c>
    </row>
    <row r="187" spans="1:30" ht="15">
      <c r="A187" s="1">
        <v>186</v>
      </c>
      <c r="B187" s="1">
        <f t="shared" si="76"/>
        <v>0</v>
      </c>
      <c r="C187" s="1">
        <f t="shared" si="69"/>
        <v>0</v>
      </c>
      <c r="D187" s="1">
        <f t="shared" si="74"/>
        <v>29.275765446890624</v>
      </c>
      <c r="E187">
        <v>328.16</v>
      </c>
      <c r="K187" s="1">
        <f>'Solar Availability and Gener GR'!F187</f>
        <v>1.6588800854624735</v>
      </c>
      <c r="L187" s="1">
        <v>0.65627906976744199</v>
      </c>
      <c r="M187" s="1">
        <f t="shared" si="70"/>
        <v>1.0026010156950314</v>
      </c>
      <c r="N187" s="1" t="str">
        <f t="shared" si="71"/>
        <v>sell the surplus or charge</v>
      </c>
      <c r="O187" s="1">
        <v>0.25</v>
      </c>
      <c r="P187" s="1">
        <f t="shared" si="84"/>
        <v>0.38093550673281351</v>
      </c>
      <c r="Q187" s="1">
        <f t="shared" si="85"/>
        <v>1.4088800854624735</v>
      </c>
      <c r="R187" s="1">
        <f t="shared" si="86"/>
        <v>462.33386452759981</v>
      </c>
      <c r="S187" s="1">
        <f t="shared" si="87"/>
        <v>329.01226592330636</v>
      </c>
      <c r="T187" s="1">
        <f t="shared" si="88"/>
        <v>233.53172887633448</v>
      </c>
      <c r="U187" s="1" t="str">
        <f t="shared" si="89"/>
        <v>sell to the Grid</v>
      </c>
      <c r="W187" s="1">
        <f>(Q187*E187)/1000</f>
        <v>0.46233808884536537</v>
      </c>
      <c r="Y187" s="1">
        <f t="shared" si="68"/>
        <v>0.2153645395348838</v>
      </c>
      <c r="AA187" s="1">
        <f t="shared" si="72"/>
        <v>67.885431124315943</v>
      </c>
      <c r="AD187" s="1">
        <f t="shared" si="73"/>
        <v>0.25</v>
      </c>
    </row>
    <row r="188" spans="1:30" ht="15">
      <c r="A188" s="1">
        <v>187</v>
      </c>
      <c r="B188" s="1">
        <f t="shared" si="76"/>
        <v>0</v>
      </c>
      <c r="C188" s="1">
        <f t="shared" si="69"/>
        <v>0</v>
      </c>
      <c r="D188" s="1">
        <f t="shared" si="74"/>
        <v>29.275765446890624</v>
      </c>
      <c r="E188">
        <v>293.60000000000002</v>
      </c>
      <c r="K188" s="1">
        <f>'Solar Availability and Gener GR'!F188</f>
        <v>1.6588800854624735</v>
      </c>
      <c r="L188" s="1">
        <v>0.66914728682170543</v>
      </c>
      <c r="M188" s="1">
        <f t="shared" si="70"/>
        <v>0.98973279864076802</v>
      </c>
      <c r="N188" s="1" t="str">
        <f t="shared" si="71"/>
        <v>sell the surplus or charge</v>
      </c>
      <c r="O188" s="1">
        <v>0.25</v>
      </c>
      <c r="P188" s="1">
        <f t="shared" si="84"/>
        <v>0.3736098239110287</v>
      </c>
      <c r="Q188" s="1">
        <f t="shared" si="85"/>
        <v>1.4088800854624735</v>
      </c>
      <c r="R188" s="1">
        <f t="shared" si="86"/>
        <v>413.64247154155873</v>
      </c>
      <c r="S188" s="1">
        <f t="shared" si="87"/>
        <v>290.58418136553354</v>
      </c>
      <c r="T188" s="1">
        <f t="shared" si="88"/>
        <v>206.25666128304661</v>
      </c>
      <c r="U188" s="1" t="str">
        <f t="shared" si="89"/>
        <v>sell to the Grid</v>
      </c>
      <c r="W188" s="1">
        <f>(Q188*E188)/1000</f>
        <v>0.41364719309178222</v>
      </c>
      <c r="Y188" s="1">
        <f t="shared" si="68"/>
        <v>0.19646164341085273</v>
      </c>
      <c r="AA188" s="1">
        <f t="shared" si="72"/>
        <v>68.875163922956716</v>
      </c>
      <c r="AD188" s="1">
        <f t="shared" si="73"/>
        <v>0.25</v>
      </c>
    </row>
    <row r="189" spans="1:30" ht="15">
      <c r="A189" s="1">
        <v>188</v>
      </c>
      <c r="B189" s="1">
        <f t="shared" si="76"/>
        <v>0</v>
      </c>
      <c r="C189" s="1">
        <f t="shared" si="69"/>
        <v>0</v>
      </c>
      <c r="D189" s="1">
        <f t="shared" si="74"/>
        <v>29.275765446890624</v>
      </c>
      <c r="E189">
        <v>341.35</v>
      </c>
      <c r="K189" s="1">
        <f>'Solar Availability and Gener GR'!F189</f>
        <v>0.89248197275883356</v>
      </c>
      <c r="L189" s="1">
        <v>0.39891472868217059</v>
      </c>
      <c r="M189" s="1">
        <f t="shared" si="70"/>
        <v>0.49356724407666297</v>
      </c>
      <c r="N189" s="1" t="str">
        <f t="shared" si="71"/>
        <v>sell the surplus or charge</v>
      </c>
      <c r="O189" s="1">
        <v>0.25</v>
      </c>
      <c r="P189" s="1">
        <f t="shared" si="84"/>
        <v>0.62670034978624167</v>
      </c>
      <c r="Q189" s="1">
        <f t="shared" si="85"/>
        <v>0.64248197275883356</v>
      </c>
      <c r="R189" s="1">
        <f t="shared" si="86"/>
        <v>219.30716030923955</v>
      </c>
      <c r="S189" s="1">
        <f t="shared" si="87"/>
        <v>168.47648657082581</v>
      </c>
      <c r="T189" s="1">
        <f t="shared" si="88"/>
        <v>262.23579828932651</v>
      </c>
      <c r="U189" s="1" t="str">
        <f t="shared" si="89"/>
        <v>sell to the Grid</v>
      </c>
      <c r="W189" s="1">
        <f>(Q189*E189)/1000</f>
        <v>0.21931122140122783</v>
      </c>
      <c r="Y189" s="1">
        <f t="shared" si="68"/>
        <v>0.13616954263565892</v>
      </c>
      <c r="AA189" s="1">
        <f t="shared" si="72"/>
        <v>69.368731167033374</v>
      </c>
      <c r="AD189" s="1">
        <f t="shared" si="73"/>
        <v>0.25</v>
      </c>
    </row>
    <row r="190" spans="1:30" ht="15">
      <c r="A190" s="1">
        <v>189</v>
      </c>
      <c r="B190" s="1">
        <f t="shared" si="76"/>
        <v>0</v>
      </c>
      <c r="C190" s="1">
        <f t="shared" si="69"/>
        <v>0</v>
      </c>
      <c r="D190" s="1">
        <f t="shared" si="74"/>
        <v>29.275765446890624</v>
      </c>
      <c r="E190">
        <v>310.06</v>
      </c>
      <c r="K190" s="1">
        <f>'Solar Availability and Gener GR'!F190</f>
        <v>0.26016647378260532</v>
      </c>
      <c r="L190" s="1">
        <v>0.39891472868217059</v>
      </c>
      <c r="M190" s="1">
        <f t="shared" si="70"/>
        <v>-0.13874825489956527</v>
      </c>
      <c r="N190" s="1" t="str">
        <f t="shared" si="71"/>
        <v>Buy from Grid</v>
      </c>
      <c r="V190" s="1" t="str">
        <f t="shared" ref="V190:V202" si="90">IF(D190+M190&gt;0,"discharge","buy from the Grid")</f>
        <v>discharge</v>
      </c>
      <c r="Y190" s="1">
        <f t="shared" si="68"/>
        <v>0.12368750077519382</v>
      </c>
      <c r="AA190" s="1">
        <f t="shared" si="72"/>
        <v>69.229982912133806</v>
      </c>
      <c r="AD190" s="1">
        <f t="shared" si="73"/>
        <v>0</v>
      </c>
    </row>
    <row r="191" spans="1:30" ht="15">
      <c r="A191" s="1">
        <v>190</v>
      </c>
      <c r="B191" s="1">
        <f t="shared" si="76"/>
        <v>0</v>
      </c>
      <c r="C191" s="1">
        <f t="shared" si="69"/>
        <v>-0.13874825489956527</v>
      </c>
      <c r="D191" s="1">
        <f t="shared" si="74"/>
        <v>29.102330128266168</v>
      </c>
      <c r="E191">
        <v>270.10000000000002</v>
      </c>
      <c r="K191" s="1">
        <f>'Solar Availability and Gener GR'!F191</f>
        <v>1.0856405234577132E-2</v>
      </c>
      <c r="L191" s="1">
        <v>0.39891472868217059</v>
      </c>
      <c r="M191" s="1">
        <f t="shared" si="70"/>
        <v>-0.38805832344759345</v>
      </c>
      <c r="N191" s="1" t="str">
        <f t="shared" si="71"/>
        <v>Buy from Grid</v>
      </c>
      <c r="V191" s="1" t="str">
        <f t="shared" si="90"/>
        <v>discharge</v>
      </c>
      <c r="Y191" s="1">
        <f t="shared" si="68"/>
        <v>0.10774686821705429</v>
      </c>
      <c r="AA191" s="1">
        <f t="shared" si="72"/>
        <v>68.841924588686211</v>
      </c>
      <c r="AD191" s="1">
        <f t="shared" si="73"/>
        <v>0</v>
      </c>
    </row>
    <row r="192" spans="1:30" ht="15">
      <c r="A192" s="1">
        <v>191</v>
      </c>
      <c r="B192" s="1">
        <f t="shared" si="76"/>
        <v>0</v>
      </c>
      <c r="C192" s="1">
        <f t="shared" si="69"/>
        <v>-0.38805832344759345</v>
      </c>
      <c r="D192" s="1">
        <f t="shared" si="74"/>
        <v>28.617257223956678</v>
      </c>
      <c r="E192">
        <v>264.81</v>
      </c>
      <c r="K192" s="1">
        <f>'Solar Availability and Gener GR'!F192</f>
        <v>0</v>
      </c>
      <c r="L192" s="1">
        <v>0.29596899224806206</v>
      </c>
      <c r="M192" s="1">
        <f t="shared" si="70"/>
        <v>-0.29596899224806206</v>
      </c>
      <c r="N192" s="1" t="str">
        <f t="shared" si="71"/>
        <v>Buy from Grid</v>
      </c>
      <c r="V192" s="1" t="str">
        <f t="shared" si="90"/>
        <v>discharge</v>
      </c>
      <c r="Y192" s="1">
        <f t="shared" si="68"/>
        <v>7.8375548837209305E-2</v>
      </c>
      <c r="AA192" s="1">
        <f t="shared" si="72"/>
        <v>68.545955596438148</v>
      </c>
      <c r="AD192" s="1">
        <f t="shared" si="73"/>
        <v>0</v>
      </c>
    </row>
    <row r="193" spans="1:30" ht="15">
      <c r="A193" s="1">
        <v>192</v>
      </c>
      <c r="B193" s="1">
        <f t="shared" si="76"/>
        <v>0</v>
      </c>
      <c r="C193" s="1">
        <f t="shared" si="69"/>
        <v>-0.29596899224806206</v>
      </c>
      <c r="D193" s="1">
        <f t="shared" si="74"/>
        <v>28.247295983646602</v>
      </c>
      <c r="E193">
        <v>211.47</v>
      </c>
      <c r="K193" s="1">
        <f>'Solar Availability and Gener GR'!F193</f>
        <v>0</v>
      </c>
      <c r="L193" s="1">
        <v>0.30883720930232561</v>
      </c>
      <c r="M193" s="1">
        <f t="shared" si="70"/>
        <v>-0.30883720930232561</v>
      </c>
      <c r="N193" s="1" t="str">
        <f t="shared" si="71"/>
        <v>Buy from Grid</v>
      </c>
      <c r="V193" s="1" t="str">
        <f t="shared" si="90"/>
        <v>discharge</v>
      </c>
      <c r="Y193" s="1">
        <f t="shared" si="68"/>
        <v>6.5309804651162789E-2</v>
      </c>
      <c r="AA193" s="1">
        <f t="shared" si="72"/>
        <v>68.237118387135823</v>
      </c>
      <c r="AD193" s="1">
        <f t="shared" si="73"/>
        <v>0</v>
      </c>
    </row>
    <row r="194" spans="1:30" ht="15">
      <c r="A194" s="1">
        <v>193</v>
      </c>
      <c r="B194" s="1">
        <f t="shared" si="76"/>
        <v>0</v>
      </c>
      <c r="C194" s="1">
        <f t="shared" si="69"/>
        <v>-0.30883720930232561</v>
      </c>
      <c r="D194" s="1">
        <f t="shared" si="74"/>
        <v>27.861249472018695</v>
      </c>
      <c r="E194">
        <v>164.67</v>
      </c>
      <c r="K194" s="1">
        <f>'Solar Availability and Gener GR'!F194</f>
        <v>0</v>
      </c>
      <c r="L194" s="1">
        <v>0.29596899224806206</v>
      </c>
      <c r="M194" s="1">
        <f t="shared" si="70"/>
        <v>-0.29596899224806206</v>
      </c>
      <c r="N194" s="1" t="str">
        <f t="shared" si="71"/>
        <v>Buy from Grid</v>
      </c>
      <c r="V194" s="1" t="str">
        <f t="shared" si="90"/>
        <v>discharge</v>
      </c>
      <c r="Y194" s="1">
        <f t="shared" ref="Y194:Y257" si="91">(L194*E194)/1000</f>
        <v>4.873721395348838E-2</v>
      </c>
      <c r="AA194" s="1">
        <f t="shared" si="72"/>
        <v>67.941149394887759</v>
      </c>
      <c r="AD194" s="1">
        <f t="shared" si="73"/>
        <v>0</v>
      </c>
    </row>
    <row r="195" spans="1:30" ht="15">
      <c r="A195" s="1">
        <v>194</v>
      </c>
      <c r="B195" s="1">
        <f t="shared" si="76"/>
        <v>0</v>
      </c>
      <c r="C195" s="1">
        <f t="shared" ref="C195:C258" si="92">IF(V194="discharge",M194,0)</f>
        <v>-0.29596899224806206</v>
      </c>
      <c r="D195" s="1">
        <f t="shared" si="74"/>
        <v>27.491288231708619</v>
      </c>
      <c r="E195">
        <v>150</v>
      </c>
      <c r="K195" s="1">
        <f>'Solar Availability and Gener GR'!F195</f>
        <v>0</v>
      </c>
      <c r="L195" s="1">
        <v>0.29596899224806206</v>
      </c>
      <c r="M195" s="1">
        <f t="shared" ref="M195:M258" si="93">K195-L195</f>
        <v>-0.29596899224806206</v>
      </c>
      <c r="N195" s="1" t="str">
        <f t="shared" ref="N195:N258" si="94">IF(M195&lt;0,"Buy from Grid","sell the surplus or charge")</f>
        <v>Buy from Grid</v>
      </c>
      <c r="V195" s="1" t="str">
        <f t="shared" si="90"/>
        <v>discharge</v>
      </c>
      <c r="Y195" s="1">
        <f t="shared" si="91"/>
        <v>4.439534883720931E-2</v>
      </c>
      <c r="AA195" s="1">
        <f t="shared" ref="AA195:AA258" si="95">M195+AA194</f>
        <v>67.645180402639696</v>
      </c>
      <c r="AD195" s="1">
        <f t="shared" ref="AD195:AD258" si="96">AC195+O195</f>
        <v>0</v>
      </c>
    </row>
    <row r="196" spans="1:30" ht="15">
      <c r="A196" s="1">
        <v>195</v>
      </c>
      <c r="B196" s="1">
        <f t="shared" si="76"/>
        <v>0</v>
      </c>
      <c r="C196" s="1">
        <f t="shared" si="92"/>
        <v>-0.29596899224806206</v>
      </c>
      <c r="D196" s="1">
        <f t="shared" ref="D196:D259" si="97">(D195)+(B196*0.8)+(C196/0.8)</f>
        <v>27.121326991398544</v>
      </c>
      <c r="E196">
        <v>151.04</v>
      </c>
      <c r="K196" s="1">
        <f>'Solar Availability and Gener GR'!F196</f>
        <v>0</v>
      </c>
      <c r="L196" s="1">
        <v>0.29596899224806206</v>
      </c>
      <c r="M196" s="1">
        <f t="shared" si="93"/>
        <v>-0.29596899224806206</v>
      </c>
      <c r="N196" s="1" t="str">
        <f t="shared" si="94"/>
        <v>Buy from Grid</v>
      </c>
      <c r="V196" s="1" t="str">
        <f t="shared" si="90"/>
        <v>discharge</v>
      </c>
      <c r="Y196" s="1">
        <f t="shared" si="91"/>
        <v>4.4703156589147294E-2</v>
      </c>
      <c r="AA196" s="1">
        <f t="shared" si="95"/>
        <v>67.349211410391632</v>
      </c>
      <c r="AD196" s="1">
        <f t="shared" si="96"/>
        <v>0</v>
      </c>
    </row>
    <row r="197" spans="1:30" ht="15">
      <c r="A197" s="1">
        <v>196</v>
      </c>
      <c r="B197" s="1">
        <f t="shared" si="76"/>
        <v>0</v>
      </c>
      <c r="C197" s="1">
        <f t="shared" si="92"/>
        <v>-0.29596899224806206</v>
      </c>
      <c r="D197" s="1">
        <f t="shared" si="97"/>
        <v>26.751365751088468</v>
      </c>
      <c r="E197">
        <v>100</v>
      </c>
      <c r="K197" s="1">
        <f>'Solar Availability and Gener GR'!F197</f>
        <v>0</v>
      </c>
      <c r="L197" s="1">
        <v>0.39891472868217059</v>
      </c>
      <c r="M197" s="1">
        <f t="shared" si="93"/>
        <v>-0.39891472868217059</v>
      </c>
      <c r="N197" s="1" t="str">
        <f t="shared" si="94"/>
        <v>Buy from Grid</v>
      </c>
      <c r="V197" s="1" t="str">
        <f t="shared" si="90"/>
        <v>discharge</v>
      </c>
      <c r="Y197" s="1">
        <f t="shared" si="91"/>
        <v>3.9891472868217058E-2</v>
      </c>
      <c r="AA197" s="1">
        <f t="shared" si="95"/>
        <v>66.95029668170946</v>
      </c>
      <c r="AD197" s="1">
        <f t="shared" si="96"/>
        <v>0</v>
      </c>
    </row>
    <row r="198" spans="1:30" ht="15">
      <c r="A198" s="1">
        <v>197</v>
      </c>
      <c r="B198" s="1">
        <f t="shared" si="76"/>
        <v>0</v>
      </c>
      <c r="C198" s="1">
        <f t="shared" si="92"/>
        <v>-0.39891472868217059</v>
      </c>
      <c r="D198" s="1">
        <f t="shared" si="97"/>
        <v>26.252722340235753</v>
      </c>
      <c r="E198">
        <v>152.37</v>
      </c>
      <c r="K198" s="1">
        <f>'Solar Availability and Gener GR'!F198</f>
        <v>0</v>
      </c>
      <c r="L198" s="1">
        <v>0.66914728682170543</v>
      </c>
      <c r="M198" s="1">
        <f t="shared" si="93"/>
        <v>-0.66914728682170543</v>
      </c>
      <c r="N198" s="1" t="str">
        <f t="shared" si="94"/>
        <v>Buy from Grid</v>
      </c>
      <c r="V198" s="1" t="str">
        <f t="shared" si="90"/>
        <v>discharge</v>
      </c>
      <c r="Y198" s="1">
        <f t="shared" si="91"/>
        <v>0.10195797209302326</v>
      </c>
      <c r="AA198" s="1">
        <f t="shared" si="95"/>
        <v>66.281149394887748</v>
      </c>
      <c r="AD198" s="1">
        <f t="shared" si="96"/>
        <v>0</v>
      </c>
    </row>
    <row r="199" spans="1:30" ht="15">
      <c r="A199" s="1">
        <v>198</v>
      </c>
      <c r="B199" s="1">
        <f t="shared" si="76"/>
        <v>0</v>
      </c>
      <c r="C199" s="1">
        <f t="shared" si="92"/>
        <v>-0.66914728682170543</v>
      </c>
      <c r="D199" s="1">
        <f t="shared" si="97"/>
        <v>25.41628823170862</v>
      </c>
      <c r="E199">
        <v>276.68</v>
      </c>
      <c r="K199" s="1">
        <f>'Solar Availability and Gener GR'!F199</f>
        <v>0</v>
      </c>
      <c r="L199" s="1">
        <v>0.65627906976744199</v>
      </c>
      <c r="M199" s="1">
        <f t="shared" si="93"/>
        <v>-0.65627906976744199</v>
      </c>
      <c r="N199" s="1" t="str">
        <f t="shared" si="94"/>
        <v>Buy from Grid</v>
      </c>
      <c r="V199" s="1" t="str">
        <f t="shared" si="90"/>
        <v>discharge</v>
      </c>
      <c r="Y199" s="1">
        <f t="shared" si="91"/>
        <v>0.18157929302325584</v>
      </c>
      <c r="AA199" s="1">
        <f t="shared" si="95"/>
        <v>65.624870325120312</v>
      </c>
      <c r="AD199" s="1">
        <f t="shared" si="96"/>
        <v>0</v>
      </c>
    </row>
    <row r="200" spans="1:30" ht="15">
      <c r="A200" s="1">
        <v>199</v>
      </c>
      <c r="B200" s="1">
        <f t="shared" si="76"/>
        <v>0</v>
      </c>
      <c r="C200" s="1">
        <f t="shared" si="92"/>
        <v>-0.65627906976744199</v>
      </c>
      <c r="D200" s="1">
        <f t="shared" si="97"/>
        <v>24.595939394499318</v>
      </c>
      <c r="E200">
        <v>351.1</v>
      </c>
      <c r="K200" s="1">
        <f>'Solar Availability and Gener GR'!F200</f>
        <v>1.6611768895219918E-2</v>
      </c>
      <c r="L200" s="1">
        <v>0.65627906976744199</v>
      </c>
      <c r="M200" s="1">
        <f t="shared" si="93"/>
        <v>-0.63966730087222212</v>
      </c>
      <c r="N200" s="1" t="str">
        <f t="shared" si="94"/>
        <v>Buy from Grid</v>
      </c>
      <c r="V200" s="1" t="str">
        <f t="shared" si="90"/>
        <v>discharge</v>
      </c>
      <c r="Y200" s="1">
        <f t="shared" si="91"/>
        <v>0.2304195813953489</v>
      </c>
      <c r="AA200" s="1">
        <f t="shared" si="95"/>
        <v>64.985203024248094</v>
      </c>
      <c r="AD200" s="1">
        <f t="shared" si="96"/>
        <v>0</v>
      </c>
    </row>
    <row r="201" spans="1:30" ht="15">
      <c r="A201" s="1">
        <v>200</v>
      </c>
      <c r="B201" s="1">
        <f t="shared" si="76"/>
        <v>0</v>
      </c>
      <c r="C201" s="1">
        <f t="shared" si="92"/>
        <v>-0.63966730087222212</v>
      </c>
      <c r="D201" s="1">
        <f t="shared" si="97"/>
        <v>23.796355268409041</v>
      </c>
      <c r="E201">
        <v>351.25</v>
      </c>
      <c r="K201" s="1">
        <f>'Solar Availability and Gener GR'!F201</f>
        <v>7.3684679070595324E-2</v>
      </c>
      <c r="L201" s="1">
        <v>0.39891472868217059</v>
      </c>
      <c r="M201" s="1">
        <f t="shared" si="93"/>
        <v>-0.32523004961157526</v>
      </c>
      <c r="N201" s="1" t="str">
        <f t="shared" si="94"/>
        <v>Buy from Grid</v>
      </c>
      <c r="V201" s="1" t="str">
        <f t="shared" si="90"/>
        <v>discharge</v>
      </c>
      <c r="Y201" s="1">
        <f t="shared" si="91"/>
        <v>0.14011879844961242</v>
      </c>
      <c r="AA201" s="1">
        <f t="shared" si="95"/>
        <v>64.659972974636517</v>
      </c>
      <c r="AD201" s="1">
        <f t="shared" si="96"/>
        <v>0</v>
      </c>
    </row>
    <row r="202" spans="1:30" ht="15">
      <c r="A202" s="1">
        <v>201</v>
      </c>
      <c r="B202" s="1">
        <f t="shared" si="76"/>
        <v>0</v>
      </c>
      <c r="C202" s="1">
        <f t="shared" si="92"/>
        <v>-0.32523004961157526</v>
      </c>
      <c r="D202" s="1">
        <f t="shared" si="97"/>
        <v>23.38981770639457</v>
      </c>
      <c r="E202">
        <v>283.37</v>
      </c>
      <c r="K202" s="1">
        <f>'Solar Availability and Gener GR'!F202</f>
        <v>0.29347013264488564</v>
      </c>
      <c r="L202" s="1">
        <v>0.39891472868217059</v>
      </c>
      <c r="M202" s="1">
        <f t="shared" si="93"/>
        <v>-0.10544459603728495</v>
      </c>
      <c r="N202" s="1" t="str">
        <f t="shared" si="94"/>
        <v>Buy from Grid</v>
      </c>
      <c r="V202" s="1" t="str">
        <f t="shared" si="90"/>
        <v>discharge</v>
      </c>
      <c r="Y202" s="1">
        <f t="shared" si="91"/>
        <v>0.11304046666666669</v>
      </c>
      <c r="AA202" s="1">
        <f t="shared" si="95"/>
        <v>64.55452837859923</v>
      </c>
      <c r="AD202" s="1">
        <f t="shared" si="96"/>
        <v>0</v>
      </c>
    </row>
    <row r="203" spans="1:30" ht="15">
      <c r="A203" s="1">
        <v>202</v>
      </c>
      <c r="B203" s="1">
        <f t="shared" si="76"/>
        <v>0</v>
      </c>
      <c r="C203" s="1">
        <f t="shared" si="92"/>
        <v>-0.10544459603728495</v>
      </c>
      <c r="D203" s="1">
        <f t="shared" si="97"/>
        <v>23.258011961347965</v>
      </c>
      <c r="E203">
        <v>193.39</v>
      </c>
      <c r="K203" s="1">
        <f>'Solar Availability and Gener GR'!F203</f>
        <v>0.74304282026172608</v>
      </c>
      <c r="L203" s="1">
        <v>0.39891472868217059</v>
      </c>
      <c r="M203" s="1">
        <f t="shared" si="93"/>
        <v>0.34412809157955548</v>
      </c>
      <c r="N203" s="1" t="str">
        <f t="shared" si="94"/>
        <v>sell the surplus or charge</v>
      </c>
      <c r="O203" s="1">
        <v>0.25</v>
      </c>
      <c r="P203" s="1">
        <f t="shared" ref="P203:P211" si="98">0.25/L203</f>
        <v>0.62670034978624167</v>
      </c>
      <c r="Q203" s="1">
        <f t="shared" ref="Q203:Q211" si="99">K203-P203*L203</f>
        <v>0.49304282026172608</v>
      </c>
      <c r="R203" s="1">
        <f t="shared" ref="R203:R211" si="100">((1/(E203+0.01))*LN(0.25))+(E203*(K203-0.25))</f>
        <v>95.342382994070221</v>
      </c>
      <c r="S203" s="1">
        <f t="shared" ref="S203:S211" si="101">((1/(E203+0.01))*LN(L203))+(E203*(K203-L203))</f>
        <v>66.546179781565542</v>
      </c>
      <c r="T203" s="1">
        <f t="shared" ref="T203:T211" si="102">(S203+((S203^2)-4*(K203-L203*P203)*LN(L203*P203))^(0.5))/(2*(K203-L203*P203))</f>
        <v>134.99121488401809</v>
      </c>
      <c r="U203" s="1" t="str">
        <f t="shared" ref="U203:U211" si="103">IF(E203&gt;=T203*1.1,"sell to the Grid","charge")</f>
        <v>sell to the Grid</v>
      </c>
      <c r="W203" s="1">
        <f>(Q203*E203)/1000</f>
        <v>9.5349551010415201E-2</v>
      </c>
      <c r="Y203" s="1">
        <f t="shared" si="91"/>
        <v>7.714611937984496E-2</v>
      </c>
      <c r="AA203" s="1">
        <f t="shared" si="95"/>
        <v>64.898656470178778</v>
      </c>
      <c r="AD203" s="1">
        <f t="shared" si="96"/>
        <v>0.25</v>
      </c>
    </row>
    <row r="204" spans="1:30" ht="15">
      <c r="A204" s="1">
        <v>203</v>
      </c>
      <c r="B204" s="1">
        <f t="shared" si="76"/>
        <v>0</v>
      </c>
      <c r="C204" s="1">
        <f t="shared" si="92"/>
        <v>0</v>
      </c>
      <c r="D204" s="1">
        <f t="shared" si="97"/>
        <v>23.258011961347965</v>
      </c>
      <c r="E204">
        <v>180.8</v>
      </c>
      <c r="K204" s="1">
        <f>'Solar Availability and Gener GR'!F204</f>
        <v>1.7000890234131563</v>
      </c>
      <c r="L204" s="1">
        <v>0.39891472868217059</v>
      </c>
      <c r="M204" s="1">
        <f t="shared" si="93"/>
        <v>1.3011742947309857</v>
      </c>
      <c r="N204" s="1" t="str">
        <f t="shared" si="94"/>
        <v>sell the surplus or charge</v>
      </c>
      <c r="O204" s="1">
        <v>0.25</v>
      </c>
      <c r="P204" s="1">
        <f t="shared" si="98"/>
        <v>0.62670034978624167</v>
      </c>
      <c r="Q204" s="1">
        <f t="shared" si="99"/>
        <v>1.4500890234131563</v>
      </c>
      <c r="R204" s="1">
        <f t="shared" si="100"/>
        <v>262.1684282998587</v>
      </c>
      <c r="S204" s="1">
        <f t="shared" si="101"/>
        <v>235.24722976186303</v>
      </c>
      <c r="T204" s="1">
        <f t="shared" si="102"/>
        <v>162.23540135770193</v>
      </c>
      <c r="U204" s="1" t="str">
        <f t="shared" si="103"/>
        <v>sell to the Grid</v>
      </c>
      <c r="W204" s="1">
        <f>(Q204*E204)/1000</f>
        <v>0.26217609543309867</v>
      </c>
      <c r="Y204" s="1">
        <f t="shared" si="91"/>
        <v>7.2123782945736445E-2</v>
      </c>
      <c r="AA204" s="1">
        <f t="shared" si="95"/>
        <v>66.199830764909763</v>
      </c>
      <c r="AD204" s="1">
        <f t="shared" si="96"/>
        <v>0.25</v>
      </c>
    </row>
    <row r="205" spans="1:30" ht="15">
      <c r="A205" s="1">
        <v>204</v>
      </c>
      <c r="B205" s="1">
        <f t="shared" si="76"/>
        <v>2.0815899581589932</v>
      </c>
      <c r="C205" s="1">
        <f t="shared" si="92"/>
        <v>0</v>
      </c>
      <c r="D205" s="1">
        <f t="shared" si="97"/>
        <v>24.923283927875158</v>
      </c>
      <c r="E205">
        <v>178.89</v>
      </c>
      <c r="K205" s="1">
        <f>'Solar Availability and Gener GR'!F205</f>
        <v>2.3315899581589932</v>
      </c>
      <c r="L205" s="1">
        <v>0.39891472868217059</v>
      </c>
      <c r="M205" s="1">
        <f t="shared" si="93"/>
        <v>1.9326752294768226</v>
      </c>
      <c r="N205" s="1" t="str">
        <f t="shared" si="94"/>
        <v>sell the surplus or charge</v>
      </c>
      <c r="O205" s="1">
        <v>0.25</v>
      </c>
      <c r="P205" s="1">
        <f t="shared" si="98"/>
        <v>0.62670034978624167</v>
      </c>
      <c r="Q205" s="1">
        <f t="shared" si="99"/>
        <v>2.0815899581589932</v>
      </c>
      <c r="R205" s="1">
        <f t="shared" si="100"/>
        <v>372.36787862478212</v>
      </c>
      <c r="S205" s="1">
        <f t="shared" si="101"/>
        <v>345.73113481062524</v>
      </c>
      <c r="T205" s="1">
        <f t="shared" si="102"/>
        <v>166.09394175012386</v>
      </c>
      <c r="U205" s="1" t="str">
        <f t="shared" si="103"/>
        <v>charge</v>
      </c>
      <c r="Y205" s="1">
        <f t="shared" si="91"/>
        <v>7.1361855813953504E-2</v>
      </c>
      <c r="AA205" s="1">
        <f t="shared" si="95"/>
        <v>68.132505994386591</v>
      </c>
      <c r="AD205" s="1">
        <f t="shared" si="96"/>
        <v>0.25</v>
      </c>
    </row>
    <row r="206" spans="1:30" ht="15">
      <c r="A206" s="1">
        <v>205</v>
      </c>
      <c r="B206" s="1">
        <f t="shared" si="76"/>
        <v>2.3013754117332827</v>
      </c>
      <c r="C206" s="1">
        <f t="shared" si="92"/>
        <v>0</v>
      </c>
      <c r="D206" s="1">
        <f t="shared" si="97"/>
        <v>26.764384257261785</v>
      </c>
      <c r="E206">
        <v>173.16</v>
      </c>
      <c r="K206" s="1">
        <f>'Solar Availability and Gener GR'!F206</f>
        <v>2.5513754117332827</v>
      </c>
      <c r="L206" s="1">
        <v>0.39891472868217059</v>
      </c>
      <c r="M206" s="1">
        <f t="shared" si="93"/>
        <v>2.1524606830511122</v>
      </c>
      <c r="N206" s="1" t="str">
        <f t="shared" si="94"/>
        <v>sell the surplus or charge</v>
      </c>
      <c r="O206" s="1">
        <v>0.25</v>
      </c>
      <c r="P206" s="1">
        <f t="shared" si="98"/>
        <v>0.62670034978624167</v>
      </c>
      <c r="Q206" s="1">
        <f t="shared" si="99"/>
        <v>2.3013754117332827</v>
      </c>
      <c r="R206" s="1">
        <f t="shared" si="100"/>
        <v>398.49816090010597</v>
      </c>
      <c r="S206" s="1">
        <f t="shared" si="101"/>
        <v>372.71478490942542</v>
      </c>
      <c r="T206" s="1">
        <f t="shared" si="102"/>
        <v>161.956777093179</v>
      </c>
      <c r="U206" s="1" t="str">
        <f t="shared" si="103"/>
        <v>charge</v>
      </c>
      <c r="Y206" s="1">
        <f t="shared" si="91"/>
        <v>6.9076074418604666E-2</v>
      </c>
      <c r="AA206" s="1">
        <f t="shared" si="95"/>
        <v>70.284966677437708</v>
      </c>
      <c r="AD206" s="1">
        <f t="shared" si="96"/>
        <v>0.25</v>
      </c>
    </row>
    <row r="207" spans="1:30" ht="15">
      <c r="A207" s="1">
        <v>206</v>
      </c>
      <c r="B207" s="1">
        <f t="shared" si="76"/>
        <v>2.348833793287632</v>
      </c>
      <c r="C207" s="1">
        <f t="shared" si="92"/>
        <v>0</v>
      </c>
      <c r="D207" s="1">
        <f t="shared" si="97"/>
        <v>28.643451291891889</v>
      </c>
      <c r="E207">
        <v>173.77</v>
      </c>
      <c r="K207" s="1">
        <f>'Solar Availability and Gener GR'!F207</f>
        <v>2.598833793287632</v>
      </c>
      <c r="L207" s="1">
        <v>0.39891472868217059</v>
      </c>
      <c r="M207" s="1">
        <f t="shared" si="93"/>
        <v>2.1999190646054614</v>
      </c>
      <c r="N207" s="1" t="str">
        <f t="shared" si="94"/>
        <v>sell the surplus or charge</v>
      </c>
      <c r="O207" s="1">
        <v>0.25</v>
      </c>
      <c r="P207" s="1">
        <f t="shared" si="98"/>
        <v>0.62670034978624167</v>
      </c>
      <c r="Q207" s="1">
        <f t="shared" si="99"/>
        <v>2.348833793287632</v>
      </c>
      <c r="R207" s="1">
        <f t="shared" si="100"/>
        <v>408.14887096438451</v>
      </c>
      <c r="S207" s="1">
        <f t="shared" si="101"/>
        <v>382.27464751722579</v>
      </c>
      <c r="T207" s="1">
        <f t="shared" si="102"/>
        <v>162.75445555756636</v>
      </c>
      <c r="U207" s="1" t="str">
        <f t="shared" si="103"/>
        <v>charge</v>
      </c>
      <c r="Y207" s="1">
        <f t="shared" si="91"/>
        <v>6.9319412403100786E-2</v>
      </c>
      <c r="AA207" s="1">
        <f t="shared" si="95"/>
        <v>72.484885742043176</v>
      </c>
      <c r="AD207" s="1">
        <f t="shared" si="96"/>
        <v>0.25</v>
      </c>
    </row>
    <row r="208" spans="1:30" ht="15">
      <c r="A208" s="1">
        <v>207</v>
      </c>
      <c r="B208" s="1">
        <f t="shared" ref="B208:B271" si="104">IF(U208="charge",Q208,0)</f>
        <v>2.2718374432475708</v>
      </c>
      <c r="C208" s="1">
        <f t="shared" si="92"/>
        <v>0</v>
      </c>
      <c r="D208" s="1">
        <f t="shared" si="97"/>
        <v>30.460921246489946</v>
      </c>
      <c r="E208">
        <v>178.79</v>
      </c>
      <c r="K208" s="1">
        <f>'Solar Availability and Gener GR'!F208</f>
        <v>2.5218374432475708</v>
      </c>
      <c r="L208" s="1">
        <v>0.39891472868217059</v>
      </c>
      <c r="M208" s="1">
        <f t="shared" si="93"/>
        <v>2.1229227145654002</v>
      </c>
      <c r="N208" s="1" t="str">
        <f t="shared" si="94"/>
        <v>sell the surplus or charge</v>
      </c>
      <c r="O208" s="1">
        <v>0.25</v>
      </c>
      <c r="P208" s="1">
        <f t="shared" si="98"/>
        <v>0.62670034978624167</v>
      </c>
      <c r="Q208" s="1">
        <f t="shared" si="99"/>
        <v>2.2718374432475708</v>
      </c>
      <c r="R208" s="1">
        <f t="shared" si="100"/>
        <v>406.17406315406583</v>
      </c>
      <c r="S208" s="1">
        <f t="shared" si="101"/>
        <v>379.55221227362711</v>
      </c>
      <c r="T208" s="1">
        <f t="shared" si="102"/>
        <v>167.07203721215072</v>
      </c>
      <c r="U208" s="1" t="str">
        <f t="shared" si="103"/>
        <v>charge</v>
      </c>
      <c r="Y208" s="1">
        <f t="shared" si="91"/>
        <v>7.1321964341085273E-2</v>
      </c>
      <c r="AA208" s="1">
        <f t="shared" si="95"/>
        <v>74.607808456608581</v>
      </c>
      <c r="AD208" s="1">
        <f t="shared" si="96"/>
        <v>0.25</v>
      </c>
    </row>
    <row r="209" spans="1:30" ht="15">
      <c r="A209" s="1">
        <v>208</v>
      </c>
      <c r="B209" s="1">
        <f t="shared" si="104"/>
        <v>0</v>
      </c>
      <c r="C209" s="1">
        <f t="shared" si="92"/>
        <v>0</v>
      </c>
      <c r="D209" s="1">
        <f t="shared" si="97"/>
        <v>30.460921246489946</v>
      </c>
      <c r="E209">
        <v>183.23</v>
      </c>
      <c r="K209" s="1">
        <f>'Solar Availability and Gener GR'!F209</f>
        <v>2.13843140746016</v>
      </c>
      <c r="L209" s="1">
        <v>0.65627906976744199</v>
      </c>
      <c r="M209" s="1">
        <f t="shared" si="93"/>
        <v>1.4821523376927179</v>
      </c>
      <c r="N209" s="1" t="str">
        <f t="shared" si="94"/>
        <v>sell the surplus or charge</v>
      </c>
      <c r="O209" s="1">
        <v>0.25</v>
      </c>
      <c r="P209" s="1">
        <f t="shared" si="98"/>
        <v>0.38093550673281351</v>
      </c>
      <c r="Q209" s="1">
        <f t="shared" si="99"/>
        <v>1.88843140746016</v>
      </c>
      <c r="R209" s="1">
        <f t="shared" si="100"/>
        <v>346.00972133181358</v>
      </c>
      <c r="S209" s="1">
        <f t="shared" si="101"/>
        <v>271.57247437893557</v>
      </c>
      <c r="T209" s="1">
        <f t="shared" si="102"/>
        <v>143.81359726821233</v>
      </c>
      <c r="U209" s="1" t="str">
        <f t="shared" si="103"/>
        <v>sell to the Grid</v>
      </c>
      <c r="W209" s="1">
        <f>(Q209*E209)/1000</f>
        <v>0.34601728678892513</v>
      </c>
      <c r="Y209" s="1">
        <f t="shared" si="91"/>
        <v>0.12025001395348839</v>
      </c>
      <c r="AA209" s="1">
        <f t="shared" si="95"/>
        <v>76.089960794301305</v>
      </c>
      <c r="AD209" s="1">
        <f t="shared" si="96"/>
        <v>0.25</v>
      </c>
    </row>
    <row r="210" spans="1:30" ht="15">
      <c r="A210" s="1">
        <v>209</v>
      </c>
      <c r="B210" s="1">
        <f t="shared" si="104"/>
        <v>0</v>
      </c>
      <c r="C210" s="1">
        <f t="shared" si="92"/>
        <v>0</v>
      </c>
      <c r="D210" s="1">
        <f t="shared" si="97"/>
        <v>30.460921246489946</v>
      </c>
      <c r="E210">
        <v>183.92</v>
      </c>
      <c r="K210" s="1">
        <f>'Solar Availability and Gener GR'!F210</f>
        <v>1.6784563340158452</v>
      </c>
      <c r="L210" s="1">
        <v>0.66914728682170543</v>
      </c>
      <c r="M210" s="1">
        <f t="shared" si="93"/>
        <v>1.0093090471941397</v>
      </c>
      <c r="N210" s="1" t="str">
        <f t="shared" si="94"/>
        <v>sell the surplus or charge</v>
      </c>
      <c r="O210" s="1">
        <v>0.25</v>
      </c>
      <c r="P210" s="1">
        <f t="shared" si="98"/>
        <v>0.3736098239110287</v>
      </c>
      <c r="Q210" s="1">
        <f t="shared" si="99"/>
        <v>1.4284563340158452</v>
      </c>
      <c r="R210" s="1">
        <f t="shared" si="100"/>
        <v>262.71415187634403</v>
      </c>
      <c r="S210" s="1">
        <f t="shared" si="101"/>
        <v>185.62993569917623</v>
      </c>
      <c r="T210" s="1">
        <f t="shared" si="102"/>
        <v>129.95889230520569</v>
      </c>
      <c r="U210" s="1" t="str">
        <f t="shared" si="103"/>
        <v>sell to the Grid</v>
      </c>
      <c r="W210" s="1">
        <f>(Q210*E210)/1000</f>
        <v>0.26272168895219422</v>
      </c>
      <c r="Y210" s="1">
        <f t="shared" si="91"/>
        <v>0.12306956899224805</v>
      </c>
      <c r="AA210" s="1">
        <f t="shared" si="95"/>
        <v>77.099269841495442</v>
      </c>
      <c r="AD210" s="1">
        <f t="shared" si="96"/>
        <v>0.25</v>
      </c>
    </row>
    <row r="211" spans="1:30" ht="15">
      <c r="A211" s="1">
        <v>210</v>
      </c>
      <c r="B211" s="1">
        <f t="shared" si="104"/>
        <v>0</v>
      </c>
      <c r="C211" s="1">
        <f t="shared" si="92"/>
        <v>0</v>
      </c>
      <c r="D211" s="1">
        <f t="shared" si="97"/>
        <v>30.460921246489946</v>
      </c>
      <c r="E211">
        <v>199.16</v>
      </c>
      <c r="K211" s="1">
        <f>'Solar Availability and Gener GR'!F211</f>
        <v>1.0269518383334808</v>
      </c>
      <c r="L211" s="1">
        <v>0.65627906976744199</v>
      </c>
      <c r="M211" s="1">
        <f t="shared" si="93"/>
        <v>0.37067276856603881</v>
      </c>
      <c r="N211" s="1" t="str">
        <f t="shared" si="94"/>
        <v>sell the surplus or charge</v>
      </c>
      <c r="O211" s="1">
        <v>0.25</v>
      </c>
      <c r="P211" s="1">
        <f t="shared" si="98"/>
        <v>0.38093550673281351</v>
      </c>
      <c r="Q211" s="1">
        <f t="shared" si="99"/>
        <v>0.7769518383334808</v>
      </c>
      <c r="R211" s="1">
        <f t="shared" si="100"/>
        <v>154.7307677652077</v>
      </c>
      <c r="S211" s="1">
        <f t="shared" si="101"/>
        <v>73.821073966086615</v>
      </c>
      <c r="T211" s="1">
        <f t="shared" si="102"/>
        <v>95.032481947613334</v>
      </c>
      <c r="U211" s="1" t="str">
        <f t="shared" si="103"/>
        <v>sell to the Grid</v>
      </c>
      <c r="W211" s="1">
        <f>(Q211*E211)/1000</f>
        <v>0.15473772812249603</v>
      </c>
      <c r="Y211" s="1">
        <f t="shared" si="91"/>
        <v>0.13070453953488373</v>
      </c>
      <c r="AA211" s="1">
        <f t="shared" si="95"/>
        <v>77.46994261006148</v>
      </c>
      <c r="AD211" s="1">
        <f t="shared" si="96"/>
        <v>0.25</v>
      </c>
    </row>
    <row r="212" spans="1:30" ht="15">
      <c r="A212" s="1">
        <v>211</v>
      </c>
      <c r="B212" s="1">
        <f t="shared" si="104"/>
        <v>0</v>
      </c>
      <c r="C212" s="1">
        <f t="shared" si="92"/>
        <v>0</v>
      </c>
      <c r="D212" s="1">
        <f t="shared" si="97"/>
        <v>30.460921246489946</v>
      </c>
      <c r="E212">
        <v>182.18</v>
      </c>
      <c r="K212" s="1">
        <f>'Solar Availability and Gener GR'!F212</f>
        <v>0.35632511350485152</v>
      </c>
      <c r="L212" s="1">
        <v>0.66914728682170543</v>
      </c>
      <c r="M212" s="1">
        <f t="shared" si="93"/>
        <v>-0.31282217331685391</v>
      </c>
      <c r="N212" s="1" t="str">
        <f t="shared" si="94"/>
        <v>Buy from Grid</v>
      </c>
      <c r="V212" s="1" t="str">
        <f t="shared" ref="V212:V226" si="105">IF(D212+M212&gt;0,"discharge","buy from the Grid")</f>
        <v>discharge</v>
      </c>
      <c r="Y212" s="1">
        <f t="shared" si="91"/>
        <v>0.1219052527131783</v>
      </c>
      <c r="AA212" s="1">
        <f t="shared" si="95"/>
        <v>77.15712043674462</v>
      </c>
      <c r="AD212" s="1">
        <f t="shared" si="96"/>
        <v>0</v>
      </c>
    </row>
    <row r="213" spans="1:30" ht="15">
      <c r="A213" s="1">
        <v>212</v>
      </c>
      <c r="B213" s="1">
        <f t="shared" si="104"/>
        <v>0</v>
      </c>
      <c r="C213" s="1">
        <f t="shared" si="92"/>
        <v>-0.31282217331685391</v>
      </c>
      <c r="D213" s="1">
        <f t="shared" si="97"/>
        <v>30.069893529843878</v>
      </c>
      <c r="E213">
        <v>180.8</v>
      </c>
      <c r="K213" s="1">
        <f>'Solar Availability and Gener GR'!F213</f>
        <v>3.9953707825157996E-2</v>
      </c>
      <c r="L213" s="1">
        <v>0.39891472868217059</v>
      </c>
      <c r="M213" s="1">
        <f t="shared" si="93"/>
        <v>-0.35896102085701259</v>
      </c>
      <c r="N213" s="1" t="str">
        <f t="shared" si="94"/>
        <v>Buy from Grid</v>
      </c>
      <c r="V213" s="1" t="str">
        <f t="shared" si="105"/>
        <v>discharge</v>
      </c>
      <c r="Y213" s="1">
        <f t="shared" si="91"/>
        <v>7.2123782945736445E-2</v>
      </c>
      <c r="AA213" s="1">
        <f t="shared" si="95"/>
        <v>76.798159415887611</v>
      </c>
      <c r="AD213" s="1">
        <f t="shared" si="96"/>
        <v>0</v>
      </c>
    </row>
    <row r="214" spans="1:30" ht="15">
      <c r="A214" s="1">
        <v>213</v>
      </c>
      <c r="B214" s="1">
        <f t="shared" si="104"/>
        <v>0</v>
      </c>
      <c r="C214" s="1">
        <f t="shared" si="92"/>
        <v>-0.35896102085701259</v>
      </c>
      <c r="D214" s="1">
        <f t="shared" si="97"/>
        <v>29.621192253772612</v>
      </c>
      <c r="E214">
        <v>170</v>
      </c>
      <c r="K214" s="1">
        <f>'Solar Availability and Gener GR'!F214</f>
        <v>0</v>
      </c>
      <c r="L214" s="1">
        <v>0.39891472868217059</v>
      </c>
      <c r="M214" s="1">
        <f t="shared" si="93"/>
        <v>-0.39891472868217059</v>
      </c>
      <c r="N214" s="1" t="str">
        <f t="shared" si="94"/>
        <v>Buy from Grid</v>
      </c>
      <c r="V214" s="1" t="str">
        <f t="shared" si="105"/>
        <v>discharge</v>
      </c>
      <c r="Y214" s="1">
        <f t="shared" si="91"/>
        <v>6.7815503875969005E-2</v>
      </c>
      <c r="AA214" s="1">
        <f t="shared" si="95"/>
        <v>76.399244687205439</v>
      </c>
      <c r="AD214" s="1">
        <f t="shared" si="96"/>
        <v>0</v>
      </c>
    </row>
    <row r="215" spans="1:30" ht="15">
      <c r="A215" s="1">
        <v>214</v>
      </c>
      <c r="B215" s="1">
        <f t="shared" si="104"/>
        <v>0</v>
      </c>
      <c r="C215" s="1">
        <f t="shared" si="92"/>
        <v>-0.39891472868217059</v>
      </c>
      <c r="D215" s="1">
        <f t="shared" si="97"/>
        <v>29.122548842919898</v>
      </c>
      <c r="E215">
        <v>139.63</v>
      </c>
      <c r="K215" s="1">
        <f>'Solar Availability and Gener GR'!F215</f>
        <v>0</v>
      </c>
      <c r="L215" s="1">
        <v>0.39891472868217059</v>
      </c>
      <c r="M215" s="1">
        <f t="shared" si="93"/>
        <v>-0.39891472868217059</v>
      </c>
      <c r="N215" s="1" t="str">
        <f t="shared" si="94"/>
        <v>Buy from Grid</v>
      </c>
      <c r="V215" s="1" t="str">
        <f t="shared" si="105"/>
        <v>discharge</v>
      </c>
      <c r="Y215" s="1">
        <f t="shared" si="91"/>
        <v>5.5700463565891478E-2</v>
      </c>
      <c r="AA215" s="1">
        <f t="shared" si="95"/>
        <v>76.000329958523267</v>
      </c>
      <c r="AD215" s="1">
        <f t="shared" si="96"/>
        <v>0</v>
      </c>
    </row>
    <row r="216" spans="1:30" ht="15">
      <c r="A216" s="1">
        <v>215</v>
      </c>
      <c r="B216" s="1">
        <f t="shared" si="104"/>
        <v>0</v>
      </c>
      <c r="C216" s="1">
        <f t="shared" si="92"/>
        <v>-0.39891472868217059</v>
      </c>
      <c r="D216" s="1">
        <f t="shared" si="97"/>
        <v>28.623905432067183</v>
      </c>
      <c r="E216">
        <v>132</v>
      </c>
      <c r="K216" s="1">
        <f>'Solar Availability and Gener GR'!F216</f>
        <v>0</v>
      </c>
      <c r="L216" s="1">
        <v>0.29596899224806206</v>
      </c>
      <c r="M216" s="1">
        <f t="shared" si="93"/>
        <v>-0.29596899224806206</v>
      </c>
      <c r="N216" s="1" t="str">
        <f t="shared" si="94"/>
        <v>Buy from Grid</v>
      </c>
      <c r="V216" s="1" t="str">
        <f t="shared" si="105"/>
        <v>discharge</v>
      </c>
      <c r="Y216" s="1">
        <f t="shared" si="91"/>
        <v>3.9067906976744192E-2</v>
      </c>
      <c r="AA216" s="1">
        <f t="shared" si="95"/>
        <v>75.704360966275203</v>
      </c>
      <c r="AD216" s="1">
        <f t="shared" si="96"/>
        <v>0</v>
      </c>
    </row>
    <row r="217" spans="1:30" ht="15">
      <c r="A217" s="1">
        <v>216</v>
      </c>
      <c r="B217" s="1">
        <f t="shared" si="104"/>
        <v>0</v>
      </c>
      <c r="C217" s="1">
        <f t="shared" si="92"/>
        <v>-0.29596899224806206</v>
      </c>
      <c r="D217" s="1">
        <f t="shared" si="97"/>
        <v>28.253944191757107</v>
      </c>
      <c r="E217">
        <v>99.45</v>
      </c>
      <c r="K217" s="1">
        <f>'Solar Availability and Gener GR'!F217</f>
        <v>0</v>
      </c>
      <c r="L217" s="1">
        <v>0.29596899224806206</v>
      </c>
      <c r="M217" s="1">
        <f t="shared" si="93"/>
        <v>-0.29596899224806206</v>
      </c>
      <c r="N217" s="1" t="str">
        <f t="shared" si="94"/>
        <v>Buy from Grid</v>
      </c>
      <c r="V217" s="1" t="str">
        <f t="shared" si="105"/>
        <v>discharge</v>
      </c>
      <c r="Y217" s="1">
        <f t="shared" si="91"/>
        <v>2.9434116279069774E-2</v>
      </c>
      <c r="AA217" s="1">
        <f t="shared" si="95"/>
        <v>75.40839197402714</v>
      </c>
      <c r="AD217" s="1">
        <f t="shared" si="96"/>
        <v>0</v>
      </c>
    </row>
    <row r="218" spans="1:30" ht="15">
      <c r="A218" s="1">
        <v>217</v>
      </c>
      <c r="B218" s="1">
        <f t="shared" si="104"/>
        <v>0</v>
      </c>
      <c r="C218" s="1">
        <f t="shared" si="92"/>
        <v>-0.29596899224806206</v>
      </c>
      <c r="D218" s="1">
        <f t="shared" si="97"/>
        <v>27.883982951447031</v>
      </c>
      <c r="E218">
        <v>100</v>
      </c>
      <c r="K218" s="1">
        <f>'Solar Availability and Gener GR'!F218</f>
        <v>0</v>
      </c>
      <c r="L218" s="1">
        <v>0.29596899224806206</v>
      </c>
      <c r="M218" s="1">
        <f t="shared" si="93"/>
        <v>-0.29596899224806206</v>
      </c>
      <c r="N218" s="1" t="str">
        <f t="shared" si="94"/>
        <v>Buy from Grid</v>
      </c>
      <c r="V218" s="1" t="str">
        <f t="shared" si="105"/>
        <v>discharge</v>
      </c>
      <c r="Y218" s="1">
        <f t="shared" si="91"/>
        <v>2.9596899224806204E-2</v>
      </c>
      <c r="AA218" s="1">
        <f t="shared" si="95"/>
        <v>75.112422981779076</v>
      </c>
      <c r="AD218" s="1">
        <f t="shared" si="96"/>
        <v>0</v>
      </c>
    </row>
    <row r="219" spans="1:30" ht="15">
      <c r="A219" s="1">
        <v>218</v>
      </c>
      <c r="B219" s="1">
        <f t="shared" si="104"/>
        <v>0</v>
      </c>
      <c r="C219" s="1">
        <f t="shared" si="92"/>
        <v>-0.29596899224806206</v>
      </c>
      <c r="D219" s="1">
        <f t="shared" si="97"/>
        <v>27.514021711136955</v>
      </c>
      <c r="E219">
        <v>85.79</v>
      </c>
      <c r="K219" s="1">
        <f>'Solar Availability and Gener GR'!F219</f>
        <v>0</v>
      </c>
      <c r="L219" s="1">
        <v>0.29596899224806206</v>
      </c>
      <c r="M219" s="1">
        <f t="shared" si="93"/>
        <v>-0.29596899224806206</v>
      </c>
      <c r="N219" s="1" t="str">
        <f t="shared" si="94"/>
        <v>Buy from Grid</v>
      </c>
      <c r="V219" s="1" t="str">
        <f t="shared" si="105"/>
        <v>discharge</v>
      </c>
      <c r="Y219" s="1">
        <f t="shared" si="91"/>
        <v>2.5391179844961247E-2</v>
      </c>
      <c r="AA219" s="1">
        <f t="shared" si="95"/>
        <v>74.816453989531013</v>
      </c>
      <c r="AD219" s="1">
        <f t="shared" si="96"/>
        <v>0</v>
      </c>
    </row>
    <row r="220" spans="1:30" ht="15">
      <c r="A220" s="1">
        <v>219</v>
      </c>
      <c r="B220" s="1">
        <f t="shared" si="104"/>
        <v>0</v>
      </c>
      <c r="C220" s="1">
        <f t="shared" si="92"/>
        <v>-0.29596899224806206</v>
      </c>
      <c r="D220" s="1">
        <f t="shared" si="97"/>
        <v>27.144060470826879</v>
      </c>
      <c r="E220">
        <v>71.08</v>
      </c>
      <c r="K220" s="1">
        <f>'Solar Availability and Gener GR'!F220</f>
        <v>0</v>
      </c>
      <c r="L220" s="1">
        <v>0.29596899224806206</v>
      </c>
      <c r="M220" s="1">
        <f t="shared" si="93"/>
        <v>-0.29596899224806206</v>
      </c>
      <c r="N220" s="1" t="str">
        <f t="shared" si="94"/>
        <v>Buy from Grid</v>
      </c>
      <c r="V220" s="1" t="str">
        <f t="shared" si="105"/>
        <v>discharge</v>
      </c>
      <c r="Y220" s="1">
        <f t="shared" si="91"/>
        <v>2.1037475968992251E-2</v>
      </c>
      <c r="AA220" s="1">
        <f t="shared" si="95"/>
        <v>74.520484997282949</v>
      </c>
      <c r="AD220" s="1">
        <f t="shared" si="96"/>
        <v>0</v>
      </c>
    </row>
    <row r="221" spans="1:30" ht="15">
      <c r="A221" s="1">
        <v>220</v>
      </c>
      <c r="B221" s="1">
        <f t="shared" si="104"/>
        <v>0</v>
      </c>
      <c r="C221" s="1">
        <f t="shared" si="92"/>
        <v>-0.29596899224806206</v>
      </c>
      <c r="D221" s="1">
        <f t="shared" si="97"/>
        <v>26.774099230516804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93"/>
        <v>-0.39891472868217059</v>
      </c>
      <c r="N221" s="1" t="str">
        <f t="shared" si="94"/>
        <v>Buy from Grid</v>
      </c>
      <c r="V221" s="1" t="str">
        <f t="shared" si="105"/>
        <v>discharge</v>
      </c>
      <c r="Y221" s="1">
        <f t="shared" si="91"/>
        <v>2.364367596899225E-2</v>
      </c>
      <c r="AA221" s="1">
        <f t="shared" si="95"/>
        <v>74.121570268600777</v>
      </c>
      <c r="AD221" s="1">
        <f t="shared" si="96"/>
        <v>0</v>
      </c>
    </row>
    <row r="222" spans="1:30" ht="15">
      <c r="A222" s="1">
        <v>221</v>
      </c>
      <c r="B222" s="1">
        <f t="shared" si="104"/>
        <v>0</v>
      </c>
      <c r="C222" s="1">
        <f t="shared" si="92"/>
        <v>-0.39891472868217059</v>
      </c>
      <c r="D222" s="1">
        <f t="shared" si="97"/>
        <v>26.275455819664089</v>
      </c>
      <c r="E222">
        <v>92.99</v>
      </c>
      <c r="K222" s="1">
        <f>'Solar Availability and Gener GR'!F222</f>
        <v>0</v>
      </c>
      <c r="L222" s="1">
        <v>0.51472868217054268</v>
      </c>
      <c r="M222" s="1">
        <f t="shared" si="93"/>
        <v>-0.51472868217054268</v>
      </c>
      <c r="N222" s="1" t="str">
        <f t="shared" si="94"/>
        <v>Buy from Grid</v>
      </c>
      <c r="V222" s="1" t="str">
        <f t="shared" si="105"/>
        <v>discharge</v>
      </c>
      <c r="Y222" s="1">
        <f t="shared" si="91"/>
        <v>4.7864620155038763E-2</v>
      </c>
      <c r="AA222" s="1">
        <f t="shared" si="95"/>
        <v>73.606841586430235</v>
      </c>
      <c r="AD222" s="1">
        <f t="shared" si="96"/>
        <v>0</v>
      </c>
    </row>
    <row r="223" spans="1:30" ht="15">
      <c r="A223" s="1">
        <v>222</v>
      </c>
      <c r="B223" s="1">
        <f t="shared" si="104"/>
        <v>0</v>
      </c>
      <c r="C223" s="1">
        <f t="shared" si="92"/>
        <v>-0.51472868217054268</v>
      </c>
      <c r="D223" s="1">
        <f t="shared" si="97"/>
        <v>25.632044966950911</v>
      </c>
      <c r="E223">
        <v>108.61</v>
      </c>
      <c r="K223" s="1">
        <f>'Solar Availability and Gener GR'!F223</f>
        <v>0</v>
      </c>
      <c r="L223" s="1">
        <v>0.65627906976744199</v>
      </c>
      <c r="M223" s="1">
        <f t="shared" si="93"/>
        <v>-0.65627906976744199</v>
      </c>
      <c r="N223" s="1" t="str">
        <f t="shared" si="94"/>
        <v>Buy from Grid</v>
      </c>
      <c r="V223" s="1" t="str">
        <f t="shared" si="105"/>
        <v>discharge</v>
      </c>
      <c r="Y223" s="1">
        <f t="shared" si="91"/>
        <v>7.1278469767441871E-2</v>
      </c>
      <c r="AA223" s="1">
        <f t="shared" si="95"/>
        <v>72.950562516662799</v>
      </c>
      <c r="AD223" s="1">
        <f t="shared" si="96"/>
        <v>0</v>
      </c>
    </row>
    <row r="224" spans="1:30" ht="15">
      <c r="A224" s="1">
        <v>223</v>
      </c>
      <c r="B224" s="1">
        <f t="shared" si="104"/>
        <v>0</v>
      </c>
      <c r="C224" s="1">
        <f t="shared" si="92"/>
        <v>-0.65627906976744199</v>
      </c>
      <c r="D224" s="1">
        <f t="shared" si="97"/>
        <v>24.811696129741609</v>
      </c>
      <c r="E224">
        <v>145.69</v>
      </c>
      <c r="K224" s="1">
        <f>'Solar Availability and Gener GR'!F224</f>
        <v>1.6611768895219918E-2</v>
      </c>
      <c r="L224" s="1">
        <v>0.65627906976744199</v>
      </c>
      <c r="M224" s="1">
        <f t="shared" si="93"/>
        <v>-0.63966730087222212</v>
      </c>
      <c r="N224" s="1" t="str">
        <f t="shared" si="94"/>
        <v>Buy from Grid</v>
      </c>
      <c r="V224" s="1" t="str">
        <f t="shared" si="105"/>
        <v>discharge</v>
      </c>
      <c r="Y224" s="1">
        <f t="shared" si="91"/>
        <v>9.5613297674418618E-2</v>
      </c>
      <c r="AA224" s="1">
        <f t="shared" si="95"/>
        <v>72.31089521579058</v>
      </c>
      <c r="AD224" s="1">
        <f t="shared" si="96"/>
        <v>0</v>
      </c>
    </row>
    <row r="225" spans="1:30" ht="15">
      <c r="A225" s="1">
        <v>224</v>
      </c>
      <c r="B225" s="1">
        <f t="shared" si="104"/>
        <v>0</v>
      </c>
      <c r="C225" s="1">
        <f t="shared" si="92"/>
        <v>-0.63966730087222212</v>
      </c>
      <c r="D225" s="1">
        <f t="shared" si="97"/>
        <v>24.012112003651332</v>
      </c>
      <c r="E225">
        <v>176.37</v>
      </c>
      <c r="K225" s="1">
        <f>'Solar Availability and Gener GR'!F225</f>
        <v>2.5785631621116648E-2</v>
      </c>
      <c r="L225" s="1">
        <v>0.39891472868217059</v>
      </c>
      <c r="M225" s="1">
        <f t="shared" si="93"/>
        <v>-0.37312909706105396</v>
      </c>
      <c r="N225" s="1" t="str">
        <f t="shared" si="94"/>
        <v>Buy from Grid</v>
      </c>
      <c r="V225" s="1" t="str">
        <f t="shared" si="105"/>
        <v>discharge</v>
      </c>
      <c r="Y225" s="1">
        <f t="shared" si="91"/>
        <v>7.0356590697674429E-2</v>
      </c>
      <c r="AA225" s="1">
        <f t="shared" si="95"/>
        <v>71.937766118729527</v>
      </c>
      <c r="AD225" s="1">
        <f t="shared" si="96"/>
        <v>0</v>
      </c>
    </row>
    <row r="226" spans="1:30" ht="15">
      <c r="A226" s="1">
        <v>225</v>
      </c>
      <c r="B226" s="1">
        <f t="shared" si="104"/>
        <v>0</v>
      </c>
      <c r="C226" s="1">
        <f t="shared" si="92"/>
        <v>-0.37312909706105396</v>
      </c>
      <c r="D226" s="1">
        <f t="shared" si="97"/>
        <v>23.545700632325016</v>
      </c>
      <c r="E226">
        <v>183.06</v>
      </c>
      <c r="K226" s="1">
        <f>'Solar Availability and Gener GR'!F226</f>
        <v>0.1881643372206887</v>
      </c>
      <c r="L226" s="1">
        <v>0.39891472868217059</v>
      </c>
      <c r="M226" s="1">
        <f t="shared" si="93"/>
        <v>-0.21075039146148189</v>
      </c>
      <c r="N226" s="1" t="str">
        <f t="shared" si="94"/>
        <v>Buy from Grid</v>
      </c>
      <c r="V226" s="1" t="str">
        <f t="shared" si="105"/>
        <v>discharge</v>
      </c>
      <c r="Y226" s="1">
        <f t="shared" si="91"/>
        <v>7.3025330232558153E-2</v>
      </c>
      <c r="AA226" s="1">
        <f t="shared" si="95"/>
        <v>71.727015727268039</v>
      </c>
      <c r="AD226" s="1">
        <f t="shared" si="96"/>
        <v>0</v>
      </c>
    </row>
    <row r="227" spans="1:30" ht="15">
      <c r="A227" s="1">
        <v>226</v>
      </c>
      <c r="B227" s="1">
        <f t="shared" si="104"/>
        <v>0</v>
      </c>
      <c r="C227" s="1">
        <f t="shared" si="92"/>
        <v>-0.21075039146148189</v>
      </c>
      <c r="D227" s="1">
        <f t="shared" si="97"/>
        <v>23.282262642998163</v>
      </c>
      <c r="E227">
        <v>169.51</v>
      </c>
      <c r="K227" s="1">
        <f>'Solar Availability and Gener GR'!F227</f>
        <v>0.6856093652630616</v>
      </c>
      <c r="L227" s="1">
        <v>0.39891472868217059</v>
      </c>
      <c r="M227" s="1">
        <f t="shared" si="93"/>
        <v>0.286694636580891</v>
      </c>
      <c r="N227" s="1" t="str">
        <f t="shared" si="94"/>
        <v>sell the surplus or charge</v>
      </c>
      <c r="O227" s="1">
        <v>0.25</v>
      </c>
      <c r="P227" s="1">
        <f t="shared" ref="P227:P234" si="106">0.25/L227</f>
        <v>0.62670034978624167</v>
      </c>
      <c r="Q227" s="1">
        <f t="shared" ref="Q227:Q234" si="107">K227-P227*L227</f>
        <v>0.4356093652630616</v>
      </c>
      <c r="R227" s="1">
        <f t="shared" ref="R227:R234" si="108">((1/(E227+0.01))*LN(0.25))+(E227*(K227-0.25))</f>
        <v>73.831965742875113</v>
      </c>
      <c r="S227" s="1">
        <f t="shared" ref="S227:S234" si="109">((1/(E227+0.01))*LN(L227))+(E227*(K227-L227))</f>
        <v>48.592186612768856</v>
      </c>
      <c r="T227" s="1">
        <f t="shared" ref="T227:T234" si="110">(S227+((S227^2)-4*(K227-L227*P227)*LN(L227*P227))^(0.5))/(2*(K227-L227*P227))</f>
        <v>111.57843444616124</v>
      </c>
      <c r="U227" s="1" t="str">
        <f t="shared" ref="U227:U234" si="111">IF(E227&gt;=T227*1.1,"sell to the Grid","charge")</f>
        <v>sell to the Grid</v>
      </c>
      <c r="W227" s="1">
        <f>(Q227*E227)/1000</f>
        <v>7.3840143505741571E-2</v>
      </c>
      <c r="Y227" s="1">
        <f t="shared" si="91"/>
        <v>6.7620035658914737E-2</v>
      </c>
      <c r="AA227" s="1">
        <f t="shared" si="95"/>
        <v>72.013710363848929</v>
      </c>
      <c r="AD227" s="1">
        <f t="shared" si="96"/>
        <v>0.25</v>
      </c>
    </row>
    <row r="228" spans="1:30" ht="15">
      <c r="A228" s="1">
        <v>227</v>
      </c>
      <c r="B228" s="1">
        <f t="shared" si="104"/>
        <v>0</v>
      </c>
      <c r="C228" s="1">
        <f t="shared" si="92"/>
        <v>0</v>
      </c>
      <c r="D228" s="1">
        <f t="shared" si="97"/>
        <v>23.282262642998163</v>
      </c>
      <c r="E228">
        <v>162.44</v>
      </c>
      <c r="K228" s="1">
        <f>'Solar Availability and Gener GR'!F228</f>
        <v>1.3745571085195381</v>
      </c>
      <c r="L228" s="1">
        <v>0.39891472868217059</v>
      </c>
      <c r="M228" s="1">
        <f t="shared" si="93"/>
        <v>0.97564237983736746</v>
      </c>
      <c r="N228" s="1" t="str">
        <f t="shared" si="94"/>
        <v>sell the surplus or charge</v>
      </c>
      <c r="O228" s="1">
        <v>0.25</v>
      </c>
      <c r="P228" s="1">
        <f t="shared" si="106"/>
        <v>0.62670034978624167</v>
      </c>
      <c r="Q228" s="1">
        <f t="shared" si="107"/>
        <v>1.1245571085195381</v>
      </c>
      <c r="R228" s="1">
        <f t="shared" si="108"/>
        <v>182.66452303994748</v>
      </c>
      <c r="S228" s="1">
        <f t="shared" si="109"/>
        <v>158.47769100874439</v>
      </c>
      <c r="T228" s="1">
        <f t="shared" si="110"/>
        <v>140.9332850569958</v>
      </c>
      <c r="U228" s="1" t="str">
        <f t="shared" si="111"/>
        <v>sell to the Grid</v>
      </c>
      <c r="W228" s="1">
        <f>(Q228*E228)/1000</f>
        <v>0.18267305670791376</v>
      </c>
      <c r="Y228" s="1">
        <f t="shared" si="91"/>
        <v>6.479970852713178E-2</v>
      </c>
      <c r="AA228" s="1">
        <f t="shared" si="95"/>
        <v>72.989352743686297</v>
      </c>
      <c r="AD228" s="1">
        <f t="shared" si="96"/>
        <v>0.25</v>
      </c>
    </row>
    <row r="229" spans="1:30" ht="15">
      <c r="A229" s="1">
        <v>228</v>
      </c>
      <c r="B229" s="1">
        <f t="shared" si="104"/>
        <v>0</v>
      </c>
      <c r="C229" s="1">
        <f t="shared" si="92"/>
        <v>0</v>
      </c>
      <c r="D229" s="1">
        <f t="shared" si="97"/>
        <v>23.282262642998163</v>
      </c>
      <c r="E229">
        <v>159.97999999999999</v>
      </c>
      <c r="K229" s="1">
        <f>'Solar Availability and Gener GR'!F229</f>
        <v>1.7953930383690888</v>
      </c>
      <c r="L229" s="1">
        <v>0.39891472868217059</v>
      </c>
      <c r="M229" s="1">
        <f t="shared" si="93"/>
        <v>1.3964783096869182</v>
      </c>
      <c r="N229" s="1" t="str">
        <f t="shared" si="94"/>
        <v>sell the surplus or charge</v>
      </c>
      <c r="O229" s="1">
        <v>0.25</v>
      </c>
      <c r="P229" s="1">
        <f t="shared" si="106"/>
        <v>0.62670034978624167</v>
      </c>
      <c r="Q229" s="1">
        <f t="shared" si="107"/>
        <v>1.5453930383690888</v>
      </c>
      <c r="R229" s="1">
        <f t="shared" si="108"/>
        <v>247.22331339697473</v>
      </c>
      <c r="S229" s="1">
        <f t="shared" si="109"/>
        <v>223.40285582721896</v>
      </c>
      <c r="T229" s="1">
        <f t="shared" si="110"/>
        <v>144.56674747681279</v>
      </c>
      <c r="U229" s="1" t="str">
        <f t="shared" si="111"/>
        <v>sell to the Grid</v>
      </c>
      <c r="W229" s="1">
        <f>(Q229*E229)/1000</f>
        <v>0.24723197827828683</v>
      </c>
      <c r="Y229" s="1">
        <f t="shared" si="91"/>
        <v>6.3818378294573652E-2</v>
      </c>
      <c r="AA229" s="1">
        <f t="shared" si="95"/>
        <v>74.385831053373209</v>
      </c>
      <c r="AD229" s="1">
        <f t="shared" si="96"/>
        <v>0.25</v>
      </c>
    </row>
    <row r="230" spans="1:30" ht="15">
      <c r="A230" s="1">
        <v>229</v>
      </c>
      <c r="B230" s="1">
        <f t="shared" si="104"/>
        <v>1.7268939731149291</v>
      </c>
      <c r="C230" s="1">
        <f t="shared" si="92"/>
        <v>0</v>
      </c>
      <c r="D230" s="1">
        <f t="shared" si="97"/>
        <v>24.663777821490108</v>
      </c>
      <c r="E230">
        <v>146.19</v>
      </c>
      <c r="K230" s="1">
        <f>'Solar Availability and Gener GR'!F230</f>
        <v>1.9768939731149291</v>
      </c>
      <c r="L230" s="1">
        <v>0.39891472868217059</v>
      </c>
      <c r="M230" s="1">
        <f t="shared" si="93"/>
        <v>1.5779792444327585</v>
      </c>
      <c r="N230" s="1" t="str">
        <f t="shared" si="94"/>
        <v>sell the surplus or charge</v>
      </c>
      <c r="O230" s="1">
        <v>0.25</v>
      </c>
      <c r="P230" s="1">
        <f t="shared" si="106"/>
        <v>0.62670034978624167</v>
      </c>
      <c r="Q230" s="1">
        <f t="shared" si="107"/>
        <v>1.7268939731149291</v>
      </c>
      <c r="R230" s="1">
        <f t="shared" si="108"/>
        <v>252.44514775209885</v>
      </c>
      <c r="S230" s="1">
        <f t="shared" si="109"/>
        <v>230.6784997819457</v>
      </c>
      <c r="T230" s="1">
        <f t="shared" si="110"/>
        <v>133.58601102026228</v>
      </c>
      <c r="U230" s="1" t="str">
        <f t="shared" si="111"/>
        <v>charge</v>
      </c>
      <c r="Y230" s="1">
        <f t="shared" si="91"/>
        <v>5.8317344186046519E-2</v>
      </c>
      <c r="AA230" s="1">
        <f t="shared" si="95"/>
        <v>75.963810297805964</v>
      </c>
      <c r="AD230" s="1">
        <f t="shared" si="96"/>
        <v>0.25</v>
      </c>
    </row>
    <row r="231" spans="1:30" ht="15">
      <c r="A231" s="1">
        <v>230</v>
      </c>
      <c r="B231" s="1">
        <f t="shared" si="104"/>
        <v>1.7456423039259323</v>
      </c>
      <c r="C231" s="1">
        <f t="shared" si="92"/>
        <v>0</v>
      </c>
      <c r="D231" s="1">
        <f t="shared" si="97"/>
        <v>26.060291664630853</v>
      </c>
      <c r="E231">
        <v>145.13</v>
      </c>
      <c r="K231" s="1">
        <f>'Solar Availability and Gener GR'!F231</f>
        <v>1.9956423039259323</v>
      </c>
      <c r="L231" s="1">
        <v>0.39891472868217059</v>
      </c>
      <c r="M231" s="1">
        <f t="shared" si="93"/>
        <v>1.5967275752437617</v>
      </c>
      <c r="N231" s="1" t="str">
        <f t="shared" si="94"/>
        <v>sell the surplus or charge</v>
      </c>
      <c r="O231" s="1">
        <v>0.25</v>
      </c>
      <c r="P231" s="1">
        <f t="shared" si="106"/>
        <v>0.62670034978624167</v>
      </c>
      <c r="Q231" s="1">
        <f t="shared" si="107"/>
        <v>1.7456423039259323</v>
      </c>
      <c r="R231" s="1">
        <f t="shared" si="108"/>
        <v>253.33551614007331</v>
      </c>
      <c r="S231" s="1">
        <f t="shared" si="109"/>
        <v>231.7267411252256</v>
      </c>
      <c r="T231" s="1">
        <f t="shared" si="110"/>
        <v>132.75181482292444</v>
      </c>
      <c r="U231" s="1" t="str">
        <f t="shared" si="111"/>
        <v>charge</v>
      </c>
      <c r="Y231" s="1">
        <f t="shared" si="91"/>
        <v>5.7894494573643415E-2</v>
      </c>
      <c r="AA231" s="1">
        <f t="shared" si="95"/>
        <v>77.560537873049725</v>
      </c>
      <c r="AD231" s="1">
        <f t="shared" si="96"/>
        <v>0.25</v>
      </c>
    </row>
    <row r="232" spans="1:30" ht="15">
      <c r="A232" s="1">
        <v>231</v>
      </c>
      <c r="B232" s="1">
        <f t="shared" si="104"/>
        <v>0</v>
      </c>
      <c r="C232" s="1">
        <f t="shared" si="92"/>
        <v>0</v>
      </c>
      <c r="D232" s="1">
        <f t="shared" si="97"/>
        <v>26.060291664630853</v>
      </c>
      <c r="E232">
        <v>162.46</v>
      </c>
      <c r="K232" s="1">
        <f>'Solar Availability and Gener GR'!F232</f>
        <v>1.8611857918632597</v>
      </c>
      <c r="L232" s="1">
        <v>0.4117829457364342</v>
      </c>
      <c r="M232" s="1">
        <f t="shared" si="93"/>
        <v>1.4494028461268256</v>
      </c>
      <c r="N232" s="1" t="str">
        <f t="shared" si="94"/>
        <v>sell the surplus or charge</v>
      </c>
      <c r="O232" s="1">
        <v>0.25</v>
      </c>
      <c r="P232" s="1">
        <f t="shared" si="106"/>
        <v>0.60711596385542155</v>
      </c>
      <c r="Q232" s="1">
        <f t="shared" si="107"/>
        <v>1.6111857918632597</v>
      </c>
      <c r="R232" s="1">
        <f t="shared" si="108"/>
        <v>261.74471112863046</v>
      </c>
      <c r="S232" s="1">
        <f t="shared" si="109"/>
        <v>235.4645253188036</v>
      </c>
      <c r="T232" s="1">
        <f t="shared" si="110"/>
        <v>146.14950799682887</v>
      </c>
      <c r="U232" s="1" t="str">
        <f t="shared" si="111"/>
        <v>sell to the Grid</v>
      </c>
      <c r="W232" s="1">
        <f>(Q232*E232)/1000</f>
        <v>0.26175324374610515</v>
      </c>
      <c r="Y232" s="1">
        <f t="shared" si="91"/>
        <v>6.6898257364341102E-2</v>
      </c>
      <c r="AA232" s="1">
        <f t="shared" si="95"/>
        <v>79.009940719176555</v>
      </c>
      <c r="AD232" s="1">
        <f t="shared" si="96"/>
        <v>0.25</v>
      </c>
    </row>
    <row r="233" spans="1:30" ht="15">
      <c r="A233" s="1">
        <v>232</v>
      </c>
      <c r="B233" s="1">
        <f t="shared" si="104"/>
        <v>0</v>
      </c>
      <c r="C233" s="1">
        <f t="shared" si="92"/>
        <v>0</v>
      </c>
      <c r="D233" s="1">
        <f t="shared" si="97"/>
        <v>26.060291664630853</v>
      </c>
      <c r="E233">
        <v>168.92</v>
      </c>
      <c r="K233" s="1">
        <f>'Solar Availability and Gener GR'!F233</f>
        <v>1.5639633223537788</v>
      </c>
      <c r="L233" s="1">
        <v>0.66914728682170543</v>
      </c>
      <c r="M233" s="1">
        <f t="shared" si="93"/>
        <v>0.89481603553207334</v>
      </c>
      <c r="N233" s="1" t="str">
        <f t="shared" si="94"/>
        <v>sell the surplus or charge</v>
      </c>
      <c r="O233" s="1">
        <v>0.25</v>
      </c>
      <c r="P233" s="1">
        <f t="shared" si="106"/>
        <v>0.3736098239110287</v>
      </c>
      <c r="Q233" s="1">
        <f t="shared" si="107"/>
        <v>1.3139633223537788</v>
      </c>
      <c r="R233" s="1">
        <f t="shared" si="108"/>
        <v>221.94647808771734</v>
      </c>
      <c r="S233" s="1">
        <f t="shared" si="109"/>
        <v>151.14994651167461</v>
      </c>
      <c r="T233" s="1">
        <f t="shared" si="110"/>
        <v>115.04278254244166</v>
      </c>
      <c r="U233" s="1" t="str">
        <f t="shared" si="111"/>
        <v>sell to the Grid</v>
      </c>
      <c r="W233" s="1">
        <f>(Q233*E233)/1000</f>
        <v>0.22195468441200028</v>
      </c>
      <c r="Y233" s="1">
        <f t="shared" si="91"/>
        <v>0.11303235968992248</v>
      </c>
      <c r="AA233" s="1">
        <f t="shared" si="95"/>
        <v>79.904756754708629</v>
      </c>
      <c r="AD233" s="1">
        <f t="shared" si="96"/>
        <v>0.25</v>
      </c>
    </row>
    <row r="234" spans="1:30" ht="15">
      <c r="A234" s="1">
        <v>233</v>
      </c>
      <c r="B234" s="1">
        <f t="shared" si="104"/>
        <v>0</v>
      </c>
      <c r="C234" s="1">
        <f t="shared" si="92"/>
        <v>0</v>
      </c>
      <c r="D234" s="1">
        <f t="shared" si="97"/>
        <v>26.060291664630853</v>
      </c>
      <c r="E234">
        <v>166.2</v>
      </c>
      <c r="K234" s="1">
        <f>'Solar Availability and Gener GR'!F234</f>
        <v>1.065690376569036</v>
      </c>
      <c r="L234" s="1">
        <v>0.65627906976744199</v>
      </c>
      <c r="M234" s="1">
        <f t="shared" si="93"/>
        <v>0.40941130680159399</v>
      </c>
      <c r="N234" s="1" t="str">
        <f t="shared" si="94"/>
        <v>sell the surplus or charge</v>
      </c>
      <c r="O234" s="1">
        <v>0.25</v>
      </c>
      <c r="P234" s="1">
        <f t="shared" si="106"/>
        <v>0.38093550673281351</v>
      </c>
      <c r="Q234" s="1">
        <f t="shared" si="107"/>
        <v>0.81569037656903598</v>
      </c>
      <c r="R234" s="1">
        <f t="shared" si="108"/>
        <v>135.55939996630971</v>
      </c>
      <c r="S234" s="1">
        <f t="shared" si="109"/>
        <v>68.041625232364225</v>
      </c>
      <c r="T234" s="1">
        <f t="shared" si="110"/>
        <v>83.436365289077031</v>
      </c>
      <c r="U234" s="1" t="str">
        <f t="shared" si="111"/>
        <v>sell to the Grid</v>
      </c>
      <c r="W234" s="1">
        <f>(Q234*E234)/1000</f>
        <v>0.13556774058577378</v>
      </c>
      <c r="Y234" s="1">
        <f t="shared" si="91"/>
        <v>0.10907358139534885</v>
      </c>
      <c r="AA234" s="1">
        <f t="shared" si="95"/>
        <v>80.314168061510216</v>
      </c>
      <c r="AD234" s="1">
        <f t="shared" si="96"/>
        <v>0.25</v>
      </c>
    </row>
    <row r="235" spans="1:30" ht="15">
      <c r="A235" s="1">
        <v>234</v>
      </c>
      <c r="B235" s="1">
        <f t="shared" si="104"/>
        <v>0</v>
      </c>
      <c r="C235" s="1">
        <f t="shared" si="92"/>
        <v>0</v>
      </c>
      <c r="D235" s="1">
        <f t="shared" si="97"/>
        <v>26.060291664630853</v>
      </c>
      <c r="E235">
        <v>170.71</v>
      </c>
      <c r="K235" s="1">
        <f>'Solar Availability and Gener GR'!F235</f>
        <v>0.46207157482417677</v>
      </c>
      <c r="L235" s="1">
        <v>0.66914728682170543</v>
      </c>
      <c r="M235" s="1">
        <f t="shared" si="93"/>
        <v>-0.20707571199752867</v>
      </c>
      <c r="N235" s="1" t="str">
        <f t="shared" si="94"/>
        <v>Buy from Grid</v>
      </c>
      <c r="V235" s="1" t="str">
        <f t="shared" ref="V235:V251" si="112">IF(D235+M235&gt;0,"discharge","buy from the Grid")</f>
        <v>discharge</v>
      </c>
      <c r="Y235" s="1">
        <f t="shared" si="91"/>
        <v>0.11423013333333334</v>
      </c>
      <c r="AA235" s="1">
        <f t="shared" si="95"/>
        <v>80.107092349512683</v>
      </c>
      <c r="AD235" s="1">
        <f t="shared" si="96"/>
        <v>0</v>
      </c>
    </row>
    <row r="236" spans="1:30" ht="15">
      <c r="A236" s="1">
        <v>235</v>
      </c>
      <c r="B236" s="1">
        <f t="shared" si="104"/>
        <v>0</v>
      </c>
      <c r="C236" s="1">
        <f t="shared" si="92"/>
        <v>-0.20707571199752867</v>
      </c>
      <c r="D236" s="1">
        <f t="shared" si="97"/>
        <v>25.801447024633941</v>
      </c>
      <c r="E236">
        <v>167.74</v>
      </c>
      <c r="K236" s="1">
        <f>'Solar Availability and Gener GR'!F236</f>
        <v>5.9503249354580651E-2</v>
      </c>
      <c r="L236" s="1">
        <v>0.66914728682170543</v>
      </c>
      <c r="M236" s="1">
        <f t="shared" si="93"/>
        <v>-0.60964403746712481</v>
      </c>
      <c r="N236" s="1" t="str">
        <f t="shared" si="94"/>
        <v>Buy from Grid</v>
      </c>
      <c r="V236" s="1" t="str">
        <f t="shared" si="112"/>
        <v>discharge</v>
      </c>
      <c r="Y236" s="1">
        <f t="shared" si="91"/>
        <v>0.11224276589147288</v>
      </c>
      <c r="AA236" s="1">
        <f t="shared" si="95"/>
        <v>79.497448312045563</v>
      </c>
      <c r="AD236" s="1">
        <f t="shared" si="96"/>
        <v>0</v>
      </c>
    </row>
    <row r="237" spans="1:30" ht="15">
      <c r="A237" s="1">
        <v>236</v>
      </c>
      <c r="B237" s="1">
        <f t="shared" si="104"/>
        <v>0</v>
      </c>
      <c r="C237" s="1">
        <f t="shared" si="92"/>
        <v>-0.60964403746712481</v>
      </c>
      <c r="D237" s="1">
        <f t="shared" si="97"/>
        <v>25.039391977800033</v>
      </c>
      <c r="E237">
        <v>216.28</v>
      </c>
      <c r="K237" s="1">
        <f>'Solar Availability and Gener GR'!F237</f>
        <v>0</v>
      </c>
      <c r="L237" s="1">
        <v>0.39891472868217059</v>
      </c>
      <c r="M237" s="1">
        <f t="shared" si="93"/>
        <v>-0.39891472868217059</v>
      </c>
      <c r="N237" s="1" t="str">
        <f t="shared" si="94"/>
        <v>Buy from Grid</v>
      </c>
      <c r="V237" s="1" t="str">
        <f t="shared" si="112"/>
        <v>discharge</v>
      </c>
      <c r="Y237" s="1">
        <f t="shared" si="91"/>
        <v>8.6277277519379844E-2</v>
      </c>
      <c r="AA237" s="1">
        <f t="shared" si="95"/>
        <v>79.098533583363391</v>
      </c>
      <c r="AD237" s="1">
        <f t="shared" si="96"/>
        <v>0</v>
      </c>
    </row>
    <row r="238" spans="1:30" ht="15">
      <c r="A238" s="1">
        <v>237</v>
      </c>
      <c r="B238" s="1">
        <f t="shared" si="104"/>
        <v>0</v>
      </c>
      <c r="C238" s="1">
        <f t="shared" si="92"/>
        <v>-0.39891472868217059</v>
      </c>
      <c r="D238" s="1">
        <f t="shared" si="97"/>
        <v>24.540748566947318</v>
      </c>
      <c r="E238">
        <v>228.74</v>
      </c>
      <c r="K238" s="1">
        <f>'Solar Availability and Gener GR'!F238</f>
        <v>0</v>
      </c>
      <c r="L238" s="1">
        <v>0.39891472868217059</v>
      </c>
      <c r="M238" s="1">
        <f t="shared" si="93"/>
        <v>-0.39891472868217059</v>
      </c>
      <c r="N238" s="1" t="str">
        <f t="shared" si="94"/>
        <v>Buy from Grid</v>
      </c>
      <c r="V238" s="1" t="str">
        <f t="shared" si="112"/>
        <v>discharge</v>
      </c>
      <c r="Y238" s="1">
        <f t="shared" si="91"/>
        <v>9.1247755038759704E-2</v>
      </c>
      <c r="AA238" s="1">
        <f t="shared" si="95"/>
        <v>78.699618854681219</v>
      </c>
      <c r="AD238" s="1">
        <f t="shared" si="96"/>
        <v>0</v>
      </c>
    </row>
    <row r="239" spans="1:30" ht="15">
      <c r="A239" s="1">
        <v>238</v>
      </c>
      <c r="B239" s="1">
        <f t="shared" si="104"/>
        <v>0</v>
      </c>
      <c r="C239" s="1">
        <f t="shared" si="92"/>
        <v>-0.39891472868217059</v>
      </c>
      <c r="D239" s="1">
        <f t="shared" si="97"/>
        <v>24.042105156094603</v>
      </c>
      <c r="E239">
        <v>165</v>
      </c>
      <c r="K239" s="1">
        <f>'Solar Availability and Gener GR'!F239</f>
        <v>0</v>
      </c>
      <c r="L239" s="1">
        <v>0.25736434108527134</v>
      </c>
      <c r="M239" s="1">
        <f t="shared" si="93"/>
        <v>-0.25736434108527134</v>
      </c>
      <c r="N239" s="1" t="str">
        <f t="shared" si="94"/>
        <v>Buy from Grid</v>
      </c>
      <c r="V239" s="1" t="str">
        <f t="shared" si="112"/>
        <v>discharge</v>
      </c>
      <c r="Y239" s="1">
        <f t="shared" si="91"/>
        <v>4.2465116279069771E-2</v>
      </c>
      <c r="AA239" s="1">
        <f t="shared" si="95"/>
        <v>78.442254513595941</v>
      </c>
      <c r="AD239" s="1">
        <f t="shared" si="96"/>
        <v>0</v>
      </c>
    </row>
    <row r="240" spans="1:30" ht="15">
      <c r="A240" s="1">
        <v>239</v>
      </c>
      <c r="B240" s="1">
        <f t="shared" si="104"/>
        <v>0</v>
      </c>
      <c r="C240" s="1">
        <f t="shared" si="92"/>
        <v>-0.25736434108527134</v>
      </c>
      <c r="D240" s="1">
        <f t="shared" si="97"/>
        <v>23.720399729738013</v>
      </c>
      <c r="E240">
        <v>155</v>
      </c>
      <c r="K240" s="1">
        <f>'Solar Availability and Gener GR'!F240</f>
        <v>0</v>
      </c>
      <c r="L240" s="1">
        <v>0.25736434108527134</v>
      </c>
      <c r="M240" s="1">
        <f t="shared" si="93"/>
        <v>-0.25736434108527134</v>
      </c>
      <c r="N240" s="1" t="str">
        <f t="shared" si="94"/>
        <v>Buy from Grid</v>
      </c>
      <c r="V240" s="1" t="str">
        <f t="shared" si="112"/>
        <v>discharge</v>
      </c>
      <c r="Y240" s="1">
        <f t="shared" si="91"/>
        <v>3.9891472868217058E-2</v>
      </c>
      <c r="AA240" s="1">
        <f t="shared" si="95"/>
        <v>78.184890172510663</v>
      </c>
      <c r="AD240" s="1">
        <f t="shared" si="96"/>
        <v>0</v>
      </c>
    </row>
    <row r="241" spans="1:30" ht="15">
      <c r="A241" s="1">
        <v>240</v>
      </c>
      <c r="B241" s="1">
        <f t="shared" si="104"/>
        <v>0</v>
      </c>
      <c r="C241" s="1">
        <f t="shared" si="92"/>
        <v>-0.25736434108527134</v>
      </c>
      <c r="D241" s="1">
        <f t="shared" si="97"/>
        <v>23.398694303381422</v>
      </c>
      <c r="E241">
        <v>228.5</v>
      </c>
      <c r="K241" s="1">
        <f>'Solar Availability and Gener GR'!F241</f>
        <v>0</v>
      </c>
      <c r="L241" s="1">
        <v>0.19302325581395352</v>
      </c>
      <c r="M241" s="1">
        <f t="shared" si="93"/>
        <v>-0.19302325581395352</v>
      </c>
      <c r="N241" s="1" t="str">
        <f t="shared" si="94"/>
        <v>Buy from Grid</v>
      </c>
      <c r="V241" s="1" t="str">
        <f t="shared" si="112"/>
        <v>discharge</v>
      </c>
      <c r="Y241" s="1">
        <f t="shared" si="91"/>
        <v>4.4105813953488379E-2</v>
      </c>
      <c r="AA241" s="1">
        <f t="shared" si="95"/>
        <v>77.991866916696708</v>
      </c>
      <c r="AD241" s="1">
        <f t="shared" si="96"/>
        <v>0</v>
      </c>
    </row>
    <row r="242" spans="1:30" ht="15">
      <c r="A242" s="1">
        <v>241</v>
      </c>
      <c r="B242" s="1">
        <f t="shared" si="104"/>
        <v>0</v>
      </c>
      <c r="C242" s="1">
        <f t="shared" si="92"/>
        <v>-0.19302325581395352</v>
      </c>
      <c r="D242" s="1">
        <f t="shared" si="97"/>
        <v>23.157415233613982</v>
      </c>
      <c r="E242">
        <v>269.12</v>
      </c>
      <c r="K242" s="1">
        <f>'Solar Availability and Gener GR'!F242</f>
        <v>0</v>
      </c>
      <c r="L242" s="1">
        <v>0.19302325581395352</v>
      </c>
      <c r="M242" s="1">
        <f t="shared" si="93"/>
        <v>-0.19302325581395352</v>
      </c>
      <c r="N242" s="1" t="str">
        <f t="shared" si="94"/>
        <v>Buy from Grid</v>
      </c>
      <c r="V242" s="1" t="str">
        <f t="shared" si="112"/>
        <v>discharge</v>
      </c>
      <c r="Y242" s="1">
        <f t="shared" si="91"/>
        <v>5.1946418604651171E-2</v>
      </c>
      <c r="AA242" s="1">
        <f t="shared" si="95"/>
        <v>77.798843660882753</v>
      </c>
      <c r="AD242" s="1">
        <f t="shared" si="96"/>
        <v>0</v>
      </c>
    </row>
    <row r="243" spans="1:30" ht="15">
      <c r="A243" s="1">
        <v>242</v>
      </c>
      <c r="B243" s="1">
        <f t="shared" si="104"/>
        <v>0</v>
      </c>
      <c r="C243" s="1">
        <f t="shared" si="92"/>
        <v>-0.19302325581395352</v>
      </c>
      <c r="D243" s="1">
        <f t="shared" si="97"/>
        <v>22.916136163846542</v>
      </c>
      <c r="E243">
        <v>251</v>
      </c>
      <c r="K243" s="1">
        <f>'Solar Availability and Gener GR'!F243</f>
        <v>0</v>
      </c>
      <c r="L243" s="1">
        <v>0.19302325581395352</v>
      </c>
      <c r="M243" s="1">
        <f t="shared" si="93"/>
        <v>-0.19302325581395352</v>
      </c>
      <c r="N243" s="1" t="str">
        <f t="shared" si="94"/>
        <v>Buy from Grid</v>
      </c>
      <c r="V243" s="1" t="str">
        <f t="shared" si="112"/>
        <v>discharge</v>
      </c>
      <c r="Y243" s="1">
        <f t="shared" si="91"/>
        <v>4.8448837209302334E-2</v>
      </c>
      <c r="AA243" s="1">
        <f t="shared" si="95"/>
        <v>77.605820405068798</v>
      </c>
      <c r="AD243" s="1">
        <f t="shared" si="96"/>
        <v>0</v>
      </c>
    </row>
    <row r="244" spans="1:30" ht="15">
      <c r="A244" s="1">
        <v>243</v>
      </c>
      <c r="B244" s="1">
        <f t="shared" si="104"/>
        <v>0</v>
      </c>
      <c r="C244" s="1">
        <f t="shared" si="92"/>
        <v>-0.19302325581395352</v>
      </c>
      <c r="D244" s="1">
        <f t="shared" si="97"/>
        <v>22.674857094079101</v>
      </c>
      <c r="E244">
        <v>251</v>
      </c>
      <c r="K244" s="1">
        <f>'Solar Availability and Gener GR'!F244</f>
        <v>0</v>
      </c>
      <c r="L244" s="1">
        <v>0.19302325581395352</v>
      </c>
      <c r="M244" s="1">
        <f t="shared" si="93"/>
        <v>-0.19302325581395352</v>
      </c>
      <c r="N244" s="1" t="str">
        <f t="shared" si="94"/>
        <v>Buy from Grid</v>
      </c>
      <c r="V244" s="1" t="str">
        <f t="shared" si="112"/>
        <v>discharge</v>
      </c>
      <c r="Y244" s="1">
        <f t="shared" si="91"/>
        <v>4.8448837209302334E-2</v>
      </c>
      <c r="AA244" s="1">
        <f t="shared" si="95"/>
        <v>77.412797149254843</v>
      </c>
      <c r="AD244" s="1">
        <f t="shared" si="96"/>
        <v>0</v>
      </c>
    </row>
    <row r="245" spans="1:30" ht="15">
      <c r="A245" s="1">
        <v>244</v>
      </c>
      <c r="B245" s="1">
        <f t="shared" si="104"/>
        <v>0</v>
      </c>
      <c r="C245" s="1">
        <f t="shared" si="92"/>
        <v>-0.19302325581395352</v>
      </c>
      <c r="D245" s="1">
        <f t="shared" si="97"/>
        <v>22.433578024311661</v>
      </c>
      <c r="E245">
        <v>133.94999999999999</v>
      </c>
      <c r="K245" s="1">
        <f>'Solar Availability and Gener GR'!F245</f>
        <v>0</v>
      </c>
      <c r="L245" s="1">
        <v>0.19302325581395352</v>
      </c>
      <c r="M245" s="1">
        <f t="shared" si="93"/>
        <v>-0.19302325581395352</v>
      </c>
      <c r="N245" s="1" t="str">
        <f t="shared" si="94"/>
        <v>Buy from Grid</v>
      </c>
      <c r="V245" s="1" t="str">
        <f t="shared" si="112"/>
        <v>discharge</v>
      </c>
      <c r="Y245" s="1">
        <f t="shared" si="91"/>
        <v>2.5855465116279071E-2</v>
      </c>
      <c r="AA245" s="1">
        <f t="shared" si="95"/>
        <v>77.219773893440887</v>
      </c>
      <c r="AD245" s="1">
        <f t="shared" si="96"/>
        <v>0</v>
      </c>
    </row>
    <row r="246" spans="1:30" ht="15">
      <c r="A246" s="1">
        <v>245</v>
      </c>
      <c r="B246" s="1">
        <f t="shared" si="104"/>
        <v>0</v>
      </c>
      <c r="C246" s="1">
        <f t="shared" si="92"/>
        <v>-0.19302325581395352</v>
      </c>
      <c r="D246" s="1">
        <f t="shared" si="97"/>
        <v>22.192298954544221</v>
      </c>
      <c r="E246">
        <v>270.58</v>
      </c>
      <c r="K246" s="1">
        <f>'Solar Availability and Gener GR'!F246</f>
        <v>0</v>
      </c>
      <c r="L246" s="1">
        <v>0.19302325581395352</v>
      </c>
      <c r="M246" s="1">
        <f t="shared" si="93"/>
        <v>-0.19302325581395352</v>
      </c>
      <c r="N246" s="1" t="str">
        <f t="shared" si="94"/>
        <v>Buy from Grid</v>
      </c>
      <c r="V246" s="1" t="str">
        <f t="shared" si="112"/>
        <v>discharge</v>
      </c>
      <c r="Y246" s="1">
        <f t="shared" si="91"/>
        <v>5.2228232558139541E-2</v>
      </c>
      <c r="AA246" s="1">
        <f t="shared" si="95"/>
        <v>77.026750637626932</v>
      </c>
      <c r="AD246" s="1">
        <f t="shared" si="96"/>
        <v>0</v>
      </c>
    </row>
    <row r="247" spans="1:30" ht="15">
      <c r="A247" s="1">
        <v>246</v>
      </c>
      <c r="B247" s="1">
        <f t="shared" si="104"/>
        <v>0</v>
      </c>
      <c r="C247" s="1">
        <f t="shared" si="92"/>
        <v>-0.19302325581395352</v>
      </c>
      <c r="D247" s="1">
        <f t="shared" si="97"/>
        <v>21.95101988477678</v>
      </c>
      <c r="E247">
        <v>270.29000000000002</v>
      </c>
      <c r="K247" s="1">
        <f>'Solar Availability and Gener GR'!F247</f>
        <v>0</v>
      </c>
      <c r="L247" s="1">
        <v>0.25736434108527134</v>
      </c>
      <c r="M247" s="1">
        <f t="shared" si="93"/>
        <v>-0.25736434108527134</v>
      </c>
      <c r="N247" s="1" t="str">
        <f t="shared" si="94"/>
        <v>Buy from Grid</v>
      </c>
      <c r="V247" s="1" t="str">
        <f t="shared" si="112"/>
        <v>discharge</v>
      </c>
      <c r="Y247" s="1">
        <f t="shared" si="91"/>
        <v>6.9563007751938008E-2</v>
      </c>
      <c r="AA247" s="1">
        <f t="shared" si="95"/>
        <v>76.769386296541654</v>
      </c>
      <c r="AD247" s="1">
        <f t="shared" si="96"/>
        <v>0</v>
      </c>
    </row>
    <row r="248" spans="1:30" ht="15">
      <c r="A248" s="1">
        <v>247</v>
      </c>
      <c r="B248" s="1">
        <f t="shared" si="104"/>
        <v>0</v>
      </c>
      <c r="C248" s="1">
        <f t="shared" si="92"/>
        <v>-0.25736434108527134</v>
      </c>
      <c r="D248" s="1">
        <f t="shared" si="97"/>
        <v>21.62931445842019</v>
      </c>
      <c r="E248">
        <v>270.12</v>
      </c>
      <c r="K248" s="1">
        <f>'Solar Availability and Gener GR'!F248</f>
        <v>1.6611768895219918E-2</v>
      </c>
      <c r="L248" s="1">
        <v>0.66914728682170543</v>
      </c>
      <c r="M248" s="1">
        <f t="shared" si="93"/>
        <v>-0.65253551792648556</v>
      </c>
      <c r="N248" s="1" t="str">
        <f t="shared" si="94"/>
        <v>Buy from Grid</v>
      </c>
      <c r="V248" s="1" t="str">
        <f t="shared" si="112"/>
        <v>discharge</v>
      </c>
      <c r="Y248" s="1">
        <f t="shared" si="91"/>
        <v>0.18075006511627909</v>
      </c>
      <c r="AA248" s="1">
        <f t="shared" si="95"/>
        <v>76.116850778615174</v>
      </c>
      <c r="AD248" s="1">
        <f t="shared" si="96"/>
        <v>0</v>
      </c>
    </row>
    <row r="249" spans="1:30" ht="15">
      <c r="A249" s="1">
        <v>248</v>
      </c>
      <c r="B249" s="1">
        <f t="shared" si="104"/>
        <v>0</v>
      </c>
      <c r="C249" s="1">
        <f t="shared" si="92"/>
        <v>-0.65253551792648556</v>
      </c>
      <c r="D249" s="1">
        <f t="shared" si="97"/>
        <v>20.813645061012082</v>
      </c>
      <c r="E249">
        <v>271.98</v>
      </c>
      <c r="K249" s="1">
        <f>'Solar Availability and Gener GR'!F249</f>
        <v>2.5785631621116648E-2</v>
      </c>
      <c r="L249" s="1">
        <v>0.39891472868217059</v>
      </c>
      <c r="M249" s="1">
        <f t="shared" si="93"/>
        <v>-0.37312909706105396</v>
      </c>
      <c r="N249" s="1" t="str">
        <f t="shared" si="94"/>
        <v>Buy from Grid</v>
      </c>
      <c r="V249" s="1" t="str">
        <f t="shared" si="112"/>
        <v>discharge</v>
      </c>
      <c r="Y249" s="1">
        <f t="shared" si="91"/>
        <v>0.10849682790697676</v>
      </c>
      <c r="AA249" s="1">
        <f t="shared" si="95"/>
        <v>75.743721681554121</v>
      </c>
      <c r="AD249" s="1">
        <f t="shared" si="96"/>
        <v>0</v>
      </c>
    </row>
    <row r="250" spans="1:30" ht="15">
      <c r="A250" s="1">
        <v>249</v>
      </c>
      <c r="B250" s="1">
        <f t="shared" si="104"/>
        <v>0</v>
      </c>
      <c r="C250" s="1">
        <f t="shared" si="92"/>
        <v>-0.37312909706105396</v>
      </c>
      <c r="D250" s="1">
        <f t="shared" si="97"/>
        <v>20.347233689685766</v>
      </c>
      <c r="E250">
        <v>271.92</v>
      </c>
      <c r="K250" s="1">
        <f>'Solar Availability and Gener GR'!F250</f>
        <v>7.3257366687438957E-2</v>
      </c>
      <c r="L250" s="1">
        <v>0.39891472868217059</v>
      </c>
      <c r="M250" s="1">
        <f t="shared" si="93"/>
        <v>-0.32565736199473161</v>
      </c>
      <c r="N250" s="1" t="str">
        <f t="shared" si="94"/>
        <v>Buy from Grid</v>
      </c>
      <c r="V250" s="1" t="str">
        <f t="shared" si="112"/>
        <v>discharge</v>
      </c>
      <c r="Y250" s="1">
        <f t="shared" si="91"/>
        <v>0.10847289302325583</v>
      </c>
      <c r="AA250" s="1">
        <f t="shared" si="95"/>
        <v>75.418064319559392</v>
      </c>
      <c r="AD250" s="1">
        <f t="shared" si="96"/>
        <v>0</v>
      </c>
    </row>
    <row r="251" spans="1:30" ht="15">
      <c r="A251" s="1">
        <v>250</v>
      </c>
      <c r="B251" s="1">
        <f t="shared" si="104"/>
        <v>0</v>
      </c>
      <c r="C251" s="1">
        <f t="shared" si="92"/>
        <v>-0.32565736199473161</v>
      </c>
      <c r="D251" s="1">
        <f t="shared" si="97"/>
        <v>19.940161987192351</v>
      </c>
      <c r="E251">
        <v>254.22</v>
      </c>
      <c r="K251" s="1">
        <f>'Solar Availability and Gener GR'!F251</f>
        <v>0.36966527196652443</v>
      </c>
      <c r="L251" s="1">
        <v>0.39891472868217059</v>
      </c>
      <c r="M251" s="1">
        <f t="shared" si="93"/>
        <v>-2.924945671564616E-2</v>
      </c>
      <c r="N251" s="1" t="str">
        <f t="shared" si="94"/>
        <v>Buy from Grid</v>
      </c>
      <c r="V251" s="1" t="str">
        <f t="shared" si="112"/>
        <v>discharge</v>
      </c>
      <c r="Y251" s="1">
        <f t="shared" si="91"/>
        <v>0.1014121023255814</v>
      </c>
      <c r="AA251" s="1">
        <f t="shared" si="95"/>
        <v>75.388814862843745</v>
      </c>
      <c r="AD251" s="1">
        <f t="shared" si="96"/>
        <v>0</v>
      </c>
    </row>
    <row r="252" spans="1:30" ht="15">
      <c r="A252" s="1">
        <v>251</v>
      </c>
      <c r="B252" s="1">
        <f t="shared" si="104"/>
        <v>0</v>
      </c>
      <c r="C252" s="1">
        <f t="shared" si="92"/>
        <v>-2.924945671564616E-2</v>
      </c>
      <c r="D252" s="1">
        <f t="shared" si="97"/>
        <v>19.903600166297792</v>
      </c>
      <c r="E252">
        <v>186.71</v>
      </c>
      <c r="K252" s="1">
        <f>'Solar Availability and Gener GR'!F252</f>
        <v>0.79054126235199706</v>
      </c>
      <c r="L252" s="1">
        <v>0.39891472868217059</v>
      </c>
      <c r="M252" s="1">
        <f t="shared" si="93"/>
        <v>0.39162653366982647</v>
      </c>
      <c r="N252" s="1" t="str">
        <f t="shared" si="94"/>
        <v>sell the surplus or charge</v>
      </c>
      <c r="O252" s="1">
        <v>0.25</v>
      </c>
      <c r="P252" s="1">
        <f t="shared" ref="P252:P257" si="113">0.25/L252</f>
        <v>0.62670034978624167</v>
      </c>
      <c r="Q252" s="1">
        <f t="shared" ref="Q252:Q257" si="114">K252-P252*L252</f>
        <v>0.54054126235199706</v>
      </c>
      <c r="R252" s="1">
        <f t="shared" ref="R252:R257" si="115">((1/(E252+0.01))*LN(0.25))+(E252*(K252-0.25))</f>
        <v>100.91703463807985</v>
      </c>
      <c r="S252" s="1">
        <f t="shared" ref="S252:S257" si="116">((1/(E252+0.01))*LN(L252))+(E252*(K252-L252))</f>
        <v>73.11566825274916</v>
      </c>
      <c r="T252" s="1">
        <f t="shared" ref="T252:T257" si="117">(S252+((S252^2)-4*(K252-L252*P252)*LN(L252*P252))^(0.5))/(2*(K252-L252*P252))</f>
        <v>135.28276327712811</v>
      </c>
      <c r="U252" s="1" t="str">
        <f t="shared" ref="U252:U257" si="118">IF(E252&gt;=T252*1.1,"sell to the Grid","charge")</f>
        <v>sell to the Grid</v>
      </c>
      <c r="W252" s="1">
        <f t="shared" ref="W252:W257" si="119">(Q252*E252)/1000</f>
        <v>0.10092445909374137</v>
      </c>
      <c r="Y252" s="1">
        <f t="shared" si="91"/>
        <v>7.4481368992248081E-2</v>
      </c>
      <c r="AA252" s="1">
        <f t="shared" si="95"/>
        <v>75.780441396513567</v>
      </c>
      <c r="AD252" s="1">
        <f t="shared" si="96"/>
        <v>0.25</v>
      </c>
    </row>
    <row r="253" spans="1:30" ht="15">
      <c r="A253" s="1">
        <v>252</v>
      </c>
      <c r="B253" s="1">
        <f t="shared" si="104"/>
        <v>0</v>
      </c>
      <c r="C253" s="1">
        <f t="shared" si="92"/>
        <v>0</v>
      </c>
      <c r="D253" s="1">
        <f t="shared" si="97"/>
        <v>19.903600166297792</v>
      </c>
      <c r="E253">
        <v>174.43</v>
      </c>
      <c r="K253" s="1">
        <f>'Solar Availability and Gener GR'!F253</f>
        <v>1.3741431496483572</v>
      </c>
      <c r="L253" s="1">
        <v>0.39891472868217059</v>
      </c>
      <c r="M253" s="1">
        <f t="shared" si="93"/>
        <v>0.97522842096618656</v>
      </c>
      <c r="N253" s="1" t="str">
        <f t="shared" si="94"/>
        <v>sell the surplus or charge</v>
      </c>
      <c r="O253" s="1">
        <v>0.25</v>
      </c>
      <c r="P253" s="1">
        <f t="shared" si="113"/>
        <v>0.62670034978624167</v>
      </c>
      <c r="Q253" s="1">
        <f t="shared" si="114"/>
        <v>1.1241431496483572</v>
      </c>
      <c r="R253" s="1">
        <f t="shared" si="115"/>
        <v>196.07634248033835</v>
      </c>
      <c r="S253" s="1">
        <f t="shared" si="116"/>
        <v>170.10382513848811</v>
      </c>
      <c r="T253" s="1">
        <f t="shared" si="117"/>
        <v>151.32680043693233</v>
      </c>
      <c r="U253" s="1" t="str">
        <f t="shared" si="118"/>
        <v>sell to the Grid</v>
      </c>
      <c r="W253" s="1">
        <f t="shared" si="119"/>
        <v>0.19608428959316293</v>
      </c>
      <c r="Y253" s="1">
        <f t="shared" si="91"/>
        <v>6.9582696124031021E-2</v>
      </c>
      <c r="AA253" s="1">
        <f t="shared" si="95"/>
        <v>76.755669817479756</v>
      </c>
      <c r="AD253" s="1">
        <f t="shared" si="96"/>
        <v>0.25</v>
      </c>
    </row>
    <row r="254" spans="1:30" ht="15">
      <c r="A254" s="1">
        <v>253</v>
      </c>
      <c r="B254" s="1">
        <f t="shared" si="104"/>
        <v>0</v>
      </c>
      <c r="C254" s="1">
        <f t="shared" si="92"/>
        <v>0</v>
      </c>
      <c r="D254" s="1">
        <f t="shared" si="97"/>
        <v>19.903600166297792</v>
      </c>
      <c r="E254">
        <v>177.45</v>
      </c>
      <c r="K254" s="1">
        <f>'Solar Availability and Gener GR'!F254</f>
        <v>1.5444</v>
      </c>
      <c r="L254" s="1">
        <v>0.39891472868217059</v>
      </c>
      <c r="M254" s="1">
        <f t="shared" si="93"/>
        <v>1.1454852713178294</v>
      </c>
      <c r="N254" s="1" t="str">
        <f t="shared" si="94"/>
        <v>sell the surplus or charge</v>
      </c>
      <c r="O254" s="1">
        <v>0.25</v>
      </c>
      <c r="P254" s="1">
        <f t="shared" si="113"/>
        <v>0.62670034978624167</v>
      </c>
      <c r="Q254" s="1">
        <f t="shared" si="114"/>
        <v>1.2944</v>
      </c>
      <c r="R254" s="1">
        <f t="shared" si="115"/>
        <v>229.68346813050195</v>
      </c>
      <c r="S254" s="1">
        <f t="shared" si="116"/>
        <v>203.26118272073194</v>
      </c>
      <c r="T254" s="1">
        <f t="shared" si="117"/>
        <v>157.03801798783519</v>
      </c>
      <c r="U254" s="1" t="str">
        <f t="shared" si="118"/>
        <v>sell to the Grid</v>
      </c>
      <c r="W254" s="1">
        <f t="shared" si="119"/>
        <v>0.22969127999999997</v>
      </c>
      <c r="Y254" s="1">
        <f t="shared" si="91"/>
        <v>7.0787418604651167E-2</v>
      </c>
      <c r="AA254" s="1">
        <f t="shared" si="95"/>
        <v>77.90115508879758</v>
      </c>
      <c r="AD254" s="1">
        <f t="shared" si="96"/>
        <v>0.25</v>
      </c>
    </row>
    <row r="255" spans="1:30" ht="15">
      <c r="A255" s="1">
        <v>254</v>
      </c>
      <c r="B255" s="1">
        <f t="shared" si="104"/>
        <v>0</v>
      </c>
      <c r="C255" s="1">
        <f t="shared" si="92"/>
        <v>0</v>
      </c>
      <c r="D255" s="1">
        <f t="shared" si="97"/>
        <v>19.903600166297792</v>
      </c>
      <c r="E255">
        <v>179.18</v>
      </c>
      <c r="K255" s="1">
        <f>'Solar Availability and Gener GR'!F255</f>
        <v>1.5456423039259319</v>
      </c>
      <c r="L255" s="1">
        <v>0.39891472868217059</v>
      </c>
      <c r="M255" s="1">
        <f t="shared" si="93"/>
        <v>1.1467275752437613</v>
      </c>
      <c r="N255" s="1" t="str">
        <f t="shared" si="94"/>
        <v>sell the surplus or charge</v>
      </c>
      <c r="O255" s="1">
        <v>0.25</v>
      </c>
      <c r="P255" s="1">
        <f t="shared" si="113"/>
        <v>0.62670034978624167</v>
      </c>
      <c r="Q255" s="1">
        <f t="shared" si="114"/>
        <v>1.2956423039259319</v>
      </c>
      <c r="R255" s="1">
        <f t="shared" si="115"/>
        <v>232.1454515680868</v>
      </c>
      <c r="S255" s="1">
        <f t="shared" si="116"/>
        <v>205.46551825536758</v>
      </c>
      <c r="T255" s="1">
        <f t="shared" si="117"/>
        <v>158.58872396818251</v>
      </c>
      <c r="U255" s="1" t="str">
        <f t="shared" si="118"/>
        <v>sell to the Grid</v>
      </c>
      <c r="W255" s="1">
        <f t="shared" si="119"/>
        <v>0.2321531880174485</v>
      </c>
      <c r="Y255" s="1">
        <f t="shared" si="91"/>
        <v>7.1477541085271323E-2</v>
      </c>
      <c r="AA255" s="1">
        <f t="shared" si="95"/>
        <v>79.047882664041339</v>
      </c>
      <c r="AD255" s="1">
        <f t="shared" si="96"/>
        <v>0.25</v>
      </c>
    </row>
    <row r="256" spans="1:30" ht="15">
      <c r="A256" s="1">
        <v>255</v>
      </c>
      <c r="B256" s="1">
        <f t="shared" si="104"/>
        <v>0</v>
      </c>
      <c r="C256" s="1">
        <f t="shared" si="92"/>
        <v>0</v>
      </c>
      <c r="D256" s="1">
        <f t="shared" si="97"/>
        <v>19.903600166297792</v>
      </c>
      <c r="E256">
        <v>211</v>
      </c>
      <c r="K256" s="1">
        <f>'Solar Availability and Gener GR'!F256</f>
        <v>1.4303347280334719</v>
      </c>
      <c r="L256" s="1">
        <v>0.39891472868217059</v>
      </c>
      <c r="M256" s="1">
        <f t="shared" si="93"/>
        <v>1.0314199993513014</v>
      </c>
      <c r="N256" s="1" t="str">
        <f t="shared" si="94"/>
        <v>sell the surplus or charge</v>
      </c>
      <c r="O256" s="1">
        <v>0.25</v>
      </c>
      <c r="P256" s="1">
        <f t="shared" si="113"/>
        <v>0.62670034978624167</v>
      </c>
      <c r="Q256" s="1">
        <f t="shared" si="114"/>
        <v>1.1803347280334719</v>
      </c>
      <c r="R256" s="1">
        <f t="shared" si="115"/>
        <v>249.04405781097216</v>
      </c>
      <c r="S256" s="1">
        <f t="shared" si="116"/>
        <v>217.62526458329185</v>
      </c>
      <c r="T256" s="1">
        <f t="shared" si="117"/>
        <v>184.38225869584844</v>
      </c>
      <c r="U256" s="1" t="str">
        <f t="shared" si="118"/>
        <v>sell to the Grid</v>
      </c>
      <c r="W256" s="1">
        <f t="shared" si="119"/>
        <v>0.24905062761506258</v>
      </c>
      <c r="Y256" s="1">
        <f t="shared" si="91"/>
        <v>8.417100775193799E-2</v>
      </c>
      <c r="AA256" s="1">
        <f t="shared" si="95"/>
        <v>80.079302663392639</v>
      </c>
      <c r="AD256" s="1">
        <f t="shared" si="96"/>
        <v>0.25</v>
      </c>
    </row>
    <row r="257" spans="1:30" ht="15">
      <c r="A257" s="1">
        <v>256</v>
      </c>
      <c r="B257" s="1">
        <f t="shared" si="104"/>
        <v>0</v>
      </c>
      <c r="C257" s="1">
        <f t="shared" si="92"/>
        <v>0</v>
      </c>
      <c r="D257" s="1">
        <f t="shared" si="97"/>
        <v>19.903600166297792</v>
      </c>
      <c r="E257">
        <v>269.47000000000003</v>
      </c>
      <c r="K257" s="1">
        <f>'Solar Availability and Gener GR'!F257</f>
        <v>1.1235244369269095</v>
      </c>
      <c r="L257" s="1">
        <v>0.66914728682170543</v>
      </c>
      <c r="M257" s="1">
        <f t="shared" si="93"/>
        <v>0.45437715010520408</v>
      </c>
      <c r="N257" s="1" t="str">
        <f t="shared" si="94"/>
        <v>sell the surplus or charge</v>
      </c>
      <c r="O257" s="1">
        <v>0.25</v>
      </c>
      <c r="P257" s="1">
        <f t="shared" si="113"/>
        <v>0.3736098239110287</v>
      </c>
      <c r="Q257" s="1">
        <f t="shared" si="114"/>
        <v>0.87352443692690951</v>
      </c>
      <c r="R257" s="1">
        <f t="shared" si="115"/>
        <v>235.38348568753386</v>
      </c>
      <c r="S257" s="1">
        <f t="shared" si="116"/>
        <v>122.43951980062977</v>
      </c>
      <c r="T257" s="1">
        <f t="shared" si="117"/>
        <v>140.17857327462639</v>
      </c>
      <c r="U257" s="1" t="str">
        <f t="shared" si="118"/>
        <v>sell to the Grid</v>
      </c>
      <c r="W257" s="1">
        <f t="shared" si="119"/>
        <v>0.23538863001869434</v>
      </c>
      <c r="Y257" s="1">
        <f t="shared" si="91"/>
        <v>0.18031511937984498</v>
      </c>
      <c r="AA257" s="1">
        <f t="shared" si="95"/>
        <v>80.533679813497841</v>
      </c>
      <c r="AD257" s="1">
        <f t="shared" si="96"/>
        <v>0.25</v>
      </c>
    </row>
    <row r="258" spans="1:30" ht="15">
      <c r="A258" s="1">
        <v>257</v>
      </c>
      <c r="B258" s="1">
        <f t="shared" si="104"/>
        <v>0</v>
      </c>
      <c r="C258" s="1">
        <f t="shared" si="92"/>
        <v>0</v>
      </c>
      <c r="D258" s="1">
        <f t="shared" si="97"/>
        <v>19.903600166297792</v>
      </c>
      <c r="E258">
        <v>268.56</v>
      </c>
      <c r="K258" s="1">
        <f>'Solar Availability and Gener GR'!F258</f>
        <v>0.64438707380040716</v>
      </c>
      <c r="L258" s="1">
        <v>0.66914728682170543</v>
      </c>
      <c r="M258" s="1">
        <f t="shared" si="93"/>
        <v>-2.4760213021298272E-2</v>
      </c>
      <c r="N258" s="1" t="str">
        <f t="shared" si="94"/>
        <v>Buy from Grid</v>
      </c>
      <c r="V258" s="1" t="str">
        <f t="shared" ref="V258:V275" si="120">IF(D258+M258&gt;0,"discharge","buy from the Grid")</f>
        <v>discharge</v>
      </c>
      <c r="Y258" s="1">
        <f t="shared" ref="Y258:Y289" si="121">(L258*E258)/1000</f>
        <v>0.17970619534883722</v>
      </c>
      <c r="AA258" s="1">
        <f t="shared" si="95"/>
        <v>80.508919600476545</v>
      </c>
      <c r="AD258" s="1">
        <f t="shared" si="96"/>
        <v>0</v>
      </c>
    </row>
    <row r="259" spans="1:30" ht="15">
      <c r="A259" s="1">
        <v>258</v>
      </c>
      <c r="B259" s="1">
        <f t="shared" si="104"/>
        <v>0</v>
      </c>
      <c r="C259" s="1">
        <f t="shared" ref="C259:C289" si="122">IF(V258="discharge",M258,0)</f>
        <v>-2.4760213021298272E-2</v>
      </c>
      <c r="D259" s="1">
        <f t="shared" si="97"/>
        <v>19.87264990002117</v>
      </c>
      <c r="E259">
        <v>280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23">K259-L259</f>
        <v>-0.4655997038073727</v>
      </c>
      <c r="N259" s="1" t="str">
        <f t="shared" ref="N259:N289" si="124">IF(M259&lt;0,"Buy from Grid","sell the surplus or charge")</f>
        <v>Buy from Grid</v>
      </c>
      <c r="V259" s="1" t="str">
        <f t="shared" si="120"/>
        <v>discharge</v>
      </c>
      <c r="Y259" s="1">
        <f t="shared" si="121"/>
        <v>0.18736124031007753</v>
      </c>
      <c r="AA259" s="1">
        <f t="shared" ref="AA259:AA289" si="125">M259+AA258</f>
        <v>80.043319896669175</v>
      </c>
      <c r="AD259" s="1">
        <f t="shared" ref="AD259:AD289" si="126">AC259+O259</f>
        <v>0</v>
      </c>
    </row>
    <row r="260" spans="1:30" ht="15">
      <c r="A260" s="1">
        <v>259</v>
      </c>
      <c r="B260" s="1">
        <f t="shared" si="104"/>
        <v>0</v>
      </c>
      <c r="C260" s="1">
        <f t="shared" si="122"/>
        <v>-0.4655997038073727</v>
      </c>
      <c r="D260" s="1">
        <f t="shared" ref="D260:D289" si="127">(D259)+(B260*0.8)+(C260/0.8)</f>
        <v>19.290650270261953</v>
      </c>
      <c r="E260">
        <v>280</v>
      </c>
      <c r="K260" s="1">
        <f>'Solar Availability and Gener GR'!F260</f>
        <v>2.1205377014155053E-2</v>
      </c>
      <c r="L260" s="1">
        <v>0.66914728682170543</v>
      </c>
      <c r="M260" s="1">
        <f t="shared" si="123"/>
        <v>-0.6479419098075504</v>
      </c>
      <c r="N260" s="1" t="str">
        <f t="shared" si="124"/>
        <v>Buy from Grid</v>
      </c>
      <c r="V260" s="1" t="str">
        <f t="shared" si="120"/>
        <v>discharge</v>
      </c>
      <c r="Y260" s="1">
        <f t="shared" si="121"/>
        <v>0.18736124031007753</v>
      </c>
      <c r="AA260" s="1">
        <f t="shared" si="125"/>
        <v>79.395377986861618</v>
      </c>
      <c r="AD260" s="1">
        <f t="shared" si="126"/>
        <v>0</v>
      </c>
    </row>
    <row r="261" spans="1:30" ht="15">
      <c r="A261" s="1">
        <v>260</v>
      </c>
      <c r="B261" s="1">
        <f t="shared" si="104"/>
        <v>0</v>
      </c>
      <c r="C261" s="1">
        <f t="shared" si="122"/>
        <v>-0.6479419098075504</v>
      </c>
      <c r="D261" s="1">
        <f t="shared" si="127"/>
        <v>18.480722883002514</v>
      </c>
      <c r="E261">
        <v>270.06</v>
      </c>
      <c r="K261" s="1">
        <f>'Solar Availability and Gener GR'!F261</f>
        <v>0</v>
      </c>
      <c r="L261" s="1">
        <v>0.39891472868217059</v>
      </c>
      <c r="M261" s="1">
        <f t="shared" si="123"/>
        <v>-0.39891472868217059</v>
      </c>
      <c r="N261" s="1" t="str">
        <f t="shared" si="124"/>
        <v>Buy from Grid</v>
      </c>
      <c r="V261" s="1" t="str">
        <f t="shared" si="120"/>
        <v>discharge</v>
      </c>
      <c r="Y261" s="1">
        <f t="shared" si="121"/>
        <v>0.10773091162790699</v>
      </c>
      <c r="AA261" s="1">
        <f t="shared" si="125"/>
        <v>78.996463258179446</v>
      </c>
      <c r="AD261" s="1">
        <f t="shared" si="126"/>
        <v>0</v>
      </c>
    </row>
    <row r="262" spans="1:30" ht="15">
      <c r="A262" s="1">
        <v>261</v>
      </c>
      <c r="B262" s="1">
        <f t="shared" si="104"/>
        <v>0</v>
      </c>
      <c r="C262" s="1">
        <f t="shared" si="122"/>
        <v>-0.39891472868217059</v>
      </c>
      <c r="D262" s="1">
        <f t="shared" si="127"/>
        <v>17.982079472149799</v>
      </c>
      <c r="E262">
        <v>246.1</v>
      </c>
      <c r="K262" s="1">
        <f>'Solar Availability and Gener GR'!F262</f>
        <v>0</v>
      </c>
      <c r="L262" s="1">
        <v>0.39891472868217059</v>
      </c>
      <c r="M262" s="1">
        <f t="shared" si="123"/>
        <v>-0.39891472868217059</v>
      </c>
      <c r="N262" s="1" t="str">
        <f t="shared" si="124"/>
        <v>Buy from Grid</v>
      </c>
      <c r="V262" s="1" t="str">
        <f t="shared" si="120"/>
        <v>discharge</v>
      </c>
      <c r="Y262" s="1">
        <f t="shared" si="121"/>
        <v>9.8172914728682184E-2</v>
      </c>
      <c r="AA262" s="1">
        <f t="shared" si="125"/>
        <v>78.597548529497274</v>
      </c>
      <c r="AD262" s="1">
        <f t="shared" si="126"/>
        <v>0</v>
      </c>
    </row>
    <row r="263" spans="1:30" ht="15">
      <c r="A263" s="1">
        <v>262</v>
      </c>
      <c r="B263" s="1">
        <f t="shared" si="104"/>
        <v>0</v>
      </c>
      <c r="C263" s="1">
        <f t="shared" si="122"/>
        <v>-0.39891472868217059</v>
      </c>
      <c r="D263" s="1">
        <f t="shared" si="127"/>
        <v>17.483436061297084</v>
      </c>
      <c r="E263">
        <v>205</v>
      </c>
      <c r="K263" s="1">
        <f>'Solar Availability and Gener GR'!F263</f>
        <v>0</v>
      </c>
      <c r="L263" s="1">
        <v>0.39891472868217059</v>
      </c>
      <c r="M263" s="1">
        <f t="shared" si="123"/>
        <v>-0.39891472868217059</v>
      </c>
      <c r="N263" s="1" t="str">
        <f t="shared" si="124"/>
        <v>Buy from Grid</v>
      </c>
      <c r="V263" s="1" t="str">
        <f t="shared" si="120"/>
        <v>discharge</v>
      </c>
      <c r="Y263" s="1">
        <f t="shared" si="121"/>
        <v>8.1777519379844982E-2</v>
      </c>
      <c r="AA263" s="1">
        <f t="shared" si="125"/>
        <v>78.198633800815102</v>
      </c>
      <c r="AD263" s="1">
        <f t="shared" si="126"/>
        <v>0</v>
      </c>
    </row>
    <row r="264" spans="1:30" ht="15">
      <c r="A264" s="1">
        <v>263</v>
      </c>
      <c r="B264" s="1">
        <f t="shared" si="104"/>
        <v>0</v>
      </c>
      <c r="C264" s="1">
        <f t="shared" si="122"/>
        <v>-0.39891472868217059</v>
      </c>
      <c r="D264" s="1">
        <f t="shared" si="127"/>
        <v>16.984792650444369</v>
      </c>
      <c r="E264">
        <v>269.02</v>
      </c>
      <c r="K264" s="1">
        <f>'Solar Availability and Gener GR'!F264</f>
        <v>0</v>
      </c>
      <c r="L264" s="1">
        <v>0.2831007751937985</v>
      </c>
      <c r="M264" s="1">
        <f t="shared" si="123"/>
        <v>-0.2831007751937985</v>
      </c>
      <c r="N264" s="1" t="str">
        <f t="shared" si="124"/>
        <v>Buy from Grid</v>
      </c>
      <c r="V264" s="1" t="str">
        <f t="shared" si="120"/>
        <v>discharge</v>
      </c>
      <c r="Y264" s="1">
        <f t="shared" si="121"/>
        <v>7.6159770542635674E-2</v>
      </c>
      <c r="AA264" s="1">
        <f t="shared" si="125"/>
        <v>77.915533025621301</v>
      </c>
      <c r="AD264" s="1">
        <f t="shared" si="126"/>
        <v>0</v>
      </c>
    </row>
    <row r="265" spans="1:30" ht="15">
      <c r="A265" s="1">
        <v>264</v>
      </c>
      <c r="B265" s="1">
        <f t="shared" si="104"/>
        <v>0</v>
      </c>
      <c r="C265" s="1">
        <f t="shared" si="122"/>
        <v>-0.2831007751937985</v>
      </c>
      <c r="D265" s="1">
        <f t="shared" si="127"/>
        <v>16.630916681452121</v>
      </c>
      <c r="E265">
        <v>186.54</v>
      </c>
      <c r="K265" s="1">
        <f>'Solar Availability and Gener GR'!F265</f>
        <v>0</v>
      </c>
      <c r="L265" s="1">
        <v>0.29596899224806206</v>
      </c>
      <c r="M265" s="1">
        <f t="shared" si="123"/>
        <v>-0.29596899224806206</v>
      </c>
      <c r="N265" s="1" t="str">
        <f t="shared" si="124"/>
        <v>Buy from Grid</v>
      </c>
      <c r="V265" s="1" t="str">
        <f t="shared" si="120"/>
        <v>discharge</v>
      </c>
      <c r="Y265" s="1">
        <f t="shared" si="121"/>
        <v>5.5210055813953496E-2</v>
      </c>
      <c r="AA265" s="1">
        <f t="shared" si="125"/>
        <v>77.619564033373237</v>
      </c>
      <c r="AD265" s="1">
        <f t="shared" si="126"/>
        <v>0</v>
      </c>
    </row>
    <row r="266" spans="1:30" ht="15">
      <c r="A266" s="1">
        <v>265</v>
      </c>
      <c r="B266" s="1">
        <f t="shared" si="104"/>
        <v>0</v>
      </c>
      <c r="C266" s="1">
        <f t="shared" si="122"/>
        <v>-0.29596899224806206</v>
      </c>
      <c r="D266" s="1">
        <f t="shared" si="127"/>
        <v>16.260955441142045</v>
      </c>
      <c r="E266">
        <v>160.72</v>
      </c>
      <c r="K266" s="1">
        <f>'Solar Availability and Gener GR'!F266</f>
        <v>0</v>
      </c>
      <c r="L266" s="1">
        <v>0.2831007751937985</v>
      </c>
      <c r="M266" s="1">
        <f t="shared" si="123"/>
        <v>-0.2831007751937985</v>
      </c>
      <c r="N266" s="1" t="str">
        <f t="shared" si="124"/>
        <v>Buy from Grid</v>
      </c>
      <c r="V266" s="1" t="str">
        <f t="shared" si="120"/>
        <v>discharge</v>
      </c>
      <c r="Y266" s="1">
        <f t="shared" si="121"/>
        <v>4.5499956589147295E-2</v>
      </c>
      <c r="AA266" s="1">
        <f t="shared" si="125"/>
        <v>77.336463258179435</v>
      </c>
      <c r="AD266" s="1">
        <f t="shared" si="126"/>
        <v>0</v>
      </c>
    </row>
    <row r="267" spans="1:30" ht="15">
      <c r="A267" s="1">
        <v>266</v>
      </c>
      <c r="B267" s="1">
        <f t="shared" si="104"/>
        <v>0</v>
      </c>
      <c r="C267" s="1">
        <f t="shared" si="122"/>
        <v>-0.2831007751937985</v>
      </c>
      <c r="D267" s="1">
        <f t="shared" si="127"/>
        <v>15.907079472149796</v>
      </c>
      <c r="E267">
        <v>150.08000000000001</v>
      </c>
      <c r="K267" s="1">
        <f>'Solar Availability and Gener GR'!F267</f>
        <v>0</v>
      </c>
      <c r="L267" s="1">
        <v>0.19302325581395352</v>
      </c>
      <c r="M267" s="1">
        <f t="shared" si="123"/>
        <v>-0.19302325581395352</v>
      </c>
      <c r="N267" s="1" t="str">
        <f t="shared" si="124"/>
        <v>Buy from Grid</v>
      </c>
      <c r="V267" s="1" t="str">
        <f t="shared" si="120"/>
        <v>discharge</v>
      </c>
      <c r="Y267" s="1">
        <f t="shared" si="121"/>
        <v>2.8968930232558147E-2</v>
      </c>
      <c r="AA267" s="1">
        <f t="shared" si="125"/>
        <v>77.14344000236548</v>
      </c>
      <c r="AD267" s="1">
        <f t="shared" si="126"/>
        <v>0</v>
      </c>
    </row>
    <row r="268" spans="1:30" ht="15">
      <c r="A268" s="1">
        <v>267</v>
      </c>
      <c r="B268" s="1">
        <f t="shared" si="104"/>
        <v>0</v>
      </c>
      <c r="C268" s="1">
        <f t="shared" si="122"/>
        <v>-0.19302325581395352</v>
      </c>
      <c r="D268" s="1">
        <f t="shared" si="127"/>
        <v>15.665800402382354</v>
      </c>
      <c r="E268">
        <v>131</v>
      </c>
      <c r="K268" s="1">
        <f>'Solar Availability and Gener GR'!F268</f>
        <v>0</v>
      </c>
      <c r="L268" s="1">
        <v>0.19302325581395352</v>
      </c>
      <c r="M268" s="1">
        <f t="shared" si="123"/>
        <v>-0.19302325581395352</v>
      </c>
      <c r="N268" s="1" t="str">
        <f t="shared" si="124"/>
        <v>Buy from Grid</v>
      </c>
      <c r="V268" s="1" t="str">
        <f t="shared" si="120"/>
        <v>discharge</v>
      </c>
      <c r="Y268" s="1">
        <f t="shared" si="121"/>
        <v>2.5286046511627913E-2</v>
      </c>
      <c r="AA268" s="1">
        <f t="shared" si="125"/>
        <v>76.950416746551525</v>
      </c>
      <c r="AD268" s="1">
        <f t="shared" si="126"/>
        <v>0</v>
      </c>
    </row>
    <row r="269" spans="1:30" ht="15">
      <c r="A269" s="1">
        <v>268</v>
      </c>
      <c r="B269" s="1">
        <f t="shared" si="104"/>
        <v>0</v>
      </c>
      <c r="C269" s="1">
        <f t="shared" si="122"/>
        <v>-0.19302325581395352</v>
      </c>
      <c r="D269" s="1">
        <f t="shared" si="127"/>
        <v>15.424521332614912</v>
      </c>
      <c r="E269">
        <v>129.19999999999999</v>
      </c>
      <c r="K269" s="1">
        <f>'Solar Availability and Gener GR'!F269</f>
        <v>0</v>
      </c>
      <c r="L269" s="1">
        <v>0.19302325581395352</v>
      </c>
      <c r="M269" s="1">
        <f t="shared" si="123"/>
        <v>-0.19302325581395352</v>
      </c>
      <c r="N269" s="1" t="str">
        <f t="shared" si="124"/>
        <v>Buy from Grid</v>
      </c>
      <c r="V269" s="1" t="str">
        <f t="shared" si="120"/>
        <v>discharge</v>
      </c>
      <c r="Y269" s="1">
        <f t="shared" si="121"/>
        <v>2.493860465116279E-2</v>
      </c>
      <c r="AA269" s="1">
        <f t="shared" si="125"/>
        <v>76.75739349073757</v>
      </c>
      <c r="AD269" s="1">
        <f t="shared" si="126"/>
        <v>0</v>
      </c>
    </row>
    <row r="270" spans="1:30" ht="15">
      <c r="A270" s="1">
        <v>269</v>
      </c>
      <c r="B270" s="1">
        <f t="shared" si="104"/>
        <v>0</v>
      </c>
      <c r="C270" s="1">
        <f t="shared" si="122"/>
        <v>-0.19302325581395352</v>
      </c>
      <c r="D270" s="1">
        <f t="shared" si="127"/>
        <v>15.18324226284747</v>
      </c>
      <c r="E270">
        <v>133.5</v>
      </c>
      <c r="K270" s="1">
        <f>'Solar Availability and Gener GR'!F270</f>
        <v>0</v>
      </c>
      <c r="L270" s="1">
        <v>0.19302325581395352</v>
      </c>
      <c r="M270" s="1">
        <f t="shared" si="123"/>
        <v>-0.19302325581395352</v>
      </c>
      <c r="N270" s="1" t="str">
        <f t="shared" si="124"/>
        <v>Buy from Grid</v>
      </c>
      <c r="V270" s="1" t="str">
        <f t="shared" si="120"/>
        <v>discharge</v>
      </c>
      <c r="Y270" s="1">
        <f t="shared" si="121"/>
        <v>2.5768604651162798E-2</v>
      </c>
      <c r="AA270" s="1">
        <f t="shared" si="125"/>
        <v>76.564370234923615</v>
      </c>
      <c r="AD270" s="1">
        <f t="shared" si="126"/>
        <v>0</v>
      </c>
    </row>
    <row r="271" spans="1:30" ht="15">
      <c r="A271" s="1">
        <v>270</v>
      </c>
      <c r="B271" s="1">
        <f t="shared" si="104"/>
        <v>0</v>
      </c>
      <c r="C271" s="1">
        <f t="shared" si="122"/>
        <v>-0.19302325581395352</v>
      </c>
      <c r="D271" s="1">
        <f t="shared" si="127"/>
        <v>14.941963193080028</v>
      </c>
      <c r="E271">
        <v>162.82</v>
      </c>
      <c r="K271" s="1">
        <f>'Solar Availability and Gener GR'!F271</f>
        <v>0</v>
      </c>
      <c r="L271" s="1">
        <v>0.64341085271317833</v>
      </c>
      <c r="M271" s="1">
        <f t="shared" si="123"/>
        <v>-0.64341085271317833</v>
      </c>
      <c r="N271" s="1" t="str">
        <f t="shared" si="124"/>
        <v>Buy from Grid</v>
      </c>
      <c r="V271" s="1" t="str">
        <f t="shared" si="120"/>
        <v>discharge</v>
      </c>
      <c r="Y271" s="1">
        <f t="shared" si="121"/>
        <v>0.1047601550387597</v>
      </c>
      <c r="AA271" s="1">
        <f t="shared" si="125"/>
        <v>75.920959382210441</v>
      </c>
      <c r="AD271" s="1">
        <f t="shared" si="126"/>
        <v>0</v>
      </c>
    </row>
    <row r="272" spans="1:30" ht="15">
      <c r="A272" s="1">
        <v>271</v>
      </c>
      <c r="B272" s="1">
        <f t="shared" ref="B272:B289" si="128">IF(U272="charge",Q272,0)</f>
        <v>0</v>
      </c>
      <c r="C272" s="1">
        <f t="shared" si="122"/>
        <v>-0.64341085271317833</v>
      </c>
      <c r="D272" s="1">
        <f t="shared" si="127"/>
        <v>14.137699627188555</v>
      </c>
      <c r="E272">
        <v>333</v>
      </c>
      <c r="K272" s="1">
        <f>'Solar Availability and Gener GR'!F272</f>
        <v>3.5999999999999997E-2</v>
      </c>
      <c r="L272" s="1">
        <v>0.64341085271317833</v>
      </c>
      <c r="M272" s="1">
        <f t="shared" si="123"/>
        <v>-0.6074108527131783</v>
      </c>
      <c r="N272" s="1" t="str">
        <f t="shared" si="124"/>
        <v>Buy from Grid</v>
      </c>
      <c r="V272" s="1" t="str">
        <f t="shared" si="120"/>
        <v>discharge</v>
      </c>
      <c r="Y272" s="1">
        <f t="shared" si="121"/>
        <v>0.21425581395348836</v>
      </c>
      <c r="AA272" s="1">
        <f t="shared" si="125"/>
        <v>75.313548529497268</v>
      </c>
      <c r="AD272" s="1">
        <f t="shared" si="126"/>
        <v>0</v>
      </c>
    </row>
    <row r="273" spans="1:30" ht="15">
      <c r="A273" s="1">
        <v>272</v>
      </c>
      <c r="B273" s="1">
        <f t="shared" si="128"/>
        <v>0</v>
      </c>
      <c r="C273" s="1">
        <f t="shared" si="122"/>
        <v>-0.6074108527131783</v>
      </c>
      <c r="D273" s="1">
        <f t="shared" si="127"/>
        <v>13.378436061297082</v>
      </c>
      <c r="E273">
        <v>333</v>
      </c>
      <c r="K273" s="1">
        <f>'Solar Availability and Gener GR'!F273</f>
        <v>7.1999999999999995E-2</v>
      </c>
      <c r="L273" s="1">
        <v>0.38604651162790704</v>
      </c>
      <c r="M273" s="1">
        <f t="shared" si="123"/>
        <v>-0.31404651162790703</v>
      </c>
      <c r="N273" s="1" t="str">
        <f t="shared" si="124"/>
        <v>Buy from Grid</v>
      </c>
      <c r="V273" s="1" t="str">
        <f t="shared" si="120"/>
        <v>discharge</v>
      </c>
      <c r="Y273" s="1">
        <f t="shared" si="121"/>
        <v>0.12855348837209304</v>
      </c>
      <c r="AA273" s="1">
        <f t="shared" si="125"/>
        <v>74.999502017869361</v>
      </c>
      <c r="AD273" s="1">
        <f t="shared" si="126"/>
        <v>0</v>
      </c>
    </row>
    <row r="274" spans="1:30" ht="15">
      <c r="A274" s="1">
        <v>273</v>
      </c>
      <c r="B274" s="1">
        <f t="shared" si="128"/>
        <v>0</v>
      </c>
      <c r="C274" s="1">
        <f t="shared" si="122"/>
        <v>-0.31404651162790703</v>
      </c>
      <c r="D274" s="1">
        <f t="shared" si="127"/>
        <v>12.985877921762198</v>
      </c>
      <c r="E274">
        <v>223.51</v>
      </c>
      <c r="K274" s="1">
        <f>'Solar Availability and Gener GR'!F274</f>
        <v>0.108</v>
      </c>
      <c r="L274" s="1">
        <v>0.38604651162790704</v>
      </c>
      <c r="M274" s="1">
        <f t="shared" si="123"/>
        <v>-0.27804651162790706</v>
      </c>
      <c r="N274" s="1" t="str">
        <f t="shared" si="124"/>
        <v>Buy from Grid</v>
      </c>
      <c r="V274" s="1" t="str">
        <f t="shared" si="120"/>
        <v>discharge</v>
      </c>
      <c r="Y274" s="1">
        <f t="shared" si="121"/>
        <v>8.6285255813953493E-2</v>
      </c>
      <c r="AA274" s="1">
        <f t="shared" si="125"/>
        <v>74.721455506241455</v>
      </c>
      <c r="AD274" s="1">
        <f t="shared" si="126"/>
        <v>0</v>
      </c>
    </row>
    <row r="275" spans="1:30" ht="15">
      <c r="A275" s="1">
        <v>274</v>
      </c>
      <c r="B275" s="1">
        <f t="shared" si="128"/>
        <v>0</v>
      </c>
      <c r="C275" s="1">
        <f t="shared" si="122"/>
        <v>-0.27804651162790706</v>
      </c>
      <c r="D275" s="1">
        <f t="shared" si="127"/>
        <v>12.638319782227313</v>
      </c>
      <c r="E275">
        <v>207.96</v>
      </c>
      <c r="K275" s="1">
        <f>'Solar Availability and Gener GR'!F275</f>
        <v>0.17817591026439972</v>
      </c>
      <c r="L275" s="1">
        <v>0.38604651162790704</v>
      </c>
      <c r="M275" s="1">
        <f t="shared" si="123"/>
        <v>-0.20787060136350732</v>
      </c>
      <c r="N275" s="1" t="str">
        <f t="shared" si="124"/>
        <v>Buy from Grid</v>
      </c>
      <c r="V275" s="1" t="str">
        <f t="shared" si="120"/>
        <v>discharge</v>
      </c>
      <c r="Y275" s="1">
        <f t="shared" si="121"/>
        <v>8.0282232558139557E-2</v>
      </c>
      <c r="AA275" s="1">
        <f t="shared" si="125"/>
        <v>74.513584904877945</v>
      </c>
      <c r="AD275" s="1">
        <f t="shared" si="126"/>
        <v>0</v>
      </c>
    </row>
    <row r="276" spans="1:30" ht="15">
      <c r="A276" s="1">
        <v>275</v>
      </c>
      <c r="B276" s="1">
        <f t="shared" si="128"/>
        <v>0</v>
      </c>
      <c r="C276" s="1">
        <f t="shared" si="122"/>
        <v>-0.20787060136350732</v>
      </c>
      <c r="D276" s="1">
        <f t="shared" si="127"/>
        <v>12.378481530522929</v>
      </c>
      <c r="E276">
        <v>195.07</v>
      </c>
      <c r="K276" s="1">
        <f>'Solar Availability and Gener GR'!F276</f>
        <v>0.60861301522300082</v>
      </c>
      <c r="L276" s="1">
        <v>0.38604651162790704</v>
      </c>
      <c r="M276" s="1">
        <f t="shared" si="123"/>
        <v>0.22256650359509378</v>
      </c>
      <c r="N276" s="1" t="str">
        <f t="shared" si="124"/>
        <v>sell the surplus or charge</v>
      </c>
      <c r="O276" s="1">
        <v>0.25</v>
      </c>
      <c r="P276" s="1">
        <f t="shared" ref="P276:P281" si="129">0.25/L276</f>
        <v>0.64759036144578308</v>
      </c>
      <c r="Q276" s="1">
        <f t="shared" ref="Q276:Q281" si="130">K276-P276*L276</f>
        <v>0.35861301522300082</v>
      </c>
      <c r="R276" s="1">
        <f t="shared" ref="R276:R281" si="131">((1/(E276+0.01))*LN(0.25))+(E276*(K276-0.25))</f>
        <v>69.947534593098439</v>
      </c>
      <c r="S276" s="1">
        <f t="shared" ref="S276:S281" si="132">((1/(E276+0.01))*LN(L276))+(E276*(K276-L276))</f>
        <v>43.411168845528437</v>
      </c>
      <c r="T276" s="1">
        <f t="shared" ref="T276:T281" si="133">(S276+((S276^2)-4*(K276-L276*P276)*LN(L276*P276))^(0.5))/(2*(K276-L276*P276))</f>
        <v>121.08489081022624</v>
      </c>
      <c r="U276" s="1" t="str">
        <f t="shared" ref="U276:U281" si="134">IF(E276&gt;=T276*1.1,"sell to the Grid","charge")</f>
        <v>sell to the Grid</v>
      </c>
      <c r="W276" s="1">
        <f t="shared" ref="W276:W281" si="135">(Q276*E276)/1000</f>
        <v>6.9954640879550764E-2</v>
      </c>
      <c r="Y276" s="1">
        <f t="shared" si="121"/>
        <v>7.5306093023255832E-2</v>
      </c>
      <c r="AA276" s="1">
        <f t="shared" si="125"/>
        <v>74.736151408473035</v>
      </c>
      <c r="AD276" s="1">
        <f t="shared" si="126"/>
        <v>0.25</v>
      </c>
    </row>
    <row r="277" spans="1:30" ht="15">
      <c r="A277" s="1">
        <v>276</v>
      </c>
      <c r="B277" s="1">
        <f t="shared" si="128"/>
        <v>0</v>
      </c>
      <c r="C277" s="1">
        <f t="shared" si="122"/>
        <v>0</v>
      </c>
      <c r="D277" s="1">
        <f t="shared" si="127"/>
        <v>12.378481530522929</v>
      </c>
      <c r="E277">
        <v>181.27</v>
      </c>
      <c r="K277" s="1">
        <f>'Solar Availability and Gener GR'!F277</f>
        <v>1.0103000089023395</v>
      </c>
      <c r="L277" s="1">
        <v>0.38604651162790704</v>
      </c>
      <c r="M277" s="1">
        <f t="shared" si="123"/>
        <v>0.62425349727443247</v>
      </c>
      <c r="N277" s="1" t="str">
        <f t="shared" si="124"/>
        <v>sell the surplus or charge</v>
      </c>
      <c r="O277" s="1">
        <v>0.25</v>
      </c>
      <c r="P277" s="1">
        <f t="shared" si="129"/>
        <v>0.64759036144578308</v>
      </c>
      <c r="Q277" s="1">
        <f t="shared" si="130"/>
        <v>0.76030000890233951</v>
      </c>
      <c r="R277" s="1">
        <f t="shared" si="131"/>
        <v>137.81193535886652</v>
      </c>
      <c r="S277" s="1">
        <f t="shared" si="132"/>
        <v>113.15318102386041</v>
      </c>
      <c r="T277" s="1">
        <f t="shared" si="133"/>
        <v>148.83926573114942</v>
      </c>
      <c r="U277" s="1" t="str">
        <f t="shared" si="134"/>
        <v>sell to the Grid</v>
      </c>
      <c r="W277" s="1">
        <f t="shared" si="135"/>
        <v>0.13781958261372707</v>
      </c>
      <c r="Y277" s="1">
        <f t="shared" si="121"/>
        <v>6.9978651162790714E-2</v>
      </c>
      <c r="AA277" s="1">
        <f t="shared" si="125"/>
        <v>75.360404905747473</v>
      </c>
      <c r="AD277" s="1">
        <f t="shared" si="126"/>
        <v>0.25</v>
      </c>
    </row>
    <row r="278" spans="1:30" ht="15">
      <c r="A278" s="1">
        <v>277</v>
      </c>
      <c r="B278" s="1">
        <f t="shared" si="128"/>
        <v>0</v>
      </c>
      <c r="C278" s="1">
        <f t="shared" si="122"/>
        <v>0</v>
      </c>
      <c r="D278" s="1">
        <f t="shared" si="127"/>
        <v>12.378481530522929</v>
      </c>
      <c r="E278">
        <v>174.94</v>
      </c>
      <c r="K278" s="1">
        <f>'Solar Availability and Gener GR'!F278</f>
        <v>1.2588222202439221</v>
      </c>
      <c r="L278" s="1">
        <v>0.38604651162790704</v>
      </c>
      <c r="M278" s="1">
        <f t="shared" si="123"/>
        <v>0.87277570861601506</v>
      </c>
      <c r="N278" s="1" t="str">
        <f t="shared" si="124"/>
        <v>sell the surplus or charge</v>
      </c>
      <c r="O278" s="1">
        <v>0.25</v>
      </c>
      <c r="P278" s="1">
        <f t="shared" si="129"/>
        <v>0.64759036144578308</v>
      </c>
      <c r="Q278" s="1">
        <f t="shared" si="130"/>
        <v>1.0088222202439221</v>
      </c>
      <c r="R278" s="1">
        <f t="shared" si="131"/>
        <v>176.47543526342361</v>
      </c>
      <c r="S278" s="1">
        <f t="shared" si="132"/>
        <v>152.6779420684847</v>
      </c>
      <c r="T278" s="1">
        <f t="shared" si="133"/>
        <v>151.35184219747637</v>
      </c>
      <c r="U278" s="1" t="str">
        <f t="shared" si="134"/>
        <v>sell to the Grid</v>
      </c>
      <c r="W278" s="1">
        <f t="shared" si="135"/>
        <v>0.17648335920947172</v>
      </c>
      <c r="Y278" s="1">
        <f t="shared" si="121"/>
        <v>6.7534976744186057E-2</v>
      </c>
      <c r="AA278" s="1">
        <f t="shared" si="125"/>
        <v>76.233180614363491</v>
      </c>
      <c r="AD278" s="1">
        <f t="shared" si="126"/>
        <v>0.25</v>
      </c>
    </row>
    <row r="279" spans="1:30" ht="15">
      <c r="A279" s="1">
        <v>278</v>
      </c>
      <c r="B279" s="1">
        <f t="shared" si="128"/>
        <v>0</v>
      </c>
      <c r="C279" s="1">
        <f t="shared" si="122"/>
        <v>0</v>
      </c>
      <c r="D279" s="1">
        <f t="shared" si="127"/>
        <v>12.378481530522929</v>
      </c>
      <c r="E279">
        <v>188.37</v>
      </c>
      <c r="K279" s="1">
        <f>'Solar Availability and Gener GR'!F279</f>
        <v>1.2775571975429532</v>
      </c>
      <c r="L279" s="1">
        <v>0.38604651162790704</v>
      </c>
      <c r="M279" s="1">
        <f t="shared" si="123"/>
        <v>0.89151068591504612</v>
      </c>
      <c r="N279" s="1" t="str">
        <f t="shared" si="124"/>
        <v>sell the surplus or charge</v>
      </c>
      <c r="O279" s="1">
        <v>0.25</v>
      </c>
      <c r="P279" s="1">
        <f t="shared" si="129"/>
        <v>0.64759036144578308</v>
      </c>
      <c r="Q279" s="1">
        <f t="shared" si="130"/>
        <v>1.0275571975429532</v>
      </c>
      <c r="R279" s="1">
        <f t="shared" si="131"/>
        <v>193.55359026962813</v>
      </c>
      <c r="S279" s="1">
        <f t="shared" si="132"/>
        <v>167.92881536616159</v>
      </c>
      <c r="T279" s="1">
        <f t="shared" si="133"/>
        <v>163.43352767211073</v>
      </c>
      <c r="U279" s="1" t="str">
        <f t="shared" si="134"/>
        <v>sell to the Grid</v>
      </c>
      <c r="W279" s="1">
        <f t="shared" si="135"/>
        <v>0.1935609493011661</v>
      </c>
      <c r="Y279" s="1">
        <f t="shared" si="121"/>
        <v>7.2719581395348856E-2</v>
      </c>
      <c r="AA279" s="1">
        <f t="shared" si="125"/>
        <v>77.124691300278542</v>
      </c>
      <c r="AD279" s="1">
        <f t="shared" si="126"/>
        <v>0.25</v>
      </c>
    </row>
    <row r="280" spans="1:30" ht="15">
      <c r="A280" s="1">
        <v>279</v>
      </c>
      <c r="B280" s="1">
        <f t="shared" si="128"/>
        <v>0</v>
      </c>
      <c r="C280" s="1">
        <f t="shared" si="122"/>
        <v>0</v>
      </c>
      <c r="D280" s="1">
        <f t="shared" si="127"/>
        <v>12.378481530522929</v>
      </c>
      <c r="E280">
        <v>206.46</v>
      </c>
      <c r="K280" s="1">
        <f>'Solar Availability and Gener GR'!F280</f>
        <v>1.1909730259058111</v>
      </c>
      <c r="L280" s="1">
        <v>0.38604651162790704</v>
      </c>
      <c r="M280" s="1">
        <f t="shared" si="123"/>
        <v>0.80492651427790407</v>
      </c>
      <c r="N280" s="1" t="str">
        <f t="shared" si="124"/>
        <v>sell the surplus or charge</v>
      </c>
      <c r="O280" s="1">
        <v>0.25</v>
      </c>
      <c r="P280" s="1">
        <f t="shared" si="129"/>
        <v>0.64759036144578308</v>
      </c>
      <c r="Q280" s="1">
        <f t="shared" si="130"/>
        <v>0.94097302590581111</v>
      </c>
      <c r="R280" s="1">
        <f t="shared" si="131"/>
        <v>194.26657666319136</v>
      </c>
      <c r="S280" s="1">
        <f t="shared" si="132"/>
        <v>166.18051827962685</v>
      </c>
      <c r="T280" s="1">
        <f t="shared" si="133"/>
        <v>176.6133173043728</v>
      </c>
      <c r="U280" s="1" t="str">
        <f t="shared" si="134"/>
        <v>sell to the Grid</v>
      </c>
      <c r="W280" s="1">
        <f t="shared" si="135"/>
        <v>0.19427329092851378</v>
      </c>
      <c r="Y280" s="1">
        <f t="shared" si="121"/>
        <v>7.9703162790697696E-2</v>
      </c>
      <c r="AA280" s="1">
        <f t="shared" si="125"/>
        <v>77.929617814556451</v>
      </c>
      <c r="AD280" s="1">
        <f t="shared" si="126"/>
        <v>0.25</v>
      </c>
    </row>
    <row r="281" spans="1:30" ht="15">
      <c r="A281" s="1">
        <v>280</v>
      </c>
      <c r="B281" s="1">
        <f t="shared" si="128"/>
        <v>0</v>
      </c>
      <c r="C281" s="1">
        <f t="shared" si="122"/>
        <v>0</v>
      </c>
      <c r="D281" s="1">
        <f t="shared" si="127"/>
        <v>12.378481530522929</v>
      </c>
      <c r="E281">
        <v>272.01</v>
      </c>
      <c r="K281" s="1">
        <f>'Solar Availability and Gener GR'!F281</f>
        <v>0.92246060713967637</v>
      </c>
      <c r="L281" s="1">
        <v>0.64341085271317833</v>
      </c>
      <c r="M281" s="1">
        <f t="shared" si="123"/>
        <v>0.27904975442649804</v>
      </c>
      <c r="N281" s="1" t="str">
        <f t="shared" si="124"/>
        <v>sell the surplus or charge</v>
      </c>
      <c r="O281" s="1">
        <v>0.25</v>
      </c>
      <c r="P281" s="1">
        <f t="shared" si="129"/>
        <v>0.38855421686746988</v>
      </c>
      <c r="Q281" s="1">
        <f t="shared" si="130"/>
        <v>0.67246060713967637</v>
      </c>
      <c r="R281" s="1">
        <f t="shared" si="131"/>
        <v>182.91091345234571</v>
      </c>
      <c r="S281" s="1">
        <f t="shared" si="132"/>
        <v>75.90270260090999</v>
      </c>
      <c r="T281" s="1">
        <f t="shared" si="133"/>
        <v>112.89134514988436</v>
      </c>
      <c r="U281" s="1" t="str">
        <f t="shared" si="134"/>
        <v>sell to the Grid</v>
      </c>
      <c r="W281" s="1">
        <f t="shared" si="135"/>
        <v>0.18291600974806338</v>
      </c>
      <c r="Y281" s="1">
        <f t="shared" si="121"/>
        <v>0.17501418604651164</v>
      </c>
      <c r="AA281" s="1">
        <f t="shared" si="125"/>
        <v>78.208667568982946</v>
      </c>
      <c r="AD281" s="1">
        <f t="shared" si="126"/>
        <v>0.25</v>
      </c>
    </row>
    <row r="282" spans="1:30" ht="15">
      <c r="A282" s="1">
        <v>281</v>
      </c>
      <c r="B282" s="1">
        <f t="shared" si="128"/>
        <v>0</v>
      </c>
      <c r="C282" s="1">
        <f t="shared" si="122"/>
        <v>0</v>
      </c>
      <c r="D282" s="1">
        <f t="shared" si="127"/>
        <v>12.378481530522929</v>
      </c>
      <c r="E282">
        <v>297</v>
      </c>
      <c r="K282" s="1">
        <f>'Solar Availability and Gener GR'!F282</f>
        <v>0.54864239294934358</v>
      </c>
      <c r="L282" s="1">
        <v>0.64341085271317833</v>
      </c>
      <c r="M282" s="1">
        <f t="shared" si="123"/>
        <v>-9.4768459763834745E-2</v>
      </c>
      <c r="N282" s="1" t="str">
        <f t="shared" si="124"/>
        <v>Buy from Grid</v>
      </c>
      <c r="V282" s="1" t="str">
        <f t="shared" ref="V282:V289" si="136">IF(D282+M282&gt;0,"discharge","buy from the Grid")</f>
        <v>discharge</v>
      </c>
      <c r="Y282" s="1">
        <f t="shared" si="121"/>
        <v>0.19109302325581395</v>
      </c>
      <c r="AA282" s="1">
        <f t="shared" si="125"/>
        <v>78.113899109219105</v>
      </c>
      <c r="AD282" s="1">
        <f t="shared" si="126"/>
        <v>0</v>
      </c>
    </row>
    <row r="283" spans="1:30" ht="15">
      <c r="A283" s="1">
        <v>282</v>
      </c>
      <c r="B283" s="1">
        <f t="shared" si="128"/>
        <v>0</v>
      </c>
      <c r="C283" s="1">
        <f t="shared" si="122"/>
        <v>-9.4768459763834745E-2</v>
      </c>
      <c r="D283" s="1">
        <f t="shared" si="127"/>
        <v>12.260020955818137</v>
      </c>
      <c r="E283">
        <v>285.3</v>
      </c>
      <c r="K283" s="1">
        <f>'Solar Availability and Gener GR'!F283</f>
        <v>0.13652630641858823</v>
      </c>
      <c r="L283" s="1">
        <v>0.64341085271317833</v>
      </c>
      <c r="M283" s="1">
        <f t="shared" si="123"/>
        <v>-0.50688454629459012</v>
      </c>
      <c r="N283" s="1" t="str">
        <f t="shared" si="124"/>
        <v>Buy from Grid</v>
      </c>
      <c r="V283" s="1" t="str">
        <f t="shared" si="136"/>
        <v>discharge</v>
      </c>
      <c r="Y283" s="1">
        <f t="shared" si="121"/>
        <v>0.1835651162790698</v>
      </c>
      <c r="AA283" s="1">
        <f t="shared" si="125"/>
        <v>77.607014562924519</v>
      </c>
      <c r="AD283" s="1">
        <f t="shared" si="126"/>
        <v>0</v>
      </c>
    </row>
    <row r="284" spans="1:30" ht="15">
      <c r="A284" s="1">
        <v>283</v>
      </c>
      <c r="B284" s="1">
        <f t="shared" si="128"/>
        <v>0</v>
      </c>
      <c r="C284" s="1">
        <f t="shared" si="122"/>
        <v>-0.50688454629459012</v>
      </c>
      <c r="D284" s="1">
        <f t="shared" si="127"/>
        <v>11.626415272949899</v>
      </c>
      <c r="E284">
        <v>257.5</v>
      </c>
      <c r="K284" s="1">
        <f>'Solar Availability and Gener GR'!F284</f>
        <v>0</v>
      </c>
      <c r="L284" s="1">
        <v>0.64341085271317833</v>
      </c>
      <c r="M284" s="1">
        <f t="shared" si="123"/>
        <v>-0.64341085271317833</v>
      </c>
      <c r="N284" s="1" t="str">
        <f t="shared" si="124"/>
        <v>Buy from Grid</v>
      </c>
      <c r="V284" s="1" t="str">
        <f t="shared" si="136"/>
        <v>discharge</v>
      </c>
      <c r="Y284" s="1">
        <f t="shared" si="121"/>
        <v>0.16567829457364341</v>
      </c>
      <c r="AA284" s="1">
        <f t="shared" si="125"/>
        <v>76.963603710211345</v>
      </c>
      <c r="AD284" s="1">
        <f t="shared" si="126"/>
        <v>0</v>
      </c>
    </row>
    <row r="285" spans="1:30" ht="15">
      <c r="A285" s="1">
        <v>284</v>
      </c>
      <c r="B285" s="1">
        <f t="shared" si="128"/>
        <v>0</v>
      </c>
      <c r="C285" s="1">
        <f t="shared" si="122"/>
        <v>-0.64341085271317833</v>
      </c>
      <c r="D285" s="1">
        <f t="shared" si="127"/>
        <v>10.822151707058426</v>
      </c>
      <c r="E285">
        <v>277.69</v>
      </c>
      <c r="K285" s="1">
        <f>'Solar Availability and Gener GR'!F285</f>
        <v>0</v>
      </c>
      <c r="L285" s="1">
        <v>0.64341085271317833</v>
      </c>
      <c r="M285" s="1">
        <f t="shared" si="123"/>
        <v>-0.64341085271317833</v>
      </c>
      <c r="N285" s="1" t="str">
        <f t="shared" si="124"/>
        <v>Buy from Grid</v>
      </c>
      <c r="V285" s="1" t="str">
        <f t="shared" si="136"/>
        <v>discharge</v>
      </c>
      <c r="Y285" s="1">
        <f t="shared" si="121"/>
        <v>0.17866875968992249</v>
      </c>
      <c r="AA285" s="1">
        <f t="shared" si="125"/>
        <v>76.320192857498171</v>
      </c>
      <c r="AD285" s="1">
        <f t="shared" si="126"/>
        <v>0</v>
      </c>
    </row>
    <row r="286" spans="1:30" ht="15">
      <c r="A286" s="1">
        <v>285</v>
      </c>
      <c r="B286" s="1">
        <f t="shared" si="128"/>
        <v>0</v>
      </c>
      <c r="C286" s="1">
        <f t="shared" si="122"/>
        <v>-0.64341085271317833</v>
      </c>
      <c r="D286" s="1">
        <f t="shared" si="127"/>
        <v>10.017888141166953</v>
      </c>
      <c r="E286">
        <v>269.25</v>
      </c>
      <c r="K286" s="1">
        <f>'Solar Availability and Gener GR'!F286</f>
        <v>0</v>
      </c>
      <c r="L286" s="1">
        <v>0.64341085271317833</v>
      </c>
      <c r="M286" s="1">
        <f t="shared" si="123"/>
        <v>-0.64341085271317833</v>
      </c>
      <c r="N286" s="1" t="str">
        <f t="shared" si="124"/>
        <v>Buy from Grid</v>
      </c>
      <c r="V286" s="1" t="str">
        <f t="shared" si="136"/>
        <v>discharge</v>
      </c>
      <c r="Y286" s="1">
        <f t="shared" si="121"/>
        <v>0.17323837209302326</v>
      </c>
      <c r="AA286" s="1">
        <f t="shared" si="125"/>
        <v>75.676782004784997</v>
      </c>
      <c r="AD286" s="1">
        <f t="shared" si="126"/>
        <v>0</v>
      </c>
    </row>
    <row r="287" spans="1:30" ht="15">
      <c r="A287" s="1">
        <v>286</v>
      </c>
      <c r="B287" s="1">
        <f t="shared" si="128"/>
        <v>0</v>
      </c>
      <c r="C287" s="1">
        <f t="shared" si="122"/>
        <v>-0.64341085271317833</v>
      </c>
      <c r="D287" s="1">
        <f t="shared" si="127"/>
        <v>9.21362457527548</v>
      </c>
      <c r="E287">
        <v>181.38</v>
      </c>
      <c r="K287" s="1">
        <f>'Solar Availability and Gener GR'!F287</f>
        <v>0</v>
      </c>
      <c r="L287" s="1">
        <v>0.64341085271317833</v>
      </c>
      <c r="M287" s="1">
        <f t="shared" si="123"/>
        <v>-0.64341085271317833</v>
      </c>
      <c r="N287" s="1" t="str">
        <f t="shared" si="124"/>
        <v>Buy from Grid</v>
      </c>
      <c r="V287" s="1" t="str">
        <f t="shared" si="136"/>
        <v>discharge</v>
      </c>
      <c r="Y287" s="1">
        <f t="shared" si="121"/>
        <v>0.11670186046511628</v>
      </c>
      <c r="AA287" s="1">
        <f t="shared" si="125"/>
        <v>75.033371152071823</v>
      </c>
      <c r="AD287" s="1">
        <f t="shared" si="126"/>
        <v>0</v>
      </c>
    </row>
    <row r="288" spans="1:30" ht="15">
      <c r="A288" s="1">
        <v>287</v>
      </c>
      <c r="B288" s="1">
        <f t="shared" si="128"/>
        <v>0</v>
      </c>
      <c r="C288" s="1">
        <f t="shared" si="122"/>
        <v>-0.64341085271317833</v>
      </c>
      <c r="D288" s="1">
        <f t="shared" si="127"/>
        <v>8.409361009384007</v>
      </c>
      <c r="E288">
        <v>213</v>
      </c>
      <c r="K288" s="1">
        <f>'Solar Availability and Gener GR'!F288</f>
        <v>0</v>
      </c>
      <c r="L288" s="1">
        <v>0.25736434108527134</v>
      </c>
      <c r="M288" s="1">
        <f t="shared" si="123"/>
        <v>-0.25736434108527134</v>
      </c>
      <c r="N288" s="1" t="str">
        <f t="shared" si="124"/>
        <v>Buy from Grid</v>
      </c>
      <c r="V288" s="1" t="str">
        <f t="shared" si="136"/>
        <v>discharge</v>
      </c>
      <c r="Y288" s="1">
        <f t="shared" si="121"/>
        <v>5.481860465116279E-2</v>
      </c>
      <c r="AA288" s="1">
        <f t="shared" si="125"/>
        <v>74.776006810986544</v>
      </c>
      <c r="AD288" s="1">
        <f t="shared" si="126"/>
        <v>0</v>
      </c>
    </row>
    <row r="289" spans="1:31" ht="15">
      <c r="A289" s="1">
        <v>288</v>
      </c>
      <c r="B289" s="1">
        <f t="shared" si="128"/>
        <v>0</v>
      </c>
      <c r="C289" s="1">
        <f t="shared" si="122"/>
        <v>-0.25736434108527134</v>
      </c>
      <c r="D289" s="1">
        <f t="shared" si="127"/>
        <v>8.0876555830274182</v>
      </c>
      <c r="E289">
        <v>172.5</v>
      </c>
      <c r="K289" s="1">
        <f>'Solar Availability and Gener GR'!F289</f>
        <v>0</v>
      </c>
      <c r="L289" s="1">
        <v>0.25736434108527134</v>
      </c>
      <c r="M289" s="1">
        <f t="shared" si="123"/>
        <v>-0.25736434108527134</v>
      </c>
      <c r="N289" s="1" t="str">
        <f t="shared" si="124"/>
        <v>Buy from Grid</v>
      </c>
      <c r="V289" s="1" t="str">
        <f t="shared" si="136"/>
        <v>discharge</v>
      </c>
      <c r="Y289" s="1">
        <f t="shared" si="121"/>
        <v>4.4395348837209303E-2</v>
      </c>
      <c r="AA289" s="1">
        <f t="shared" si="125"/>
        <v>74.518642469901266</v>
      </c>
      <c r="AD289" s="1">
        <f t="shared" si="126"/>
        <v>0</v>
      </c>
    </row>
    <row r="290" spans="1:31">
      <c r="W290" s="1">
        <f>SUM(W2:W289)</f>
        <v>17.667780789541506</v>
      </c>
      <c r="X290" s="1">
        <f>SUM(X2:X289)</f>
        <v>-4.8581499356440547</v>
      </c>
      <c r="Y290" s="1">
        <f>SUM(Y2:Y289)</f>
        <v>29.742582720294571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384.28892561692356</v>
      </c>
      <c r="Y291" s="1">
        <f>Y290*30</f>
        <v>892.27748160883709</v>
      </c>
      <c r="AD291" s="1">
        <f>SUM(AD2:AD290)*30</f>
        <v>1387.525581395349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892.27748160883709</v>
      </c>
    </row>
    <row r="295" spans="1:31" ht="30">
      <c r="V295" s="1" t="s">
        <v>354</v>
      </c>
      <c r="W295" s="1">
        <f>W291+W293</f>
        <v>1276.5664072257607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1097847110.2141542</v>
      </c>
      <c r="Y297" s="3">
        <f>($L$291-$AD$291)*W297/1000000</f>
        <v>2126.760204000007</v>
      </c>
      <c r="AA297" s="11">
        <f>$W$291*W297</f>
        <v>330488476.03055423</v>
      </c>
    </row>
    <row r="298" spans="1:31">
      <c r="V298" s="1">
        <v>2035</v>
      </c>
      <c r="W298" s="1">
        <v>1720000</v>
      </c>
      <c r="X298" s="11">
        <f t="shared" ref="X298:X301" si="137">$W$295*W298</f>
        <v>2195694220.4283085</v>
      </c>
      <c r="Y298" s="3">
        <f>($L$291-$AD$291)*W298/1000000</f>
        <v>4253.520408000014</v>
      </c>
      <c r="AA298" s="11">
        <f t="shared" ref="AA298:AA301" si="138">$W$291*W298</f>
        <v>660976952.06110847</v>
      </c>
    </row>
    <row r="299" spans="1:31">
      <c r="V299" s="1">
        <v>2040</v>
      </c>
      <c r="W299" s="1">
        <v>2580000</v>
      </c>
      <c r="X299" s="11">
        <f t="shared" si="137"/>
        <v>3293541330.6424627</v>
      </c>
      <c r="Y299" s="3">
        <f>($L$291-$AD$291)*W299/1000000</f>
        <v>6380.2806120000214</v>
      </c>
      <c r="AA299" s="11">
        <f t="shared" si="138"/>
        <v>991465428.09166276</v>
      </c>
    </row>
    <row r="300" spans="1:31">
      <c r="V300" s="1">
        <v>2045</v>
      </c>
      <c r="W300" s="1">
        <v>3440000</v>
      </c>
      <c r="X300" s="11">
        <f t="shared" si="137"/>
        <v>4391388440.856617</v>
      </c>
      <c r="Y300" s="3">
        <f>($L$291-$AD$291)*W300/1000000</f>
        <v>8507.0408160000279</v>
      </c>
      <c r="AA300" s="11">
        <f t="shared" si="138"/>
        <v>1321953904.1222169</v>
      </c>
    </row>
    <row r="301" spans="1:31">
      <c r="V301" s="1">
        <v>2050</v>
      </c>
      <c r="W301" s="1">
        <v>4300000</v>
      </c>
      <c r="X301" s="11">
        <f t="shared" si="137"/>
        <v>5489235551.0707712</v>
      </c>
      <c r="Y301" s="3">
        <f>($L$291-$AD$291)*W301/1000000</f>
        <v>10633.801020000035</v>
      </c>
      <c r="AA301" s="11">
        <f t="shared" si="138"/>
        <v>1652442380.1527712</v>
      </c>
    </row>
  </sheetData>
  <autoFilter ref="A1:V289" xr:uid="{341E820E-40E6-49AC-8FF5-E40C9CA07058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2AA2-290A-ED49-ABEC-1F8D1E72C174}">
  <dimension ref="A1:AE301"/>
  <sheetViews>
    <sheetView topLeftCell="N282" workbookViewId="0">
      <selection activeCell="AB306" sqref="AB306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6.8627453627906981E-2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1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268.19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7.9375924031007752E-2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6.7948561240310082E-2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235.98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-6.9842762790697677E-2</v>
      </c>
      <c r="Y5" s="1">
        <f t="shared" si="1"/>
        <v>6.9842762790697677E-2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-6.9339615503875976E-2</v>
      </c>
      <c r="Y6" s="1">
        <f t="shared" si="1"/>
        <v>6.9339615503875976E-2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237.63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-9.4794106976744202E-2</v>
      </c>
      <c r="Y7" s="1">
        <f t="shared" si="1"/>
        <v>9.4794106976744202E-2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239.66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-0.15174007875968989</v>
      </c>
      <c r="Y8" s="1">
        <f t="shared" si="1"/>
        <v>0.16036783875968993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231.88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-0.13846651286821704</v>
      </c>
      <c r="Y9" s="1">
        <f t="shared" si="1"/>
        <v>0.15516187286821703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186.47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-0.10223759813953491</v>
      </c>
      <c r="Y10" s="1">
        <f t="shared" si="1"/>
        <v>0.1223763581395349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186.47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-4.1161167470361734E-2</v>
      </c>
      <c r="Y11" s="1">
        <f t="shared" si="1"/>
        <v>7.438562945736435E-2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ref="B12:B14" si="11">IF(U12="charge",Q12,0)</f>
        <v>0</v>
      </c>
      <c r="C12" s="1">
        <f t="shared" si="3"/>
        <v>0</v>
      </c>
      <c r="D12" s="1">
        <f t="shared" si="8"/>
        <v>8.855600775193806E-2</v>
      </c>
      <c r="E12">
        <v>177.25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63.55633626475484</v>
      </c>
      <c r="S12" s="1">
        <f t="shared" ref="S12:S18" si="15">((1/(E12+0.01))*LN(L12))+(E12*(K12-L12))</f>
        <v>37.163836771718536</v>
      </c>
      <c r="T12" s="1">
        <f t="shared" ref="T12:T18" si="16">(S12+((S12^2)-4*(K12-L12*P12)*LN(L12*P12))^(0.5))/(2*(K12-L12*P12))</f>
        <v>103.66943599576972</v>
      </c>
      <c r="U12" s="1" t="str">
        <f t="shared" ref="U12:U18" si="17">IF(E12&gt;=T12*1.05,"sell to the Grid","charge")</f>
        <v>sell to the Grid</v>
      </c>
      <c r="W12" s="1">
        <f t="shared" ref="W12:W18" si="18">(Q12*E12)/1000</f>
        <v>6.3564156948276898E-2</v>
      </c>
      <c r="Y12" s="1">
        <f t="shared" si="1"/>
        <v>7.0707635658914733E-2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11"/>
        <v>0</v>
      </c>
      <c r="C13" s="1">
        <f t="shared" si="3"/>
        <v>0</v>
      </c>
      <c r="D13" s="1">
        <f t="shared" si="8"/>
        <v>8.855600775193806E-2</v>
      </c>
      <c r="E13">
        <v>168.5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139.24017322199796</v>
      </c>
      <c r="S13" s="1">
        <f t="shared" si="15"/>
        <v>114.15081448969377</v>
      </c>
      <c r="T13" s="1">
        <f t="shared" si="16"/>
        <v>138.14236416794344</v>
      </c>
      <c r="U13" s="1" t="str">
        <f t="shared" si="17"/>
        <v>sell to the Grid</v>
      </c>
      <c r="W13" s="1">
        <f t="shared" si="18"/>
        <v>0.13924839999999997</v>
      </c>
      <c r="Y13" s="1">
        <f t="shared" si="1"/>
        <v>6.7217131782945735E-2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11"/>
        <v>0</v>
      </c>
      <c r="C14" s="1">
        <f t="shared" si="3"/>
        <v>0</v>
      </c>
      <c r="D14" s="1">
        <f t="shared" si="8"/>
        <v>8.855600775193806E-2</v>
      </c>
      <c r="E14">
        <v>84.9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95.207513367552465</v>
      </c>
      <c r="S14" s="1">
        <f t="shared" si="15"/>
        <v>82.570156220815775</v>
      </c>
      <c r="T14" s="1">
        <f t="shared" si="16"/>
        <v>73.634970396526128</v>
      </c>
      <c r="U14" s="1" t="str">
        <f t="shared" si="17"/>
        <v>sell to the Grid</v>
      </c>
      <c r="W14" s="1">
        <f t="shared" si="18"/>
        <v>9.522383999999999E-2</v>
      </c>
      <c r="Y14" s="1">
        <f t="shared" si="1"/>
        <v>3.3867860465116285E-2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81.95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96.618525720337729</v>
      </c>
      <c r="S15" s="1">
        <f t="shared" si="15"/>
        <v>84.420665105073141</v>
      </c>
      <c r="T15" s="1">
        <f t="shared" si="16"/>
        <v>71.607890624711644</v>
      </c>
      <c r="U15" s="1" t="str">
        <f t="shared" si="17"/>
        <v>sell to the Grid</v>
      </c>
      <c r="W15" s="1">
        <f t="shared" si="18"/>
        <v>9.6635440000000003E-2</v>
      </c>
      <c r="Y15" s="1">
        <f t="shared" si="1"/>
        <v>3.2691062015503883E-2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9">IF(U16="charge",Q16,0)</f>
        <v>0</v>
      </c>
      <c r="C16" s="1">
        <f t="shared" si="3"/>
        <v>0</v>
      </c>
      <c r="D16" s="1">
        <f t="shared" si="8"/>
        <v>8.855600775193806E-2</v>
      </c>
      <c r="E16">
        <v>179.73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198.34231522398395</v>
      </c>
      <c r="S16" s="1">
        <f t="shared" si="15"/>
        <v>171.58047083076937</v>
      </c>
      <c r="T16" s="1">
        <f t="shared" si="16"/>
        <v>155.48150323271437</v>
      </c>
      <c r="U16" s="1" t="str">
        <f t="shared" si="17"/>
        <v>sell to the Grid</v>
      </c>
      <c r="W16" s="1">
        <f t="shared" si="18"/>
        <v>0.19835002799999998</v>
      </c>
      <c r="Y16" s="1">
        <f t="shared" si="1"/>
        <v>7.1696944186046524E-2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9"/>
        <v>0</v>
      </c>
      <c r="C17" s="1">
        <f t="shared" si="3"/>
        <v>0</v>
      </c>
      <c r="D17" s="1">
        <f t="shared" si="8"/>
        <v>8.855600775193806E-2</v>
      </c>
      <c r="E17">
        <v>295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252.27930085637394</v>
      </c>
      <c r="S17" s="1">
        <f t="shared" si="15"/>
        <v>208.35103986436724</v>
      </c>
      <c r="T17" s="1">
        <f t="shared" si="16"/>
        <v>243.63509109945707</v>
      </c>
      <c r="U17" s="1" t="str">
        <f t="shared" si="17"/>
        <v>sell to the Grid</v>
      </c>
      <c r="W17" s="1">
        <f t="shared" si="18"/>
        <v>0.25228400000000001</v>
      </c>
      <c r="Y17" s="1">
        <f t="shared" si="1"/>
        <v>0.11767984496124032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9"/>
        <v>0</v>
      </c>
      <c r="C18" s="1">
        <f t="shared" si="3"/>
        <v>0</v>
      </c>
      <c r="D18" s="1">
        <f t="shared" si="8"/>
        <v>8.855600775193806E-2</v>
      </c>
      <c r="E18">
        <v>348.15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177.41325822621457</v>
      </c>
      <c r="S18" s="1">
        <f t="shared" si="15"/>
        <v>125.56993759648775</v>
      </c>
      <c r="T18" s="1">
        <f t="shared" si="16"/>
        <v>246.41986526212057</v>
      </c>
      <c r="U18" s="1" t="str">
        <f t="shared" si="17"/>
        <v>sell to the Grid</v>
      </c>
      <c r="W18" s="1">
        <f t="shared" si="18"/>
        <v>0.17741723999999998</v>
      </c>
      <c r="Y18" s="1">
        <f t="shared" si="1"/>
        <v>0.13888216279069771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9"/>
        <v>0</v>
      </c>
      <c r="C19" s="1">
        <f t="shared" si="3"/>
        <v>0</v>
      </c>
      <c r="D19" s="1">
        <f t="shared" si="8"/>
        <v>8.855600775193806E-2</v>
      </c>
      <c r="E19">
        <v>322.33999999999997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0">IF(D19+M19&gt;0,"discharge","buy from the Grid")</f>
        <v>buy from the Grid</v>
      </c>
      <c r="X19" s="1">
        <f t="shared" ref="X19:X35" si="21">(M19*E19)/1000</f>
        <v>-0.11589647243410854</v>
      </c>
      <c r="Y19" s="1">
        <f t="shared" si="1"/>
        <v>0.2156929364341085</v>
      </c>
      <c r="AA19" s="1">
        <f t="shared" si="6"/>
        <v>0.67294225882073277</v>
      </c>
      <c r="AC19" s="1">
        <f t="shared" ref="AC19:AC35" si="22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9"/>
        <v>0</v>
      </c>
      <c r="C20" s="1">
        <f t="shared" si="3"/>
        <v>0</v>
      </c>
      <c r="D20" s="1">
        <f t="shared" si="8"/>
        <v>8.855600775193806E-2</v>
      </c>
      <c r="E20">
        <v>301.64999999999998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0"/>
        <v>buy from the Grid</v>
      </c>
      <c r="X20" s="1">
        <f t="shared" si="21"/>
        <v>-0.18927906139534886</v>
      </c>
      <c r="Y20" s="1">
        <f t="shared" si="1"/>
        <v>0.19796658139534887</v>
      </c>
      <c r="AA20" s="1">
        <f t="shared" si="6"/>
        <v>4.5463189053290831E-2</v>
      </c>
      <c r="AC20" s="1">
        <f t="shared" si="22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9"/>
        <v>0</v>
      </c>
      <c r="C21" s="1">
        <f t="shared" si="3"/>
        <v>0</v>
      </c>
      <c r="D21" s="1">
        <f t="shared" si="8"/>
        <v>8.855600775193806E-2</v>
      </c>
      <c r="E21">
        <v>353.15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0"/>
        <v>buy from the Grid</v>
      </c>
      <c r="X21" s="1">
        <f t="shared" si="21"/>
        <v>-0.23630936434108527</v>
      </c>
      <c r="Y21" s="1">
        <f t="shared" si="1"/>
        <v>0.23630936434108527</v>
      </c>
      <c r="AA21" s="1">
        <f t="shared" si="6"/>
        <v>-0.6236840977684146</v>
      </c>
      <c r="AC21" s="1">
        <f t="shared" si="22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9"/>
        <v>0</v>
      </c>
      <c r="C22" s="1">
        <f t="shared" si="3"/>
        <v>0</v>
      </c>
      <c r="D22" s="1">
        <f t="shared" si="8"/>
        <v>8.855600775193806E-2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0"/>
        <v>buy from the Grid</v>
      </c>
      <c r="X22" s="1">
        <f t="shared" si="21"/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 t="shared" si="22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9"/>
        <v>0</v>
      </c>
      <c r="C23" s="1">
        <f t="shared" si="3"/>
        <v>0</v>
      </c>
      <c r="D23" s="1">
        <f t="shared" si="8"/>
        <v>8.855600775193806E-2</v>
      </c>
      <c r="E23">
        <v>283.56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0"/>
        <v>buy from the Grid</v>
      </c>
      <c r="X23" s="1">
        <f t="shared" si="21"/>
        <v>-0.1131162604651163</v>
      </c>
      <c r="Y23" s="1">
        <f t="shared" si="1"/>
        <v>0.1131162604651163</v>
      </c>
      <c r="AA23" s="1">
        <f t="shared" si="6"/>
        <v>-1.6917461132722906</v>
      </c>
      <c r="AC23" s="1">
        <f t="shared" si="22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9"/>
        <v>0</v>
      </c>
      <c r="C24" s="1">
        <f t="shared" si="3"/>
        <v>0</v>
      </c>
      <c r="D24" s="1">
        <f t="shared" si="8"/>
        <v>8.855600775193806E-2</v>
      </c>
      <c r="E24">
        <v>237.97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0"/>
        <v>buy from the Grid</v>
      </c>
      <c r="X24" s="1">
        <f t="shared" si="21"/>
        <v>-9.4929737984496138E-2</v>
      </c>
      <c r="Y24" s="1">
        <f t="shared" si="1"/>
        <v>9.4929737984496138E-2</v>
      </c>
      <c r="AA24" s="1">
        <f t="shared" si="6"/>
        <v>-2.0906608419544614</v>
      </c>
      <c r="AC24" s="1">
        <f t="shared" si="22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9"/>
        <v>0</v>
      </c>
      <c r="C25" s="1">
        <f t="shared" si="3"/>
        <v>0</v>
      </c>
      <c r="D25" s="1">
        <f t="shared" si="8"/>
        <v>8.855600775193806E-2</v>
      </c>
      <c r="E25">
        <v>230.59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0"/>
        <v>buy from the Grid</v>
      </c>
      <c r="X25" s="1">
        <f t="shared" si="21"/>
        <v>-9.1985747286821726E-2</v>
      </c>
      <c r="Y25" s="1">
        <f t="shared" si="1"/>
        <v>9.1985747286821726E-2</v>
      </c>
      <c r="AA25" s="1">
        <f t="shared" si="6"/>
        <v>-2.489575570636632</v>
      </c>
      <c r="AC25" s="1">
        <f t="shared" si="22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9"/>
        <v>0</v>
      </c>
      <c r="C26" s="1">
        <f t="shared" si="3"/>
        <v>0</v>
      </c>
      <c r="D26" s="1">
        <f t="shared" si="8"/>
        <v>8.855600775193806E-2</v>
      </c>
      <c r="E26">
        <v>187.27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0"/>
        <v>buy from the Grid</v>
      </c>
      <c r="X26" s="1">
        <f t="shared" si="21"/>
        <v>-5.5426113178294587E-2</v>
      </c>
      <c r="Y26" s="1">
        <f t="shared" si="1"/>
        <v>5.5426113178294587E-2</v>
      </c>
      <c r="AA26" s="1">
        <f t="shared" si="6"/>
        <v>-2.7855445628846942</v>
      </c>
      <c r="AC26" s="1">
        <f t="shared" si="22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9"/>
        <v>0</v>
      </c>
      <c r="C27" s="1">
        <f t="shared" si="3"/>
        <v>0</v>
      </c>
      <c r="D27" s="1">
        <f t="shared" si="8"/>
        <v>8.855600775193806E-2</v>
      </c>
      <c r="E27">
        <v>187.2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0"/>
        <v>buy from the Grid</v>
      </c>
      <c r="X27" s="1">
        <f t="shared" si="21"/>
        <v>-5.5405395348837219E-2</v>
      </c>
      <c r="Y27" s="1">
        <f t="shared" si="1"/>
        <v>5.5405395348837219E-2</v>
      </c>
      <c r="AA27" s="1">
        <f t="shared" si="6"/>
        <v>-3.0815135551327564</v>
      </c>
      <c r="AC27" s="1">
        <f t="shared" si="22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9"/>
        <v>0</v>
      </c>
      <c r="C28" s="1">
        <f t="shared" si="3"/>
        <v>0</v>
      </c>
      <c r="D28" s="1">
        <f t="shared" si="8"/>
        <v>8.855600775193806E-2</v>
      </c>
      <c r="E28">
        <v>180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0"/>
        <v>buy from the Grid</v>
      </c>
      <c r="X28" s="1">
        <f t="shared" si="21"/>
        <v>-5.3274418604651166E-2</v>
      </c>
      <c r="Y28" s="1">
        <f t="shared" si="1"/>
        <v>5.3274418604651166E-2</v>
      </c>
      <c r="AA28" s="1">
        <f t="shared" si="6"/>
        <v>-3.3774825473808185</v>
      </c>
      <c r="AC28" s="1">
        <f t="shared" si="22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9"/>
        <v>0</v>
      </c>
      <c r="C29" s="1">
        <f t="shared" si="3"/>
        <v>0</v>
      </c>
      <c r="D29" s="1">
        <f t="shared" si="8"/>
        <v>8.855600775193806E-2</v>
      </c>
      <c r="E29">
        <v>180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0"/>
        <v>buy from the Grid</v>
      </c>
      <c r="X29" s="1">
        <f t="shared" si="21"/>
        <v>-5.3274418604651166E-2</v>
      </c>
      <c r="Y29" s="1">
        <f t="shared" si="1"/>
        <v>5.3274418604651166E-2</v>
      </c>
      <c r="AA29" s="1">
        <f t="shared" si="6"/>
        <v>-3.6734515396288807</v>
      </c>
      <c r="AC29" s="1">
        <f t="shared" si="22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9"/>
        <v>0</v>
      </c>
      <c r="C30" s="1">
        <f t="shared" si="3"/>
        <v>0</v>
      </c>
      <c r="D30" s="1">
        <f t="shared" si="8"/>
        <v>8.855600775193806E-2</v>
      </c>
      <c r="E30">
        <v>185.89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0"/>
        <v>buy from the Grid</v>
      </c>
      <c r="X30" s="1">
        <f t="shared" si="21"/>
        <v>-5.501767596899225E-2</v>
      </c>
      <c r="Y30" s="1">
        <f t="shared" si="1"/>
        <v>5.501767596899225E-2</v>
      </c>
      <c r="AA30" s="1">
        <f t="shared" si="6"/>
        <v>-3.9694205318769429</v>
      </c>
      <c r="AC30" s="1">
        <f t="shared" si="22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9"/>
        <v>0</v>
      </c>
      <c r="C31" s="1">
        <f t="shared" si="3"/>
        <v>0</v>
      </c>
      <c r="D31" s="1">
        <f t="shared" si="8"/>
        <v>8.855600775193806E-2</v>
      </c>
      <c r="E31">
        <v>271.87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0"/>
        <v>buy from the Grid</v>
      </c>
      <c r="X31" s="1">
        <f t="shared" si="21"/>
        <v>-0.10845294728682173</v>
      </c>
      <c r="Y31" s="1">
        <f t="shared" si="1"/>
        <v>0.10845294728682173</v>
      </c>
      <c r="AA31" s="1">
        <f t="shared" si="6"/>
        <v>-4.3683352605591139</v>
      </c>
      <c r="AC31" s="1">
        <f t="shared" si="22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9"/>
        <v>0</v>
      </c>
      <c r="C32" s="1">
        <f t="shared" si="3"/>
        <v>0</v>
      </c>
      <c r="D32" s="1">
        <f t="shared" si="8"/>
        <v>8.855600775193806E-2</v>
      </c>
      <c r="E32">
        <v>348.77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0"/>
        <v>buy from the Grid</v>
      </c>
      <c r="X32" s="1">
        <f t="shared" si="21"/>
        <v>-0.22082277922480617</v>
      </c>
      <c r="Y32" s="1">
        <f t="shared" si="1"/>
        <v>0.23337849922480622</v>
      </c>
      <c r="AA32" s="1">
        <f t="shared" si="6"/>
        <v>-5.0014825473808191</v>
      </c>
      <c r="AC32" s="1">
        <f t="shared" si="22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9"/>
        <v>0</v>
      </c>
      <c r="C33" s="1">
        <f t="shared" si="3"/>
        <v>0</v>
      </c>
      <c r="D33" s="1">
        <f t="shared" si="8"/>
        <v>8.855600775193806E-2</v>
      </c>
      <c r="E33">
        <v>353.77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0"/>
        <v>buy from the Grid</v>
      </c>
      <c r="X33" s="1">
        <f t="shared" si="21"/>
        <v>-0.20670040651162797</v>
      </c>
      <c r="Y33" s="1">
        <f t="shared" si="1"/>
        <v>0.23217184651162792</v>
      </c>
      <c r="AA33" s="1">
        <f t="shared" si="6"/>
        <v>-5.5857616171482611</v>
      </c>
      <c r="AC33" s="1">
        <f t="shared" si="22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9"/>
        <v>0</v>
      </c>
      <c r="C34" s="1">
        <f t="shared" si="3"/>
        <v>0</v>
      </c>
      <c r="D34" s="1">
        <f t="shared" si="8"/>
        <v>8.855600775193806E-2</v>
      </c>
      <c r="E34">
        <v>231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0"/>
        <v>buy from the Grid</v>
      </c>
      <c r="X34" s="1">
        <f t="shared" si="21"/>
        <v>-0.12665246511627909</v>
      </c>
      <c r="Y34" s="1">
        <f t="shared" si="1"/>
        <v>0.15160046511627912</v>
      </c>
      <c r="AA34" s="1">
        <f t="shared" si="6"/>
        <v>-6.1340406869157036</v>
      </c>
      <c r="AC34" s="1">
        <f t="shared" si="22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9"/>
        <v>0</v>
      </c>
      <c r="C35" s="1">
        <f t="shared" si="3"/>
        <v>0</v>
      </c>
      <c r="D35" s="1">
        <f t="shared" si="8"/>
        <v>8.855600775193806E-2</v>
      </c>
      <c r="E35">
        <v>203.99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0"/>
        <v>buy from the Grid</v>
      </c>
      <c r="X35" s="1">
        <f t="shared" si="21"/>
        <v>-4.5028511569041085E-2</v>
      </c>
      <c r="Y35" s="1">
        <f t="shared" si="1"/>
        <v>8.137461550387598E-2</v>
      </c>
      <c r="AA35" s="1">
        <f t="shared" si="6"/>
        <v>-6.3547795053334744</v>
      </c>
      <c r="AC35" s="1">
        <f t="shared" si="22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9"/>
        <v>0</v>
      </c>
      <c r="C36" s="1">
        <f t="shared" si="3"/>
        <v>0</v>
      </c>
      <c r="D36" s="1">
        <f t="shared" si="8"/>
        <v>8.855600775193806E-2</v>
      </c>
      <c r="E36">
        <v>196.23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3">0.25/L36</f>
        <v>0.62670034978624167</v>
      </c>
      <c r="Q36" s="1">
        <f t="shared" ref="Q36:Q42" si="24">K36-P36*L36</f>
        <v>0.35861301522300082</v>
      </c>
      <c r="R36" s="1">
        <f t="shared" ref="R36:R42" si="25">((1/(E36+0.01))*LN(0.25))+(E36*(K36-0.25))</f>
        <v>70.36356769693468</v>
      </c>
      <c r="S36" s="1">
        <f t="shared" ref="S36:S42" si="26">((1/(E36+0.01))*LN(L36))+(E36*(K36-L36))</f>
        <v>41.144411688017655</v>
      </c>
      <c r="T36" s="1">
        <f t="shared" ref="T36:T42" si="27">(S36+((S36^2)-4*(K36-L36*P36)*LN(L36*P36))^(0.5))/(2*(K36-L36*P36))</f>
        <v>114.76574825727072</v>
      </c>
      <c r="U36" s="1" t="str">
        <f t="shared" ref="U36:U42" si="28">IF(E36&gt;=T36*1.05,"sell to the Grid","charge")</f>
        <v>sell to the Grid</v>
      </c>
      <c r="W36" s="1">
        <f t="shared" ref="W36:W42" si="29">(Q36*E36)/1000</f>
        <v>7.0370631977209441E-2</v>
      </c>
      <c r="Y36" s="1">
        <f t="shared" si="1"/>
        <v>7.8279037209302335E-2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9"/>
        <v>0</v>
      </c>
      <c r="C37" s="1">
        <f t="shared" si="3"/>
        <v>0</v>
      </c>
      <c r="D37" s="1">
        <f t="shared" si="8"/>
        <v>8.855600775193806E-2</v>
      </c>
      <c r="E37">
        <v>188.89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3"/>
        <v>0.62670034978624167</v>
      </c>
      <c r="Q37" s="1">
        <f t="shared" si="24"/>
        <v>0.8263999999999998</v>
      </c>
      <c r="R37" s="1">
        <f t="shared" si="25"/>
        <v>156.09135722625132</v>
      </c>
      <c r="S37" s="1">
        <f t="shared" si="26"/>
        <v>127.96532785106432</v>
      </c>
      <c r="T37" s="1">
        <f t="shared" si="27"/>
        <v>154.85755071738183</v>
      </c>
      <c r="U37" s="1" t="str">
        <f t="shared" si="28"/>
        <v>sell to the Grid</v>
      </c>
      <c r="W37" s="1">
        <f t="shared" si="29"/>
        <v>0.15609869599999995</v>
      </c>
      <c r="Y37" s="1">
        <f t="shared" si="1"/>
        <v>7.5351003100775207E-2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9"/>
        <v>0</v>
      </c>
      <c r="C38" s="1">
        <f t="shared" si="3"/>
        <v>0</v>
      </c>
      <c r="D38" s="1">
        <f t="shared" si="8"/>
        <v>8.855600775193806E-2</v>
      </c>
      <c r="E38">
        <v>187.91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3"/>
        <v>0.62670034978624167</v>
      </c>
      <c r="Q38" s="1">
        <f t="shared" si="24"/>
        <v>1.3916000000000002</v>
      </c>
      <c r="R38" s="1">
        <f t="shared" si="25"/>
        <v>261.48817895465561</v>
      </c>
      <c r="S38" s="1">
        <f t="shared" si="26"/>
        <v>233.50809891401926</v>
      </c>
      <c r="T38" s="1">
        <f t="shared" si="27"/>
        <v>167.80422556291506</v>
      </c>
      <c r="U38" s="1" t="str">
        <f t="shared" si="28"/>
        <v>sell to the Grid</v>
      </c>
      <c r="W38" s="1">
        <f t="shared" si="29"/>
        <v>0.26149555600000002</v>
      </c>
      <c r="Y38" s="1">
        <f t="shared" si="1"/>
        <v>7.4960066666666672E-2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9"/>
        <v>0</v>
      </c>
      <c r="C39" s="1">
        <f t="shared" si="3"/>
        <v>0</v>
      </c>
      <c r="D39" s="1">
        <f t="shared" si="8"/>
        <v>8.855600775193806E-2</v>
      </c>
      <c r="E39">
        <v>188.89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3"/>
        <v>0.62670034978624167</v>
      </c>
      <c r="Q39" s="1">
        <f t="shared" si="24"/>
        <v>1.5247999999999999</v>
      </c>
      <c r="R39" s="1">
        <f t="shared" si="25"/>
        <v>288.01213322625131</v>
      </c>
      <c r="S39" s="1">
        <f t="shared" si="26"/>
        <v>259.88610385106432</v>
      </c>
      <c r="T39" s="1">
        <f t="shared" si="27"/>
        <v>170.44480406794457</v>
      </c>
      <c r="U39" s="1" t="str">
        <f t="shared" si="28"/>
        <v>sell to the Grid</v>
      </c>
      <c r="W39" s="1">
        <f t="shared" si="29"/>
        <v>0.28801947199999994</v>
      </c>
      <c r="Y39" s="1">
        <f t="shared" si="1"/>
        <v>7.5351003100775207E-2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9"/>
        <v>0</v>
      </c>
      <c r="C40" s="1">
        <f t="shared" si="3"/>
        <v>0</v>
      </c>
      <c r="D40" s="1">
        <f t="shared" si="8"/>
        <v>8.855600775193806E-2</v>
      </c>
      <c r="E40">
        <v>203.7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3"/>
        <v>0.62670034978624167</v>
      </c>
      <c r="Q40" s="1">
        <f t="shared" si="24"/>
        <v>1.4096</v>
      </c>
      <c r="R40" s="1">
        <f t="shared" si="25"/>
        <v>287.12871476529813</v>
      </c>
      <c r="S40" s="1">
        <f t="shared" si="26"/>
        <v>256.79707841504131</v>
      </c>
      <c r="T40" s="1">
        <f t="shared" si="27"/>
        <v>182.1826672671414</v>
      </c>
      <c r="U40" s="1" t="str">
        <f t="shared" si="28"/>
        <v>sell to the Grid</v>
      </c>
      <c r="W40" s="1">
        <f t="shared" si="29"/>
        <v>0.28713551999999998</v>
      </c>
      <c r="Y40" s="1">
        <f t="shared" si="1"/>
        <v>8.1258930232558146E-2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9"/>
        <v>0</v>
      </c>
      <c r="C41" s="1">
        <f t="shared" si="3"/>
        <v>0</v>
      </c>
      <c r="D41" s="1">
        <f t="shared" si="8"/>
        <v>8.855600775193806E-2</v>
      </c>
      <c r="E41">
        <v>363.77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3"/>
        <v>0.62670034978624167</v>
      </c>
      <c r="Q41" s="1">
        <f t="shared" si="24"/>
        <v>1.1612</v>
      </c>
      <c r="R41" s="1">
        <f t="shared" si="25"/>
        <v>422.40591319577459</v>
      </c>
      <c r="S41" s="1">
        <f t="shared" si="26"/>
        <v>368.23648687427152</v>
      </c>
      <c r="T41" s="1">
        <f t="shared" si="27"/>
        <v>317.12095967494173</v>
      </c>
      <c r="U41" s="1" t="str">
        <f t="shared" si="28"/>
        <v>sell to the Grid</v>
      </c>
      <c r="W41" s="1">
        <f t="shared" si="29"/>
        <v>0.42240972399999999</v>
      </c>
      <c r="Y41" s="1">
        <f t="shared" si="1"/>
        <v>0.1451132108527132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9"/>
        <v>0</v>
      </c>
      <c r="C42" s="1">
        <f t="shared" si="3"/>
        <v>0</v>
      </c>
      <c r="D42" s="1">
        <f t="shared" si="8"/>
        <v>8.855600775193806E-2</v>
      </c>
      <c r="E42">
        <v>348.77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3"/>
        <v>0.62670034978624167</v>
      </c>
      <c r="Q42" s="1">
        <f t="shared" si="24"/>
        <v>0.8335999999999999</v>
      </c>
      <c r="R42" s="1">
        <f t="shared" si="25"/>
        <v>290.73069730431462</v>
      </c>
      <c r="S42" s="1">
        <f t="shared" si="26"/>
        <v>238.79504715694614</v>
      </c>
      <c r="T42" s="1">
        <f t="shared" si="27"/>
        <v>286.46819387950541</v>
      </c>
      <c r="U42" s="1" t="str">
        <f t="shared" si="28"/>
        <v>sell to the Grid</v>
      </c>
      <c r="W42" s="1">
        <f t="shared" si="29"/>
        <v>0.29073467199999992</v>
      </c>
      <c r="Y42" s="1">
        <f t="shared" si="1"/>
        <v>0.13912948992248064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9"/>
        <v>0</v>
      </c>
      <c r="C43" s="1">
        <f t="shared" si="3"/>
        <v>0</v>
      </c>
      <c r="D43" s="1">
        <f t="shared" si="8"/>
        <v>8.855600775193806E-2</v>
      </c>
      <c r="E43">
        <v>363.77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buy from the Grid</v>
      </c>
      <c r="X43" s="1">
        <f t="shared" ref="X43:X58" si="31">(M43*E43)/1000</f>
        <v>-4.697990852713177E-2</v>
      </c>
      <c r="Y43" s="1">
        <f t="shared" si="1"/>
        <v>0.24341570852713179</v>
      </c>
      <c r="AA43" s="1">
        <f t="shared" si="6"/>
        <v>-2.0516877707372982E-2</v>
      </c>
      <c r="AC43" s="1">
        <f t="shared" ref="AC43:AC58" si="32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9"/>
        <v>0</v>
      </c>
      <c r="C44" s="1">
        <f t="shared" si="3"/>
        <v>0</v>
      </c>
      <c r="D44" s="1">
        <f t="shared" si="8"/>
        <v>8.855600775193806E-2</v>
      </c>
      <c r="E44">
        <v>301.24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buy from the Grid</v>
      </c>
      <c r="X44" s="1">
        <f t="shared" si="31"/>
        <v>-0.16036429668217053</v>
      </c>
      <c r="Y44" s="1">
        <f t="shared" si="1"/>
        <v>0.20157392868217056</v>
      </c>
      <c r="AA44" s="1">
        <f t="shared" si="6"/>
        <v>-0.55286416452907838</v>
      </c>
      <c r="AC44" s="1">
        <f t="shared" si="32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9"/>
        <v>0</v>
      </c>
      <c r="C45" s="1">
        <f t="shared" si="3"/>
        <v>0</v>
      </c>
      <c r="D45" s="1">
        <f t="shared" si="8"/>
        <v>8.855600775193806E-2</v>
      </c>
      <c r="E45">
        <v>353.77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buy from the Grid</v>
      </c>
      <c r="X45" s="1">
        <f t="shared" si="31"/>
        <v>-0.23217184651162792</v>
      </c>
      <c r="Y45" s="1">
        <f t="shared" si="1"/>
        <v>0.23217184651162792</v>
      </c>
      <c r="AA45" s="1">
        <f t="shared" si="6"/>
        <v>-1.2091432342965205</v>
      </c>
      <c r="AC45" s="1">
        <f t="shared" si="32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9"/>
        <v>0</v>
      </c>
      <c r="C46" s="1">
        <f t="shared" si="3"/>
        <v>0</v>
      </c>
      <c r="D46" s="1">
        <f t="shared" si="8"/>
        <v>8.855600775193806E-2</v>
      </c>
      <c r="E46">
        <v>358.77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buy from the Grid</v>
      </c>
      <c r="X46" s="1">
        <f t="shared" si="31"/>
        <v>-0.24006997209302325</v>
      </c>
      <c r="Y46" s="1">
        <f t="shared" si="1"/>
        <v>0.24006997209302325</v>
      </c>
      <c r="AA46" s="1">
        <f t="shared" si="6"/>
        <v>-1.8782905211182259</v>
      </c>
      <c r="AC46" s="1">
        <f t="shared" si="32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9"/>
        <v>0</v>
      </c>
      <c r="C47" s="1">
        <f t="shared" si="3"/>
        <v>0</v>
      </c>
      <c r="D47" s="1">
        <f t="shared" si="8"/>
        <v>8.855600775193806E-2</v>
      </c>
      <c r="E47">
        <v>284.52999999999997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buy from the Grid</v>
      </c>
      <c r="X47" s="1">
        <f t="shared" si="31"/>
        <v>-0.11350320775193799</v>
      </c>
      <c r="Y47" s="1">
        <f t="shared" si="1"/>
        <v>0.11350320775193799</v>
      </c>
      <c r="AA47" s="1">
        <f t="shared" si="6"/>
        <v>-2.2772052498003967</v>
      </c>
      <c r="AC47" s="1">
        <f t="shared" si="32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9"/>
        <v>0</v>
      </c>
      <c r="C48" s="1">
        <f t="shared" si="3"/>
        <v>0</v>
      </c>
      <c r="D48" s="1">
        <f t="shared" si="8"/>
        <v>8.855600775193806E-2</v>
      </c>
      <c r="E48">
        <v>268.66000000000003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buy from the Grid</v>
      </c>
      <c r="X48" s="1">
        <f t="shared" si="31"/>
        <v>-0.10717243100775196</v>
      </c>
      <c r="Y48" s="1">
        <f t="shared" si="1"/>
        <v>0.10717243100775196</v>
      </c>
      <c r="AA48" s="1">
        <f t="shared" si="6"/>
        <v>-2.6761199784825673</v>
      </c>
      <c r="AC48" s="1">
        <f t="shared" si="32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9"/>
        <v>0</v>
      </c>
      <c r="C49" s="1">
        <f t="shared" si="3"/>
        <v>0</v>
      </c>
      <c r="D49" s="1">
        <f t="shared" si="8"/>
        <v>8.855600775193806E-2</v>
      </c>
      <c r="E49">
        <v>262.99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buy from the Grid</v>
      </c>
      <c r="X49" s="1">
        <f t="shared" si="31"/>
        <v>-0.10491058449612405</v>
      </c>
      <c r="Y49" s="1">
        <f t="shared" si="1"/>
        <v>0.10491058449612405</v>
      </c>
      <c r="AA49" s="1">
        <f t="shared" si="6"/>
        <v>-3.0750347071647379</v>
      </c>
      <c r="AC49" s="1">
        <f t="shared" si="32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9"/>
        <v>0</v>
      </c>
      <c r="C50" s="1">
        <f t="shared" si="3"/>
        <v>0</v>
      </c>
      <c r="D50" s="1">
        <f t="shared" si="8"/>
        <v>8.855600775193806E-2</v>
      </c>
      <c r="E50">
        <v>349.17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si="31"/>
        <v>-0.10334349302325584</v>
      </c>
      <c r="Y50" s="1">
        <f t="shared" si="1"/>
        <v>0.10334349302325584</v>
      </c>
      <c r="AA50" s="1">
        <f t="shared" si="6"/>
        <v>-3.3710036994128001</v>
      </c>
      <c r="AC50" s="1">
        <f t="shared" si="32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9"/>
        <v>0</v>
      </c>
      <c r="C51" s="1">
        <f t="shared" si="3"/>
        <v>0</v>
      </c>
      <c r="D51" s="1">
        <f t="shared" si="8"/>
        <v>8.855600775193806E-2</v>
      </c>
      <c r="E51">
        <v>274.10000000000002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-8.1125100775193817E-2</v>
      </c>
      <c r="Y51" s="1">
        <f t="shared" si="1"/>
        <v>8.1125100775193817E-2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9"/>
        <v>0</v>
      </c>
      <c r="C52" s="1">
        <f t="shared" si="3"/>
        <v>0</v>
      </c>
      <c r="D52" s="1">
        <f t="shared" si="8"/>
        <v>8.855600775193806E-2</v>
      </c>
      <c r="E52">
        <v>271.25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-8.0281589147286836E-2</v>
      </c>
      <c r="Y52" s="1">
        <f t="shared" si="1"/>
        <v>8.0281589147286836E-2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9"/>
        <v>0</v>
      </c>
      <c r="C53" s="1">
        <f t="shared" si="3"/>
        <v>0</v>
      </c>
      <c r="D53" s="1">
        <f t="shared" si="8"/>
        <v>8.855600775193806E-2</v>
      </c>
      <c r="E53">
        <v>172.78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-5.1137522480620159E-2</v>
      </c>
      <c r="Y53" s="1">
        <f t="shared" si="1"/>
        <v>5.1137522480620159E-2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9"/>
        <v>0</v>
      </c>
      <c r="C54" s="1">
        <f t="shared" si="3"/>
        <v>0</v>
      </c>
      <c r="D54" s="1">
        <f t="shared" si="8"/>
        <v>8.855600775193806E-2</v>
      </c>
      <c r="E54">
        <v>272.85000000000002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-8.0755139534883738E-2</v>
      </c>
      <c r="Y54" s="1">
        <f t="shared" si="1"/>
        <v>8.0755139534883738E-2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9"/>
        <v>0</v>
      </c>
      <c r="C55" s="1">
        <f t="shared" si="3"/>
        <v>0</v>
      </c>
      <c r="D55" s="1">
        <f t="shared" si="8"/>
        <v>8.855600775193806E-2</v>
      </c>
      <c r="E55">
        <v>354.17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-0.14128362945736436</v>
      </c>
      <c r="Y55" s="1">
        <f t="shared" si="1"/>
        <v>0.14128362945736436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9"/>
        <v>0</v>
      </c>
      <c r="C56" s="1">
        <f t="shared" si="3"/>
        <v>0</v>
      </c>
      <c r="D56" s="1">
        <f t="shared" si="8"/>
        <v>8.855600775193806E-2</v>
      </c>
      <c r="E56">
        <v>359.17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-0.24033763100775196</v>
      </c>
      <c r="Y56" s="1">
        <f t="shared" si="1"/>
        <v>0.24033763100775196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9"/>
        <v>0</v>
      </c>
      <c r="C57" s="1">
        <f t="shared" si="3"/>
        <v>0</v>
      </c>
      <c r="D57" s="1">
        <f t="shared" si="8"/>
        <v>8.855600775193806E-2</v>
      </c>
      <c r="E57">
        <v>349.17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-0.2279896041395349</v>
      </c>
      <c r="Y57" s="1">
        <f t="shared" si="1"/>
        <v>0.23364615813953488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9"/>
        <v>0</v>
      </c>
      <c r="C58" s="1">
        <f t="shared" si="3"/>
        <v>0</v>
      </c>
      <c r="D58" s="1">
        <f t="shared" si="8"/>
        <v>8.855600775193806E-2</v>
      </c>
      <c r="E58">
        <v>269.99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-0.11456952396899224</v>
      </c>
      <c r="Y58" s="1">
        <f t="shared" si="1"/>
        <v>0.18066307596899225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9"/>
        <v>0</v>
      </c>
      <c r="C59" s="1">
        <f t="shared" si="3"/>
        <v>0</v>
      </c>
      <c r="D59" s="1">
        <f t="shared" si="8"/>
        <v>8.855600775193806E-2</v>
      </c>
      <c r="E59">
        <v>198.49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101.14352014931426</v>
      </c>
      <c r="S59" s="1">
        <f t="shared" ref="S59:S67" si="36">((1/(E59+0.01))*LN(L59))+(E59*(K59-L59))</f>
        <v>71.587789742679433</v>
      </c>
      <c r="T59" s="1">
        <f t="shared" ref="T59:T67" si="37">(S59+((S59^2)-4*(K59-L59*P59)*LN(L59*P59))^(0.5))/(2*(K59-L59*P59))</f>
        <v>140.49775660127327</v>
      </c>
      <c r="U59" s="1" t="str">
        <f t="shared" ref="U59:U67" si="38">IF(E59&gt;=T59*1.05,"sell to the Grid","charge")</f>
        <v>sell to the Grid</v>
      </c>
      <c r="W59" s="1">
        <f t="shared" ref="W59:W67" si="39">(Q59*E59)/1000</f>
        <v>0.101150504</v>
      </c>
      <c r="Y59" s="1">
        <f t="shared" si="1"/>
        <v>7.9180584496124043E-2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9"/>
        <v>0</v>
      </c>
      <c r="C60" s="1">
        <f t="shared" si="3"/>
        <v>0</v>
      </c>
      <c r="D60" s="1">
        <f t="shared" si="8"/>
        <v>8.855600775193806E-2</v>
      </c>
      <c r="E60">
        <v>191.58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226.59358826556127</v>
      </c>
      <c r="S60" s="1">
        <f t="shared" si="36"/>
        <v>198.06694353812554</v>
      </c>
      <c r="T60" s="1">
        <f t="shared" si="37"/>
        <v>167.46298761549153</v>
      </c>
      <c r="U60" s="1" t="str">
        <f t="shared" si="38"/>
        <v>sell to the Grid</v>
      </c>
      <c r="W60" s="1">
        <f t="shared" si="39"/>
        <v>0.22660082400000001</v>
      </c>
      <c r="Y60" s="1">
        <f t="shared" si="1"/>
        <v>7.6424083720930236E-2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9"/>
        <v>0</v>
      </c>
      <c r="C61" s="1">
        <f t="shared" si="3"/>
        <v>0</v>
      </c>
      <c r="D61" s="1">
        <f t="shared" si="8"/>
        <v>8.855600775193806E-2</v>
      </c>
      <c r="E61">
        <v>180.2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299.41262733943114</v>
      </c>
      <c r="S61" s="1">
        <f t="shared" si="36"/>
        <v>272.58078624329846</v>
      </c>
      <c r="T61" s="1">
        <f t="shared" si="37"/>
        <v>164.05226081179981</v>
      </c>
      <c r="U61" s="1" t="str">
        <f t="shared" si="38"/>
        <v>sell to the Grid</v>
      </c>
      <c r="W61" s="1">
        <f t="shared" si="39"/>
        <v>0.29942032000000002</v>
      </c>
      <c r="Y61" s="1">
        <f t="shared" si="1"/>
        <v>7.1884434108527129E-2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9"/>
        <v>0</v>
      </c>
      <c r="C62" s="1">
        <f t="shared" si="3"/>
        <v>0</v>
      </c>
      <c r="D62" s="1">
        <f t="shared" si="8"/>
        <v>8.855600775193806E-2</v>
      </c>
      <c r="E62">
        <v>175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339.28207877057815</v>
      </c>
      <c r="S62" s="1">
        <f t="shared" si="36"/>
        <v>313.22467130870132</v>
      </c>
      <c r="T62" s="1">
        <f t="shared" si="37"/>
        <v>161.56037340984841</v>
      </c>
      <c r="U62" s="1" t="str">
        <f t="shared" si="38"/>
        <v>sell to the Grid</v>
      </c>
      <c r="W62" s="1">
        <f t="shared" si="39"/>
        <v>0.33929000000000004</v>
      </c>
      <c r="Y62" s="1">
        <f t="shared" si="1"/>
        <v>6.9810077519379857E-2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9"/>
        <v>0</v>
      </c>
      <c r="C63" s="1">
        <f t="shared" si="3"/>
        <v>0</v>
      </c>
      <c r="D63" s="1">
        <f t="shared" si="8"/>
        <v>8.855600775193806E-2</v>
      </c>
      <c r="E63">
        <v>174.76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367.12787589288138</v>
      </c>
      <c r="S63" s="1">
        <f t="shared" si="36"/>
        <v>341.10621163250045</v>
      </c>
      <c r="T63" s="1">
        <f t="shared" si="37"/>
        <v>162.3737382466002</v>
      </c>
      <c r="U63" s="1" t="str">
        <f t="shared" si="38"/>
        <v>sell to the Grid</v>
      </c>
      <c r="W63" s="1">
        <f t="shared" si="39"/>
        <v>0.36713580800000001</v>
      </c>
      <c r="Y63" s="1">
        <f t="shared" si="1"/>
        <v>6.9714337984496125E-2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9"/>
        <v>0</v>
      </c>
      <c r="C64" s="1">
        <f t="shared" si="3"/>
        <v>0</v>
      </c>
      <c r="D64" s="1">
        <f t="shared" si="8"/>
        <v>8.855600775193806E-2</v>
      </c>
      <c r="E64">
        <v>180.2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357.79742733943107</v>
      </c>
      <c r="S64" s="1">
        <f t="shared" si="36"/>
        <v>330.96558624329839</v>
      </c>
      <c r="T64" s="1">
        <f t="shared" si="37"/>
        <v>166.68709860490614</v>
      </c>
      <c r="U64" s="1" t="str">
        <f t="shared" si="38"/>
        <v>sell to the Grid</v>
      </c>
      <c r="W64" s="1">
        <f t="shared" si="39"/>
        <v>0.35780511999999992</v>
      </c>
      <c r="Y64" s="1">
        <f t="shared" si="1"/>
        <v>7.1884434108527129E-2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9"/>
        <v>0</v>
      </c>
      <c r="C65" s="1">
        <f t="shared" si="3"/>
        <v>0</v>
      </c>
      <c r="D65" s="1">
        <f t="shared" si="8"/>
        <v>8.855600775193806E-2</v>
      </c>
      <c r="E65">
        <v>269.97000000000003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458.29593719608448</v>
      </c>
      <c r="S65" s="1">
        <f t="shared" si="36"/>
        <v>418.09515871368484</v>
      </c>
      <c r="T65" s="1">
        <f t="shared" si="37"/>
        <v>246.28934226919174</v>
      </c>
      <c r="U65" s="1" t="str">
        <f t="shared" si="38"/>
        <v>sell to the Grid</v>
      </c>
      <c r="W65" s="1">
        <f t="shared" si="39"/>
        <v>0.45830107200000003</v>
      </c>
      <c r="Y65" s="1">
        <f t="shared" si="1"/>
        <v>0.1076950093023256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9"/>
        <v>0</v>
      </c>
      <c r="C66" s="1">
        <f t="shared" si="3"/>
        <v>0</v>
      </c>
      <c r="D66" s="1">
        <f t="shared" si="8"/>
        <v>8.855600775193806E-2</v>
      </c>
      <c r="E66">
        <v>354.17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444.40860190445215</v>
      </c>
      <c r="S66" s="1">
        <f t="shared" si="36"/>
        <v>391.66879179533902</v>
      </c>
      <c r="T66" s="1">
        <f t="shared" si="37"/>
        <v>312.13996896243685</v>
      </c>
      <c r="U66" s="1" t="str">
        <f t="shared" si="38"/>
        <v>sell to the Grid</v>
      </c>
      <c r="W66" s="1">
        <f t="shared" si="39"/>
        <v>0.44441251599999998</v>
      </c>
      <c r="Y66" s="1">
        <f t="shared" ref="Y66:Y129" si="40">(L66*E66)/1000</f>
        <v>0.14128362945736436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9"/>
        <v>0</v>
      </c>
      <c r="C67" s="1">
        <f t="shared" ref="C67:C130" si="41">IF(V66="discharge",M66,0)</f>
        <v>0</v>
      </c>
      <c r="D67" s="1">
        <f t="shared" si="8"/>
        <v>8.855600775193806E-2</v>
      </c>
      <c r="E67">
        <v>369.17</v>
      </c>
      <c r="K67" s="1">
        <f>'Solar Availability and Gener GR'!F67</f>
        <v>0.9396000000000001</v>
      </c>
      <c r="L67" s="1">
        <v>0.65627906976744199</v>
      </c>
      <c r="M67" s="1">
        <f t="shared" ref="M67:M130" si="42">K67-L67</f>
        <v>0.28332093023255811</v>
      </c>
      <c r="N67" s="1" t="str">
        <f t="shared" ref="N67:N130" si="43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254.57587693645078</v>
      </c>
      <c r="S67" s="1">
        <f t="shared" si="36"/>
        <v>104.59244699059016</v>
      </c>
      <c r="T67" s="1">
        <f t="shared" si="37"/>
        <v>151.68443492208235</v>
      </c>
      <c r="U67" s="1" t="str">
        <f t="shared" si="38"/>
        <v>sell to the Grid</v>
      </c>
      <c r="W67" s="1">
        <f t="shared" si="39"/>
        <v>0.25457963200000006</v>
      </c>
      <c r="Y67" s="1">
        <f t="shared" si="40"/>
        <v>0.24227854418604655</v>
      </c>
      <c r="AA67" s="1">
        <f t="shared" ref="AA67:AA130" si="44">M67+AA66</f>
        <v>4.7233668432228599</v>
      </c>
      <c r="AD67" s="1">
        <f t="shared" ref="AD67:AD130" si="45">AC67+O67</f>
        <v>0.25</v>
      </c>
    </row>
    <row r="68" spans="1:30" ht="15">
      <c r="A68" s="1">
        <v>67</v>
      </c>
      <c r="B68" s="1">
        <f t="shared" si="19"/>
        <v>0</v>
      </c>
      <c r="C68" s="1">
        <f t="shared" si="41"/>
        <v>0</v>
      </c>
      <c r="D68" s="1">
        <f t="shared" ref="D68:D131" si="46">(D67)+(B68*0.8)+(C68/0.8)</f>
        <v>8.855600775193806E-2</v>
      </c>
      <c r="E68">
        <v>344.5</v>
      </c>
      <c r="K68" s="1">
        <f>'Solar Availability and Gener GR'!F68</f>
        <v>0.34559999999999996</v>
      </c>
      <c r="L68" s="1">
        <v>0.66914728682170543</v>
      </c>
      <c r="M68" s="1">
        <f t="shared" si="42"/>
        <v>-0.32354728682170547</v>
      </c>
      <c r="N68" s="1" t="str">
        <f t="shared" si="43"/>
        <v>Buy from Grid</v>
      </c>
      <c r="V68" s="1" t="str">
        <f t="shared" ref="V68:V82" si="47">IF(D68+M68&gt;0,"discharge","buy from the Grid")</f>
        <v>buy from the Grid</v>
      </c>
      <c r="Y68" s="1">
        <f t="shared" si="40"/>
        <v>0.23052124031007754</v>
      </c>
      <c r="AA68" s="1">
        <f t="shared" si="44"/>
        <v>4.3998195564011544</v>
      </c>
      <c r="AC68" s="1">
        <f t="shared" ref="AC68:AC82" si="48">L68</f>
        <v>0.66914728682170543</v>
      </c>
      <c r="AD68" s="1">
        <f t="shared" si="45"/>
        <v>0.66914728682170543</v>
      </c>
    </row>
    <row r="69" spans="1:30" ht="15">
      <c r="A69" s="1">
        <v>68</v>
      </c>
      <c r="B69" s="1">
        <f t="shared" si="19"/>
        <v>0</v>
      </c>
      <c r="C69" s="1">
        <f t="shared" si="41"/>
        <v>0</v>
      </c>
      <c r="D69" s="1">
        <f t="shared" si="46"/>
        <v>8.855600775193806E-2</v>
      </c>
      <c r="E69">
        <v>349.17</v>
      </c>
      <c r="K69" s="1">
        <f>'Solar Availability and Gener GR'!F69</f>
        <v>2.8799999999999999E-2</v>
      </c>
      <c r="L69" s="1">
        <v>0.65627906976744199</v>
      </c>
      <c r="M69" s="1">
        <f t="shared" si="42"/>
        <v>-0.62747906976744194</v>
      </c>
      <c r="N69" s="1" t="str">
        <f t="shared" si="43"/>
        <v>Buy from Grid</v>
      </c>
      <c r="V69" s="1" t="str">
        <f t="shared" si="47"/>
        <v>buy from the Grid</v>
      </c>
      <c r="Y69" s="1">
        <f t="shared" si="40"/>
        <v>0.22915296279069772</v>
      </c>
      <c r="AA69" s="1">
        <f t="shared" si="44"/>
        <v>3.7723404866337127</v>
      </c>
      <c r="AC69" s="1">
        <f t="shared" si="48"/>
        <v>0.65627906976744199</v>
      </c>
      <c r="AD69" s="1">
        <f t="shared" si="45"/>
        <v>0.65627906976744199</v>
      </c>
    </row>
    <row r="70" spans="1:30" ht="15">
      <c r="A70" s="1">
        <v>69</v>
      </c>
      <c r="B70" s="1">
        <f t="shared" si="19"/>
        <v>0</v>
      </c>
      <c r="C70" s="1">
        <f t="shared" si="41"/>
        <v>0</v>
      </c>
      <c r="D70" s="1">
        <f t="shared" si="46"/>
        <v>8.855600775193806E-2</v>
      </c>
      <c r="E70">
        <v>343</v>
      </c>
      <c r="K70" s="1">
        <f>'Solar Availability and Gener GR'!F70</f>
        <v>0</v>
      </c>
      <c r="L70" s="1">
        <v>0.66914728682170543</v>
      </c>
      <c r="M70" s="1">
        <f t="shared" si="42"/>
        <v>-0.66914728682170543</v>
      </c>
      <c r="N70" s="1" t="str">
        <f t="shared" si="43"/>
        <v>Buy from Grid</v>
      </c>
      <c r="V70" s="1" t="str">
        <f t="shared" si="47"/>
        <v>buy from the Grid</v>
      </c>
      <c r="Y70" s="1">
        <f t="shared" si="40"/>
        <v>0.22951751937984496</v>
      </c>
      <c r="AA70" s="1">
        <f t="shared" si="44"/>
        <v>3.103193199812007</v>
      </c>
      <c r="AC70" s="1">
        <f t="shared" si="48"/>
        <v>0.66914728682170543</v>
      </c>
      <c r="AD70" s="1">
        <f t="shared" si="45"/>
        <v>0.66914728682170543</v>
      </c>
    </row>
    <row r="71" spans="1:30" ht="15">
      <c r="A71" s="1">
        <v>70</v>
      </c>
      <c r="B71" s="1">
        <f t="shared" si="19"/>
        <v>0</v>
      </c>
      <c r="C71" s="1">
        <f t="shared" si="41"/>
        <v>0</v>
      </c>
      <c r="D71" s="1">
        <f t="shared" si="46"/>
        <v>8.855600775193806E-2</v>
      </c>
      <c r="E71">
        <v>270.76</v>
      </c>
      <c r="K71" s="1">
        <f>'Solar Availability and Gener GR'!F71</f>
        <v>0</v>
      </c>
      <c r="L71" s="1">
        <v>0.39891472868217059</v>
      </c>
      <c r="M71" s="1">
        <f t="shared" si="42"/>
        <v>-0.39891472868217059</v>
      </c>
      <c r="N71" s="1" t="str">
        <f t="shared" si="43"/>
        <v>Buy from Grid</v>
      </c>
      <c r="V71" s="1" t="str">
        <f t="shared" si="47"/>
        <v>buy from the Grid</v>
      </c>
      <c r="X71" s="1">
        <f t="shared" ref="X71:X82" si="49">(M71*E71)/1000</f>
        <v>-0.10801015193798451</v>
      </c>
      <c r="Y71" s="1">
        <f t="shared" si="40"/>
        <v>0.10801015193798451</v>
      </c>
      <c r="AA71" s="1">
        <f t="shared" si="44"/>
        <v>2.7042784711298364</v>
      </c>
      <c r="AC71" s="1">
        <f t="shared" si="48"/>
        <v>0.39891472868217059</v>
      </c>
      <c r="AD71" s="1">
        <f t="shared" si="45"/>
        <v>0.39891472868217059</v>
      </c>
    </row>
    <row r="72" spans="1:30" ht="15">
      <c r="A72" s="1">
        <v>71</v>
      </c>
      <c r="B72" s="1">
        <f t="shared" si="19"/>
        <v>0</v>
      </c>
      <c r="C72" s="1">
        <f t="shared" si="41"/>
        <v>0</v>
      </c>
      <c r="D72" s="1">
        <f t="shared" si="46"/>
        <v>8.855600775193806E-2</v>
      </c>
      <c r="E72">
        <v>243.82</v>
      </c>
      <c r="K72" s="1">
        <f>'Solar Availability and Gener GR'!F72</f>
        <v>0</v>
      </c>
      <c r="L72" s="1">
        <v>0.39891472868217059</v>
      </c>
      <c r="M72" s="1">
        <f t="shared" si="42"/>
        <v>-0.39891472868217059</v>
      </c>
      <c r="N72" s="1" t="str">
        <f t="shared" si="43"/>
        <v>Buy from Grid</v>
      </c>
      <c r="V72" s="1" t="str">
        <f t="shared" si="47"/>
        <v>buy from the Grid</v>
      </c>
      <c r="X72" s="1">
        <f t="shared" si="49"/>
        <v>-9.7263389147286827E-2</v>
      </c>
      <c r="Y72" s="1">
        <f t="shared" si="40"/>
        <v>9.7263389147286827E-2</v>
      </c>
      <c r="AA72" s="1">
        <f t="shared" si="44"/>
        <v>2.3053637424476658</v>
      </c>
      <c r="AC72" s="1">
        <f t="shared" si="48"/>
        <v>0.39891472868217059</v>
      </c>
      <c r="AD72" s="1">
        <f t="shared" si="45"/>
        <v>0.39891472868217059</v>
      </c>
    </row>
    <row r="73" spans="1:30" ht="15">
      <c r="A73" s="1">
        <v>72</v>
      </c>
      <c r="B73" s="1">
        <f t="shared" si="19"/>
        <v>0</v>
      </c>
      <c r="C73" s="1">
        <f t="shared" si="41"/>
        <v>0</v>
      </c>
      <c r="D73" s="1">
        <f t="shared" si="46"/>
        <v>8.855600775193806E-2</v>
      </c>
      <c r="E73">
        <v>149.99</v>
      </c>
      <c r="K73" s="1">
        <f>'Solar Availability and Gener GR'!F73</f>
        <v>0</v>
      </c>
      <c r="L73" s="1">
        <v>0.39891472868217059</v>
      </c>
      <c r="M73" s="1">
        <f t="shared" si="42"/>
        <v>-0.39891472868217059</v>
      </c>
      <c r="N73" s="1" t="str">
        <f t="shared" si="43"/>
        <v>Buy from Grid</v>
      </c>
      <c r="V73" s="1" t="str">
        <f t="shared" si="47"/>
        <v>buy from the Grid</v>
      </c>
      <c r="X73" s="1">
        <f t="shared" si="49"/>
        <v>-5.9833220155038773E-2</v>
      </c>
      <c r="Y73" s="1">
        <f t="shared" si="40"/>
        <v>5.9833220155038773E-2</v>
      </c>
      <c r="AA73" s="1">
        <f t="shared" si="44"/>
        <v>1.9064490137654952</v>
      </c>
      <c r="AC73" s="1">
        <f t="shared" si="48"/>
        <v>0.39891472868217059</v>
      </c>
      <c r="AD73" s="1">
        <f t="shared" si="45"/>
        <v>0.39891472868217059</v>
      </c>
    </row>
    <row r="74" spans="1:30" ht="15">
      <c r="A74" s="1">
        <v>73</v>
      </c>
      <c r="B74" s="1">
        <f t="shared" si="19"/>
        <v>0</v>
      </c>
      <c r="C74" s="1">
        <f t="shared" si="41"/>
        <v>0</v>
      </c>
      <c r="D74" s="1">
        <f t="shared" si="46"/>
        <v>8.855600775193806E-2</v>
      </c>
      <c r="E74">
        <v>151.68</v>
      </c>
      <c r="K74" s="1">
        <f>'Solar Availability and Gener GR'!F74</f>
        <v>0</v>
      </c>
      <c r="L74" s="1">
        <v>0.29596899224806206</v>
      </c>
      <c r="M74" s="1">
        <f t="shared" si="42"/>
        <v>-0.29596899224806206</v>
      </c>
      <c r="N74" s="1" t="str">
        <f t="shared" si="43"/>
        <v>Buy from Grid</v>
      </c>
      <c r="V74" s="1" t="str">
        <f t="shared" si="47"/>
        <v>buy from the Grid</v>
      </c>
      <c r="X74" s="1">
        <f t="shared" si="49"/>
        <v>-4.489257674418605E-2</v>
      </c>
      <c r="Y74" s="1">
        <f t="shared" si="40"/>
        <v>4.489257674418605E-2</v>
      </c>
      <c r="AA74" s="1">
        <f t="shared" si="44"/>
        <v>1.6104800215174331</v>
      </c>
      <c r="AC74" s="1">
        <f t="shared" si="48"/>
        <v>0.29596899224806206</v>
      </c>
      <c r="AD74" s="1">
        <f t="shared" si="45"/>
        <v>0.29596899224806206</v>
      </c>
    </row>
    <row r="75" spans="1:30" ht="15">
      <c r="A75" s="1">
        <v>74</v>
      </c>
      <c r="B75" s="1">
        <f t="shared" si="19"/>
        <v>0</v>
      </c>
      <c r="C75" s="1">
        <f t="shared" si="41"/>
        <v>0</v>
      </c>
      <c r="D75" s="1">
        <f t="shared" si="46"/>
        <v>8.855600775193806E-2</v>
      </c>
      <c r="E75">
        <v>216.29</v>
      </c>
      <c r="K75" s="1">
        <f>'Solar Availability and Gener GR'!F75</f>
        <v>0</v>
      </c>
      <c r="L75" s="1">
        <v>0.29596899224806206</v>
      </c>
      <c r="M75" s="1">
        <f t="shared" si="42"/>
        <v>-0.29596899224806206</v>
      </c>
      <c r="N75" s="1" t="str">
        <f t="shared" si="43"/>
        <v>Buy from Grid</v>
      </c>
      <c r="V75" s="1" t="str">
        <f t="shared" si="47"/>
        <v>buy from the Grid</v>
      </c>
      <c r="X75" s="1">
        <f t="shared" si="49"/>
        <v>-6.4015133333333335E-2</v>
      </c>
      <c r="Y75" s="1">
        <f t="shared" si="40"/>
        <v>6.4015133333333335E-2</v>
      </c>
      <c r="AA75" s="1">
        <f t="shared" si="44"/>
        <v>1.3145110292693709</v>
      </c>
      <c r="AC75" s="1">
        <f t="shared" si="48"/>
        <v>0.29596899224806206</v>
      </c>
      <c r="AD75" s="1">
        <f t="shared" si="45"/>
        <v>0.29596899224806206</v>
      </c>
    </row>
    <row r="76" spans="1:30" ht="15">
      <c r="A76" s="1">
        <v>75</v>
      </c>
      <c r="B76" s="1">
        <f t="shared" si="19"/>
        <v>0</v>
      </c>
      <c r="C76" s="1">
        <f t="shared" si="41"/>
        <v>0</v>
      </c>
      <c r="D76" s="1">
        <f t="shared" si="46"/>
        <v>8.855600775193806E-2</v>
      </c>
      <c r="E76">
        <v>155.18</v>
      </c>
      <c r="K76" s="1">
        <f>'Solar Availability and Gener GR'!F76</f>
        <v>0</v>
      </c>
      <c r="L76" s="1">
        <v>0.29596899224806206</v>
      </c>
      <c r="M76" s="1">
        <f t="shared" si="42"/>
        <v>-0.29596899224806206</v>
      </c>
      <c r="N76" s="1" t="str">
        <f t="shared" si="43"/>
        <v>Buy from Grid</v>
      </c>
      <c r="V76" s="1" t="str">
        <f t="shared" si="47"/>
        <v>buy from the Grid</v>
      </c>
      <c r="X76" s="1">
        <f t="shared" si="49"/>
        <v>-4.592846821705427E-2</v>
      </c>
      <c r="Y76" s="1">
        <f t="shared" si="40"/>
        <v>4.592846821705427E-2</v>
      </c>
      <c r="AA76" s="1">
        <f t="shared" si="44"/>
        <v>1.0185420370213087</v>
      </c>
      <c r="AC76" s="1">
        <f t="shared" si="48"/>
        <v>0.29596899224806206</v>
      </c>
      <c r="AD76" s="1">
        <f t="shared" si="45"/>
        <v>0.29596899224806206</v>
      </c>
    </row>
    <row r="77" spans="1:30" ht="15">
      <c r="A77" s="1">
        <v>76</v>
      </c>
      <c r="B77" s="1">
        <f t="shared" si="19"/>
        <v>0</v>
      </c>
      <c r="C77" s="1">
        <f t="shared" si="41"/>
        <v>0</v>
      </c>
      <c r="D77" s="1">
        <f t="shared" si="46"/>
        <v>8.855600775193806E-2</v>
      </c>
      <c r="E77">
        <v>130</v>
      </c>
      <c r="K77" s="1">
        <f>'Solar Availability and Gener GR'!F77</f>
        <v>0</v>
      </c>
      <c r="L77" s="1">
        <v>0.29596899224806206</v>
      </c>
      <c r="M77" s="1">
        <f t="shared" si="42"/>
        <v>-0.29596899224806206</v>
      </c>
      <c r="N77" s="1" t="str">
        <f t="shared" si="43"/>
        <v>Buy from Grid</v>
      </c>
      <c r="V77" s="1" t="str">
        <f t="shared" si="47"/>
        <v>buy from the Grid</v>
      </c>
      <c r="X77" s="1">
        <f t="shared" si="49"/>
        <v>-3.8475968992248068E-2</v>
      </c>
      <c r="Y77" s="1">
        <f t="shared" si="40"/>
        <v>3.8475968992248068E-2</v>
      </c>
      <c r="AA77" s="1">
        <f t="shared" si="44"/>
        <v>0.72257304477324669</v>
      </c>
      <c r="AC77" s="1">
        <f t="shared" si="48"/>
        <v>0.29596899224806206</v>
      </c>
      <c r="AD77" s="1">
        <f t="shared" si="45"/>
        <v>0.29596899224806206</v>
      </c>
    </row>
    <row r="78" spans="1:30" ht="15">
      <c r="A78" s="1">
        <v>77</v>
      </c>
      <c r="B78" s="1">
        <f t="shared" si="19"/>
        <v>0</v>
      </c>
      <c r="C78" s="1">
        <f t="shared" si="41"/>
        <v>0</v>
      </c>
      <c r="D78" s="1">
        <f t="shared" si="46"/>
        <v>8.855600775193806E-2</v>
      </c>
      <c r="E78">
        <v>150.13</v>
      </c>
      <c r="K78" s="1">
        <f>'Solar Availability and Gener GR'!F78</f>
        <v>0</v>
      </c>
      <c r="L78" s="1">
        <v>0.29596899224806206</v>
      </c>
      <c r="M78" s="1">
        <f t="shared" si="42"/>
        <v>-0.29596899224806206</v>
      </c>
      <c r="N78" s="1" t="str">
        <f t="shared" si="43"/>
        <v>Buy from Grid</v>
      </c>
      <c r="V78" s="1" t="str">
        <f t="shared" si="47"/>
        <v>buy from the Grid</v>
      </c>
      <c r="X78" s="1">
        <f t="shared" si="49"/>
        <v>-4.4433824806201554E-2</v>
      </c>
      <c r="Y78" s="1">
        <f t="shared" si="40"/>
        <v>4.4433824806201554E-2</v>
      </c>
      <c r="AA78" s="1">
        <f t="shared" si="44"/>
        <v>0.42660405252518463</v>
      </c>
      <c r="AC78" s="1">
        <f t="shared" si="48"/>
        <v>0.29596899224806206</v>
      </c>
      <c r="AD78" s="1">
        <f t="shared" si="45"/>
        <v>0.29596899224806206</v>
      </c>
    </row>
    <row r="79" spans="1:30" ht="15">
      <c r="A79" s="1">
        <v>78</v>
      </c>
      <c r="B79" s="1">
        <f t="shared" si="19"/>
        <v>0</v>
      </c>
      <c r="C79" s="1">
        <f t="shared" si="41"/>
        <v>0</v>
      </c>
      <c r="D79" s="1">
        <f t="shared" si="46"/>
        <v>8.855600775193806E-2</v>
      </c>
      <c r="E79">
        <v>257.31</v>
      </c>
      <c r="K79" s="1">
        <f>'Solar Availability and Gener GR'!F79</f>
        <v>0</v>
      </c>
      <c r="L79" s="1">
        <v>0.39891472868217059</v>
      </c>
      <c r="M79" s="1">
        <f t="shared" si="42"/>
        <v>-0.39891472868217059</v>
      </c>
      <c r="N79" s="1" t="str">
        <f t="shared" si="43"/>
        <v>Buy from Grid</v>
      </c>
      <c r="V79" s="1" t="str">
        <f t="shared" si="47"/>
        <v>buy from the Grid</v>
      </c>
      <c r="X79" s="1">
        <f t="shared" si="49"/>
        <v>-0.10264474883720932</v>
      </c>
      <c r="Y79" s="1">
        <f t="shared" si="40"/>
        <v>0.10264474883720932</v>
      </c>
      <c r="AA79" s="1">
        <f t="shared" si="44"/>
        <v>2.7689323843014035E-2</v>
      </c>
      <c r="AC79" s="1">
        <f t="shared" si="48"/>
        <v>0.39891472868217059</v>
      </c>
      <c r="AD79" s="1">
        <f t="shared" si="45"/>
        <v>0.39891472868217059</v>
      </c>
    </row>
    <row r="80" spans="1:30" ht="15">
      <c r="A80" s="1">
        <v>79</v>
      </c>
      <c r="B80" s="1">
        <f t="shared" ref="B80:B143" si="50">IF(U80="charge",Q80,0)</f>
        <v>0</v>
      </c>
      <c r="C80" s="1">
        <f t="shared" si="41"/>
        <v>0</v>
      </c>
      <c r="D80" s="1">
        <f t="shared" si="46"/>
        <v>8.855600775193806E-2</v>
      </c>
      <c r="E80">
        <v>260.79000000000002</v>
      </c>
      <c r="K80" s="1">
        <f>'Solar Availability and Gener GR'!F80</f>
        <v>0</v>
      </c>
      <c r="L80" s="1">
        <v>0.65627906976744199</v>
      </c>
      <c r="M80" s="1">
        <f t="shared" si="42"/>
        <v>-0.65627906976744199</v>
      </c>
      <c r="N80" s="1" t="str">
        <f t="shared" si="43"/>
        <v>Buy from Grid</v>
      </c>
      <c r="V80" s="1" t="str">
        <f t="shared" si="47"/>
        <v>buy from the Grid</v>
      </c>
      <c r="X80" s="1">
        <f t="shared" si="49"/>
        <v>-0.17115101860465121</v>
      </c>
      <c r="Y80" s="1">
        <f t="shared" si="40"/>
        <v>0.17115101860465121</v>
      </c>
      <c r="AA80" s="1">
        <f t="shared" si="44"/>
        <v>-0.62858974592442796</v>
      </c>
      <c r="AC80" s="1">
        <f t="shared" si="48"/>
        <v>0.65627906976744199</v>
      </c>
      <c r="AD80" s="1">
        <f t="shared" si="45"/>
        <v>0.65627906976744199</v>
      </c>
    </row>
    <row r="81" spans="1:30" ht="15">
      <c r="A81" s="1">
        <v>80</v>
      </c>
      <c r="B81" s="1">
        <f t="shared" si="50"/>
        <v>0</v>
      </c>
      <c r="C81" s="1">
        <f t="shared" si="41"/>
        <v>0</v>
      </c>
      <c r="D81" s="1">
        <f t="shared" si="46"/>
        <v>8.855600775193806E-2</v>
      </c>
      <c r="E81">
        <v>261.18</v>
      </c>
      <c r="K81" s="1">
        <f>'Solar Availability and Gener GR'!F81</f>
        <v>0.12959999999999999</v>
      </c>
      <c r="L81" s="1">
        <v>0.65627906976744199</v>
      </c>
      <c r="M81" s="1">
        <f t="shared" si="42"/>
        <v>-0.52667906976744194</v>
      </c>
      <c r="N81" s="1" t="str">
        <f t="shared" si="43"/>
        <v>Buy from Grid</v>
      </c>
      <c r="V81" s="1" t="str">
        <f t="shared" si="47"/>
        <v>buy from the Grid</v>
      </c>
      <c r="X81" s="1">
        <f t="shared" si="49"/>
        <v>-0.13755803944186051</v>
      </c>
      <c r="Y81" s="1">
        <f t="shared" si="40"/>
        <v>0.17140696744186051</v>
      </c>
      <c r="AA81" s="1">
        <f t="shared" si="44"/>
        <v>-1.15526881569187</v>
      </c>
      <c r="AC81" s="1">
        <f t="shared" si="48"/>
        <v>0.65627906976744199</v>
      </c>
      <c r="AD81" s="1">
        <f t="shared" si="45"/>
        <v>0.65627906976744199</v>
      </c>
    </row>
    <row r="82" spans="1:30" ht="15">
      <c r="A82" s="1">
        <v>81</v>
      </c>
      <c r="B82" s="1">
        <f t="shared" si="50"/>
        <v>0</v>
      </c>
      <c r="C82" s="1">
        <f t="shared" si="41"/>
        <v>0</v>
      </c>
      <c r="D82" s="1">
        <f t="shared" si="46"/>
        <v>8.855600775193806E-2</v>
      </c>
      <c r="E82">
        <v>217.72</v>
      </c>
      <c r="K82" s="1">
        <f>'Solar Availability and Gener GR'!F82</f>
        <v>0.55079999999999996</v>
      </c>
      <c r="L82" s="1">
        <v>0.65627906976744199</v>
      </c>
      <c r="M82" s="1">
        <f t="shared" si="42"/>
        <v>-0.10547906976744204</v>
      </c>
      <c r="N82" s="1" t="str">
        <f t="shared" si="43"/>
        <v>Buy from Grid</v>
      </c>
      <c r="V82" s="1" t="str">
        <f t="shared" si="47"/>
        <v>buy from the Grid</v>
      </c>
      <c r="X82" s="1">
        <f t="shared" si="49"/>
        <v>-2.2964903069767482E-2</v>
      </c>
      <c r="Y82" s="1">
        <f t="shared" si="40"/>
        <v>0.14288507906976747</v>
      </c>
      <c r="AA82" s="1">
        <f t="shared" si="44"/>
        <v>-1.2607478854593119</v>
      </c>
      <c r="AC82" s="1">
        <f t="shared" si="48"/>
        <v>0.65627906976744199</v>
      </c>
      <c r="AD82" s="1">
        <f t="shared" si="45"/>
        <v>0.65627906976744199</v>
      </c>
    </row>
    <row r="83" spans="1:30" ht="15">
      <c r="A83" s="1">
        <v>82</v>
      </c>
      <c r="B83" s="1">
        <f t="shared" si="50"/>
        <v>0</v>
      </c>
      <c r="C83" s="1">
        <f t="shared" si="41"/>
        <v>0</v>
      </c>
      <c r="D83" s="1">
        <f t="shared" si="46"/>
        <v>8.855600775193806E-2</v>
      </c>
      <c r="E83">
        <v>191.22</v>
      </c>
      <c r="K83" s="1">
        <f>'Solar Availability and Gener GR'!F83</f>
        <v>1.0691999999999999</v>
      </c>
      <c r="L83" s="1">
        <v>0.39891472868217059</v>
      </c>
      <c r="M83" s="1">
        <f t="shared" si="42"/>
        <v>0.67028527131782933</v>
      </c>
      <c r="N83" s="1" t="str">
        <f t="shared" si="43"/>
        <v>sell the surplus or charge</v>
      </c>
      <c r="O83" s="1">
        <v>0.25</v>
      </c>
      <c r="P83" s="1">
        <f t="shared" ref="P83:P92" si="51">0.25/L83</f>
        <v>0.62670034978624167</v>
      </c>
      <c r="Q83" s="1">
        <f t="shared" ref="Q83:Q92" si="52">K83-P83*L83</f>
        <v>0.81919999999999993</v>
      </c>
      <c r="R83" s="1">
        <f t="shared" ref="R83:R92" si="53">((1/(E83+0.01))*LN(0.25))+(E83*(K83-0.25))</f>
        <v>156.64017464393075</v>
      </c>
      <c r="S83" s="1">
        <f t="shared" ref="S83:S92" si="54">((1/(E83+0.01))*LN(L83))+(E83*(K83-L83))</f>
        <v>128.16714381034734</v>
      </c>
      <c r="T83" s="1">
        <f t="shared" ref="T83:T92" si="55">(S83+((S83^2)-4*(K83-L83*P83)*LN(L83*P83))^(0.5))/(2*(K83-L83*P83))</f>
        <v>156.46484852459582</v>
      </c>
      <c r="U83" s="1" t="str">
        <f t="shared" ref="U83:U92" si="56">IF(E83&gt;=T83*1.05,"sell to the Grid","charge")</f>
        <v>sell to the Grid</v>
      </c>
      <c r="W83" s="1">
        <f t="shared" ref="W83:W92" si="57">(Q83*E83)/1000</f>
        <v>0.15664742399999998</v>
      </c>
      <c r="Y83" s="1">
        <f t="shared" si="40"/>
        <v>7.6280474418604652E-2</v>
      </c>
      <c r="AA83" s="1">
        <f t="shared" si="44"/>
        <v>-0.5904626141414826</v>
      </c>
      <c r="AD83" s="1">
        <f t="shared" si="45"/>
        <v>0.25</v>
      </c>
    </row>
    <row r="84" spans="1:30" ht="15">
      <c r="A84" s="1">
        <v>83</v>
      </c>
      <c r="B84" s="1">
        <f t="shared" si="50"/>
        <v>0</v>
      </c>
      <c r="C84" s="1">
        <f t="shared" si="41"/>
        <v>0</v>
      </c>
      <c r="D84" s="1">
        <f t="shared" si="46"/>
        <v>8.855600775193806E-2</v>
      </c>
      <c r="E84">
        <v>183.83</v>
      </c>
      <c r="K84" s="1">
        <f>'Solar Availability and Gener GR'!F84</f>
        <v>1.89</v>
      </c>
      <c r="L84" s="1">
        <v>0.39891472868217059</v>
      </c>
      <c r="M84" s="1">
        <f t="shared" si="42"/>
        <v>1.4910852713178293</v>
      </c>
      <c r="N84" s="1" t="str">
        <f t="shared" si="43"/>
        <v>sell the surplus or charge</v>
      </c>
      <c r="O84" s="1">
        <v>0.25</v>
      </c>
      <c r="P84" s="1">
        <f t="shared" si="51"/>
        <v>0.62670034978624167</v>
      </c>
      <c r="Q84" s="1">
        <f t="shared" si="52"/>
        <v>1.64</v>
      </c>
      <c r="R84" s="1">
        <f t="shared" si="53"/>
        <v>301.47365923432812</v>
      </c>
      <c r="S84" s="1">
        <f t="shared" si="54"/>
        <v>274.10120647293235</v>
      </c>
      <c r="T84" s="1">
        <f t="shared" si="55"/>
        <v>167.13993944301589</v>
      </c>
      <c r="U84" s="1" t="str">
        <f t="shared" si="56"/>
        <v>sell to the Grid</v>
      </c>
      <c r="W84" s="1">
        <f t="shared" si="57"/>
        <v>0.3014812</v>
      </c>
      <c r="Y84" s="1">
        <f t="shared" si="40"/>
        <v>7.3332494573643436E-2</v>
      </c>
      <c r="AA84" s="1">
        <f t="shared" si="44"/>
        <v>0.90062265717634671</v>
      </c>
      <c r="AD84" s="1">
        <f t="shared" si="45"/>
        <v>0.25</v>
      </c>
    </row>
    <row r="85" spans="1:30" ht="15">
      <c r="A85" s="1">
        <v>84</v>
      </c>
      <c r="B85" s="1">
        <f t="shared" si="50"/>
        <v>0</v>
      </c>
      <c r="C85" s="1">
        <f t="shared" si="41"/>
        <v>0</v>
      </c>
      <c r="D85" s="1">
        <f t="shared" si="46"/>
        <v>8.855600775193806E-2</v>
      </c>
      <c r="E85">
        <v>173.5</v>
      </c>
      <c r="K85" s="1">
        <f>'Solar Availability and Gener GR'!F85</f>
        <v>2.4264000000000001</v>
      </c>
      <c r="L85" s="1">
        <v>0.39891472868217059</v>
      </c>
      <c r="M85" s="1">
        <f t="shared" si="42"/>
        <v>2.0274852713178295</v>
      </c>
      <c r="N85" s="1" t="str">
        <f t="shared" si="43"/>
        <v>sell the surplus or charge</v>
      </c>
      <c r="O85" s="1">
        <v>0.25</v>
      </c>
      <c r="P85" s="1">
        <f t="shared" si="51"/>
        <v>0.62670034978624167</v>
      </c>
      <c r="Q85" s="1">
        <f t="shared" si="52"/>
        <v>2.1764000000000001</v>
      </c>
      <c r="R85" s="1">
        <f t="shared" si="53"/>
        <v>377.5974102912736</v>
      </c>
      <c r="S85" s="1">
        <f t="shared" si="54"/>
        <v>351.7633980051603</v>
      </c>
      <c r="T85" s="1">
        <f t="shared" si="55"/>
        <v>161.6302035270709</v>
      </c>
      <c r="U85" s="1" t="str">
        <f t="shared" si="56"/>
        <v>sell to the Grid</v>
      </c>
      <c r="W85" s="1">
        <f t="shared" si="57"/>
        <v>0.37760540000000004</v>
      </c>
      <c r="Y85" s="1">
        <f t="shared" si="40"/>
        <v>6.9211705426356601E-2</v>
      </c>
      <c r="AA85" s="1">
        <f t="shared" si="44"/>
        <v>2.9281079284941764</v>
      </c>
      <c r="AD85" s="1">
        <f t="shared" si="45"/>
        <v>0.25</v>
      </c>
    </row>
    <row r="86" spans="1:30" ht="15">
      <c r="A86" s="1">
        <v>85</v>
      </c>
      <c r="B86" s="1">
        <f t="shared" si="50"/>
        <v>0</v>
      </c>
      <c r="C86" s="1">
        <f t="shared" si="41"/>
        <v>0</v>
      </c>
      <c r="D86" s="1">
        <f t="shared" si="46"/>
        <v>8.855600775193806E-2</v>
      </c>
      <c r="E86">
        <v>169.41</v>
      </c>
      <c r="K86" s="1">
        <f>'Solar Availability and Gener GR'!F86</f>
        <v>2.6747999999999998</v>
      </c>
      <c r="L86" s="1">
        <v>0.39891472868217059</v>
      </c>
      <c r="M86" s="1">
        <f t="shared" si="42"/>
        <v>2.2758852713178293</v>
      </c>
      <c r="N86" s="1" t="str">
        <f t="shared" si="43"/>
        <v>sell the surplus or charge</v>
      </c>
      <c r="O86" s="1">
        <v>0.25</v>
      </c>
      <c r="P86" s="1">
        <f t="shared" si="51"/>
        <v>0.62670034978624167</v>
      </c>
      <c r="Q86" s="1">
        <f t="shared" si="52"/>
        <v>2.4247999999999998</v>
      </c>
      <c r="R86" s="1">
        <f t="shared" si="53"/>
        <v>410.77718541021648</v>
      </c>
      <c r="S86" s="1">
        <f t="shared" si="54"/>
        <v>385.55229938001702</v>
      </c>
      <c r="T86" s="1">
        <f t="shared" si="55"/>
        <v>159.00734815636599</v>
      </c>
      <c r="U86" s="1" t="str">
        <f t="shared" si="56"/>
        <v>sell to the Grid</v>
      </c>
      <c r="W86" s="1">
        <f t="shared" si="57"/>
        <v>0.41078536799999993</v>
      </c>
      <c r="Y86" s="1">
        <f t="shared" si="40"/>
        <v>6.758014418604652E-2</v>
      </c>
      <c r="AA86" s="1">
        <f t="shared" si="44"/>
        <v>5.2039931998120057</v>
      </c>
      <c r="AD86" s="1">
        <f t="shared" si="45"/>
        <v>0.25</v>
      </c>
    </row>
    <row r="87" spans="1:30" ht="15">
      <c r="A87" s="1">
        <v>86</v>
      </c>
      <c r="B87" s="1">
        <f t="shared" si="50"/>
        <v>0</v>
      </c>
      <c r="C87" s="1">
        <f t="shared" si="41"/>
        <v>0</v>
      </c>
      <c r="D87" s="1">
        <f t="shared" si="46"/>
        <v>8.855600775193806E-2</v>
      </c>
      <c r="E87">
        <v>172</v>
      </c>
      <c r="K87" s="1">
        <f>'Solar Availability and Gener GR'!F87</f>
        <v>2.79</v>
      </c>
      <c r="L87" s="1">
        <v>0.39891472868217059</v>
      </c>
      <c r="M87" s="1">
        <f t="shared" si="42"/>
        <v>2.3910852713178294</v>
      </c>
      <c r="N87" s="1" t="str">
        <f t="shared" si="43"/>
        <v>sell the surplus or charge</v>
      </c>
      <c r="O87" s="1">
        <v>0.25</v>
      </c>
      <c r="P87" s="1">
        <f t="shared" si="51"/>
        <v>0.62670034978624167</v>
      </c>
      <c r="Q87" s="1">
        <f t="shared" si="52"/>
        <v>2.54</v>
      </c>
      <c r="R87" s="1">
        <f t="shared" si="53"/>
        <v>436.87194061763199</v>
      </c>
      <c r="S87" s="1">
        <f t="shared" si="54"/>
        <v>411.2613239098647</v>
      </c>
      <c r="T87" s="1">
        <f t="shared" si="55"/>
        <v>161.91727781667493</v>
      </c>
      <c r="U87" s="1" t="str">
        <f t="shared" si="56"/>
        <v>sell to the Grid</v>
      </c>
      <c r="W87" s="1">
        <f t="shared" si="57"/>
        <v>0.43687999999999999</v>
      </c>
      <c r="Y87" s="1">
        <f t="shared" si="40"/>
        <v>6.8613333333333346E-2</v>
      </c>
      <c r="AA87" s="1">
        <f t="shared" si="44"/>
        <v>7.5950784711298347</v>
      </c>
      <c r="AD87" s="1">
        <f t="shared" si="45"/>
        <v>0.25</v>
      </c>
    </row>
    <row r="88" spans="1:30" ht="15">
      <c r="A88" s="1">
        <v>87</v>
      </c>
      <c r="B88" s="1">
        <f t="shared" si="50"/>
        <v>0</v>
      </c>
      <c r="C88" s="1">
        <f t="shared" si="41"/>
        <v>0</v>
      </c>
      <c r="D88" s="1">
        <f t="shared" si="46"/>
        <v>8.855600775193806E-2</v>
      </c>
      <c r="E88">
        <v>216.43</v>
      </c>
      <c r="K88" s="1">
        <f>'Solar Availability and Gener GR'!F88</f>
        <v>2.6352000000000002</v>
      </c>
      <c r="L88" s="1">
        <v>0.39891472868217059</v>
      </c>
      <c r="M88" s="1">
        <f t="shared" si="42"/>
        <v>2.2362852713178296</v>
      </c>
      <c r="N88" s="1" t="str">
        <f t="shared" si="43"/>
        <v>sell the surplus or charge</v>
      </c>
      <c r="O88" s="1">
        <v>0.25</v>
      </c>
      <c r="P88" s="1">
        <f t="shared" si="51"/>
        <v>0.62670034978624167</v>
      </c>
      <c r="Q88" s="1">
        <f t="shared" si="52"/>
        <v>2.3852000000000002</v>
      </c>
      <c r="R88" s="1">
        <f t="shared" si="53"/>
        <v>516.22243101773654</v>
      </c>
      <c r="S88" s="1">
        <f t="shared" si="54"/>
        <v>483.99497525580546</v>
      </c>
      <c r="T88" s="1">
        <f t="shared" si="55"/>
        <v>202.91875189770005</v>
      </c>
      <c r="U88" s="1" t="str">
        <f t="shared" si="56"/>
        <v>sell to the Grid</v>
      </c>
      <c r="W88" s="1">
        <f t="shared" si="57"/>
        <v>0.51622883600000014</v>
      </c>
      <c r="Y88" s="1">
        <f t="shared" si="40"/>
        <v>8.6337114728682177E-2</v>
      </c>
      <c r="AA88" s="1">
        <f t="shared" si="44"/>
        <v>9.8313637424476639</v>
      </c>
      <c r="AD88" s="1">
        <f t="shared" si="45"/>
        <v>0.25</v>
      </c>
    </row>
    <row r="89" spans="1:30" ht="15">
      <c r="A89" s="1">
        <v>88</v>
      </c>
      <c r="B89" s="1">
        <f t="shared" si="50"/>
        <v>0</v>
      </c>
      <c r="C89" s="1">
        <f t="shared" si="41"/>
        <v>0</v>
      </c>
      <c r="D89" s="1">
        <f t="shared" si="46"/>
        <v>8.855600775193806E-2</v>
      </c>
      <c r="E89">
        <v>301.95</v>
      </c>
      <c r="K89" s="1">
        <f>'Solar Availability and Gener GR'!F89</f>
        <v>2.3508</v>
      </c>
      <c r="L89" s="1">
        <v>0.66914728682170543</v>
      </c>
      <c r="M89" s="1">
        <f t="shared" si="42"/>
        <v>1.6816527131782946</v>
      </c>
      <c r="N89" s="1" t="str">
        <f t="shared" si="43"/>
        <v>sell the surplus or charge</v>
      </c>
      <c r="O89" s="1">
        <v>0.25</v>
      </c>
      <c r="P89" s="1">
        <f t="shared" si="51"/>
        <v>0.3736098239110287</v>
      </c>
      <c r="Q89" s="1">
        <f t="shared" si="52"/>
        <v>2.1008</v>
      </c>
      <c r="R89" s="1">
        <f t="shared" si="53"/>
        <v>634.331969013243</v>
      </c>
      <c r="S89" s="1">
        <f t="shared" si="54"/>
        <v>507.77370626636309</v>
      </c>
      <c r="T89" s="1">
        <f t="shared" si="55"/>
        <v>241.70765502858711</v>
      </c>
      <c r="U89" s="1" t="str">
        <f t="shared" si="56"/>
        <v>sell to the Grid</v>
      </c>
      <c r="W89" s="1">
        <f t="shared" si="57"/>
        <v>0.63433655999999994</v>
      </c>
      <c r="Y89" s="1">
        <f t="shared" si="40"/>
        <v>0.20204902325581395</v>
      </c>
      <c r="AA89" s="1">
        <f t="shared" si="44"/>
        <v>11.513016455625959</v>
      </c>
      <c r="AD89" s="1">
        <f t="shared" si="45"/>
        <v>0.25</v>
      </c>
    </row>
    <row r="90" spans="1:30" ht="15">
      <c r="A90" s="1">
        <v>89</v>
      </c>
      <c r="B90" s="1">
        <f t="shared" si="50"/>
        <v>0</v>
      </c>
      <c r="C90" s="1">
        <f t="shared" si="41"/>
        <v>0</v>
      </c>
      <c r="D90" s="1">
        <f t="shared" si="46"/>
        <v>8.855600775193806E-2</v>
      </c>
      <c r="E90">
        <v>362.31</v>
      </c>
      <c r="K90" s="1">
        <f>'Solar Availability and Gener GR'!F90</f>
        <v>1.9260000000000002</v>
      </c>
      <c r="L90" s="1">
        <v>0.66914728682170543</v>
      </c>
      <c r="M90" s="1">
        <f t="shared" si="42"/>
        <v>1.2568527131782947</v>
      </c>
      <c r="N90" s="1" t="str">
        <f t="shared" si="43"/>
        <v>sell the surplus or charge</v>
      </c>
      <c r="O90" s="1">
        <v>0.25</v>
      </c>
      <c r="P90" s="1">
        <f t="shared" si="51"/>
        <v>0.3736098239110287</v>
      </c>
      <c r="Q90" s="1">
        <f t="shared" si="52"/>
        <v>1.6760000000000002</v>
      </c>
      <c r="R90" s="1">
        <f t="shared" si="53"/>
        <v>607.22773383980712</v>
      </c>
      <c r="S90" s="1">
        <f t="shared" si="54"/>
        <v>455.36919768218598</v>
      </c>
      <c r="T90" s="1">
        <f t="shared" si="55"/>
        <v>271.70304291349822</v>
      </c>
      <c r="U90" s="1" t="str">
        <f t="shared" si="56"/>
        <v>sell to the Grid</v>
      </c>
      <c r="W90" s="1">
        <f t="shared" si="57"/>
        <v>0.60723156</v>
      </c>
      <c r="Y90" s="1">
        <f t="shared" si="40"/>
        <v>0.2424387534883721</v>
      </c>
      <c r="AA90" s="1">
        <f t="shared" si="44"/>
        <v>12.769869168804254</v>
      </c>
      <c r="AD90" s="1">
        <f t="shared" si="45"/>
        <v>0.25</v>
      </c>
    </row>
    <row r="91" spans="1:30" ht="15">
      <c r="A91" s="1">
        <v>90</v>
      </c>
      <c r="B91" s="1">
        <f t="shared" si="50"/>
        <v>0</v>
      </c>
      <c r="C91" s="1">
        <f t="shared" si="41"/>
        <v>0</v>
      </c>
      <c r="D91" s="1">
        <f t="shared" si="46"/>
        <v>8.855600775193806E-2</v>
      </c>
      <c r="E91">
        <v>329.48</v>
      </c>
      <c r="K91" s="1">
        <f>'Solar Availability and Gener GR'!F91</f>
        <v>1.3139999999999998</v>
      </c>
      <c r="L91" s="1">
        <v>0.39891472868217059</v>
      </c>
      <c r="M91" s="1">
        <f t="shared" si="42"/>
        <v>0.91508527131782924</v>
      </c>
      <c r="N91" s="1" t="str">
        <f t="shared" si="43"/>
        <v>sell the surplus or charge</v>
      </c>
      <c r="O91" s="1">
        <v>0.25</v>
      </c>
      <c r="P91" s="1">
        <f t="shared" si="51"/>
        <v>0.62670034978624167</v>
      </c>
      <c r="Q91" s="1">
        <f t="shared" si="52"/>
        <v>1.0639999999999998</v>
      </c>
      <c r="R91" s="1">
        <f t="shared" si="53"/>
        <v>350.56251260565989</v>
      </c>
      <c r="S91" s="1">
        <f t="shared" si="54"/>
        <v>301.49950601173668</v>
      </c>
      <c r="T91" s="1">
        <f t="shared" si="55"/>
        <v>283.36879530362603</v>
      </c>
      <c r="U91" s="1" t="str">
        <f t="shared" si="56"/>
        <v>sell to the Grid</v>
      </c>
      <c r="W91" s="1">
        <f t="shared" si="57"/>
        <v>0.35056672</v>
      </c>
      <c r="Y91" s="1">
        <f t="shared" si="40"/>
        <v>0.13143442480620157</v>
      </c>
      <c r="AA91" s="1">
        <f t="shared" si="44"/>
        <v>13.684954440122084</v>
      </c>
      <c r="AD91" s="1">
        <f t="shared" si="45"/>
        <v>0.25</v>
      </c>
    </row>
    <row r="92" spans="1:30" ht="15">
      <c r="A92" s="1">
        <v>91</v>
      </c>
      <c r="B92" s="1">
        <f t="shared" si="50"/>
        <v>0</v>
      </c>
      <c r="C92" s="1">
        <f t="shared" si="41"/>
        <v>0</v>
      </c>
      <c r="D92" s="1">
        <f t="shared" si="46"/>
        <v>8.855600775193806E-2</v>
      </c>
      <c r="E92">
        <v>317</v>
      </c>
      <c r="K92" s="1">
        <f>'Solar Availability and Gener GR'!F92</f>
        <v>0.67320000000000002</v>
      </c>
      <c r="L92" s="1">
        <v>0.39891472868217059</v>
      </c>
      <c r="M92" s="1">
        <f t="shared" si="42"/>
        <v>0.27428527131782943</v>
      </c>
      <c r="N92" s="1" t="str">
        <f t="shared" si="43"/>
        <v>sell the surplus or charge</v>
      </c>
      <c r="O92" s="1">
        <v>0.25</v>
      </c>
      <c r="P92" s="1">
        <f t="shared" si="51"/>
        <v>0.62670034978624167</v>
      </c>
      <c r="Q92" s="1">
        <f t="shared" si="52"/>
        <v>0.42320000000000002</v>
      </c>
      <c r="R92" s="1">
        <f t="shared" si="53"/>
        <v>134.15002696961889</v>
      </c>
      <c r="S92" s="1">
        <f t="shared" si="54"/>
        <v>86.945532021607946</v>
      </c>
      <c r="T92" s="1">
        <f t="shared" si="55"/>
        <v>205.46379765641538</v>
      </c>
      <c r="U92" s="1" t="str">
        <f t="shared" si="56"/>
        <v>sell to the Grid</v>
      </c>
      <c r="W92" s="1">
        <f t="shared" si="57"/>
        <v>0.13415440000000001</v>
      </c>
      <c r="Y92" s="1">
        <f t="shared" si="40"/>
        <v>0.12645596899224806</v>
      </c>
      <c r="AA92" s="1">
        <f t="shared" si="44"/>
        <v>13.959239711439913</v>
      </c>
      <c r="AD92" s="1">
        <f t="shared" si="45"/>
        <v>0.25</v>
      </c>
    </row>
    <row r="93" spans="1:30" ht="15">
      <c r="A93" s="1">
        <v>92</v>
      </c>
      <c r="B93" s="1">
        <f t="shared" si="50"/>
        <v>0</v>
      </c>
      <c r="C93" s="1">
        <f t="shared" si="41"/>
        <v>0</v>
      </c>
      <c r="D93" s="1">
        <f t="shared" si="46"/>
        <v>8.855600775193806E-2</v>
      </c>
      <c r="E93">
        <v>255.28</v>
      </c>
      <c r="K93" s="1">
        <f>'Solar Availability and Gener GR'!F93</f>
        <v>0.14399999999999999</v>
      </c>
      <c r="L93" s="1">
        <v>0.65627906976744199</v>
      </c>
      <c r="M93" s="1">
        <f t="shared" si="42"/>
        <v>-0.51227906976744197</v>
      </c>
      <c r="N93" s="1" t="str">
        <f t="shared" si="43"/>
        <v>Buy from Grid</v>
      </c>
      <c r="V93" s="1" t="str">
        <f t="shared" ref="V93:V105" si="58">IF(D93+M93&gt;0,"discharge","buy from the Grid")</f>
        <v>buy from the Grid</v>
      </c>
      <c r="X93" s="1">
        <f t="shared" ref="X93:X105" si="59">(M93*E93)/1000</f>
        <v>-0.1307746009302326</v>
      </c>
      <c r="Y93" s="1">
        <f t="shared" si="40"/>
        <v>0.16753492093023259</v>
      </c>
      <c r="AA93" s="1">
        <f t="shared" si="44"/>
        <v>13.446960641672472</v>
      </c>
      <c r="AC93" s="1">
        <f t="shared" ref="AC93:AC105" si="60">L93</f>
        <v>0.65627906976744199</v>
      </c>
      <c r="AD93" s="1">
        <f t="shared" si="45"/>
        <v>0.65627906976744199</v>
      </c>
    </row>
    <row r="94" spans="1:30" ht="15">
      <c r="A94" s="1">
        <v>93</v>
      </c>
      <c r="B94" s="1">
        <f t="shared" si="50"/>
        <v>0</v>
      </c>
      <c r="C94" s="1">
        <f t="shared" si="41"/>
        <v>0</v>
      </c>
      <c r="D94" s="1">
        <f t="shared" si="46"/>
        <v>8.855600775193806E-2</v>
      </c>
      <c r="E94">
        <v>255.8</v>
      </c>
      <c r="K94" s="1">
        <f>'Solar Availability and Gener GR'!F94</f>
        <v>1.224E-3</v>
      </c>
      <c r="L94" s="1">
        <v>0.65627906976744199</v>
      </c>
      <c r="M94" s="1">
        <f t="shared" si="42"/>
        <v>-0.65505506976744199</v>
      </c>
      <c r="N94" s="1" t="str">
        <f t="shared" si="43"/>
        <v>Buy from Grid</v>
      </c>
      <c r="V94" s="1" t="str">
        <f t="shared" si="58"/>
        <v>buy from the Grid</v>
      </c>
      <c r="X94" s="1">
        <f t="shared" si="59"/>
        <v>-0.16756308684651169</v>
      </c>
      <c r="Y94" s="1">
        <f t="shared" si="40"/>
        <v>0.16787618604651167</v>
      </c>
      <c r="AA94" s="1">
        <f t="shared" si="44"/>
        <v>12.79190557190503</v>
      </c>
      <c r="AC94" s="1">
        <f t="shared" si="60"/>
        <v>0.65627906976744199</v>
      </c>
      <c r="AD94" s="1">
        <f t="shared" si="45"/>
        <v>0.65627906976744199</v>
      </c>
    </row>
    <row r="95" spans="1:30" ht="15">
      <c r="A95" s="1">
        <v>94</v>
      </c>
      <c r="B95" s="1">
        <f t="shared" si="50"/>
        <v>0</v>
      </c>
      <c r="C95" s="1">
        <f t="shared" si="41"/>
        <v>0</v>
      </c>
      <c r="D95" s="1">
        <f t="shared" si="46"/>
        <v>8.855600775193806E-2</v>
      </c>
      <c r="E95">
        <v>190.06</v>
      </c>
      <c r="K95" s="1">
        <f>'Solar Availability and Gener GR'!F95</f>
        <v>0</v>
      </c>
      <c r="L95" s="1">
        <v>0.39891472868217059</v>
      </c>
      <c r="M95" s="1">
        <f t="shared" si="42"/>
        <v>-0.39891472868217059</v>
      </c>
      <c r="N95" s="1" t="str">
        <f t="shared" si="43"/>
        <v>Buy from Grid</v>
      </c>
      <c r="V95" s="1" t="str">
        <f t="shared" si="58"/>
        <v>buy from the Grid</v>
      </c>
      <c r="X95" s="1">
        <f t="shared" si="59"/>
        <v>-7.5817733333333345E-2</v>
      </c>
      <c r="Y95" s="1">
        <f t="shared" si="40"/>
        <v>7.5817733333333345E-2</v>
      </c>
      <c r="AA95" s="1">
        <f t="shared" si="44"/>
        <v>12.39299084322286</v>
      </c>
      <c r="AC95" s="1">
        <f t="shared" si="60"/>
        <v>0.39891472868217059</v>
      </c>
      <c r="AD95" s="1">
        <f t="shared" si="45"/>
        <v>0.39891472868217059</v>
      </c>
    </row>
    <row r="96" spans="1:30" ht="15">
      <c r="A96" s="1">
        <v>95</v>
      </c>
      <c r="B96" s="1">
        <f t="shared" si="50"/>
        <v>0</v>
      </c>
      <c r="C96" s="1">
        <f t="shared" si="41"/>
        <v>0</v>
      </c>
      <c r="D96" s="1">
        <f t="shared" si="46"/>
        <v>8.855600775193806E-2</v>
      </c>
      <c r="E96">
        <v>179.99</v>
      </c>
      <c r="K96" s="1">
        <f>'Solar Availability and Gener GR'!F96</f>
        <v>0</v>
      </c>
      <c r="L96" s="1">
        <v>0.39891472868217059</v>
      </c>
      <c r="M96" s="1">
        <f t="shared" si="42"/>
        <v>-0.39891472868217059</v>
      </c>
      <c r="N96" s="1" t="str">
        <f t="shared" si="43"/>
        <v>Buy from Grid</v>
      </c>
      <c r="V96" s="1" t="str">
        <f t="shared" si="58"/>
        <v>buy from the Grid</v>
      </c>
      <c r="X96" s="1">
        <f t="shared" si="59"/>
        <v>-7.1800662015503891E-2</v>
      </c>
      <c r="Y96" s="1">
        <f t="shared" si="40"/>
        <v>7.1800662015503891E-2</v>
      </c>
      <c r="AA96" s="1">
        <f t="shared" si="44"/>
        <v>11.99407611454069</v>
      </c>
      <c r="AC96" s="1">
        <f t="shared" si="60"/>
        <v>0.39891472868217059</v>
      </c>
      <c r="AD96" s="1">
        <f t="shared" si="45"/>
        <v>0.39891472868217059</v>
      </c>
    </row>
    <row r="97" spans="1:30" ht="15">
      <c r="A97" s="1">
        <v>96</v>
      </c>
      <c r="B97" s="1">
        <f t="shared" si="50"/>
        <v>0</v>
      </c>
      <c r="C97" s="1">
        <f t="shared" si="41"/>
        <v>0</v>
      </c>
      <c r="D97" s="1">
        <f t="shared" si="46"/>
        <v>8.855600775193806E-2</v>
      </c>
      <c r="E97">
        <v>137.9</v>
      </c>
      <c r="K97" s="1">
        <f>'Solar Availability and Gener GR'!F97</f>
        <v>0</v>
      </c>
      <c r="L97" s="1">
        <v>0.39891472868217059</v>
      </c>
      <c r="M97" s="1">
        <f t="shared" si="42"/>
        <v>-0.39891472868217059</v>
      </c>
      <c r="N97" s="1" t="str">
        <f t="shared" si="43"/>
        <v>Buy from Grid</v>
      </c>
      <c r="V97" s="1" t="str">
        <f t="shared" si="58"/>
        <v>buy from the Grid</v>
      </c>
      <c r="X97" s="1">
        <f t="shared" si="59"/>
        <v>-5.5010341085271329E-2</v>
      </c>
      <c r="Y97" s="1">
        <f t="shared" si="40"/>
        <v>5.5010341085271329E-2</v>
      </c>
      <c r="AA97" s="1">
        <f t="shared" si="44"/>
        <v>11.595161385858519</v>
      </c>
      <c r="AC97" s="1">
        <f t="shared" si="60"/>
        <v>0.39891472868217059</v>
      </c>
      <c r="AD97" s="1">
        <f t="shared" si="45"/>
        <v>0.39891472868217059</v>
      </c>
    </row>
    <row r="98" spans="1:30" ht="15">
      <c r="A98" s="1">
        <v>97</v>
      </c>
      <c r="B98" s="1">
        <f t="shared" si="50"/>
        <v>0</v>
      </c>
      <c r="C98" s="1">
        <f t="shared" si="41"/>
        <v>0</v>
      </c>
      <c r="D98" s="1">
        <f t="shared" si="46"/>
        <v>8.855600775193806E-2</v>
      </c>
      <c r="E98">
        <v>150.97999999999999</v>
      </c>
      <c r="K98" s="1">
        <f>'Solar Availability and Gener GR'!F98</f>
        <v>0</v>
      </c>
      <c r="L98" s="1">
        <v>0.30883720930232561</v>
      </c>
      <c r="M98" s="1">
        <f t="shared" si="42"/>
        <v>-0.30883720930232561</v>
      </c>
      <c r="N98" s="1" t="str">
        <f t="shared" si="43"/>
        <v>Buy from Grid</v>
      </c>
      <c r="V98" s="1" t="str">
        <f t="shared" si="58"/>
        <v>buy from the Grid</v>
      </c>
      <c r="X98" s="1">
        <f t="shared" si="59"/>
        <v>-4.6628241860465117E-2</v>
      </c>
      <c r="Y98" s="1">
        <f t="shared" si="40"/>
        <v>4.6628241860465117E-2</v>
      </c>
      <c r="AA98" s="1">
        <f t="shared" si="44"/>
        <v>11.286324176556194</v>
      </c>
      <c r="AC98" s="1">
        <f t="shared" si="60"/>
        <v>0.30883720930232561</v>
      </c>
      <c r="AD98" s="1">
        <f t="shared" si="45"/>
        <v>0.30883720930232561</v>
      </c>
    </row>
    <row r="99" spans="1:30" ht="15">
      <c r="A99" s="1">
        <v>98</v>
      </c>
      <c r="B99" s="1">
        <f t="shared" si="50"/>
        <v>0</v>
      </c>
      <c r="C99" s="1">
        <f t="shared" si="41"/>
        <v>0</v>
      </c>
      <c r="D99" s="1">
        <f t="shared" si="46"/>
        <v>8.855600775193806E-2</v>
      </c>
      <c r="E99">
        <v>123</v>
      </c>
      <c r="K99" s="1">
        <f>'Solar Availability and Gener GR'!F99</f>
        <v>0</v>
      </c>
      <c r="L99" s="1">
        <v>0.29596899224806206</v>
      </c>
      <c r="M99" s="1">
        <f t="shared" si="42"/>
        <v>-0.29596899224806206</v>
      </c>
      <c r="N99" s="1" t="str">
        <f t="shared" si="43"/>
        <v>Buy from Grid</v>
      </c>
      <c r="V99" s="1" t="str">
        <f t="shared" si="58"/>
        <v>buy from the Grid</v>
      </c>
      <c r="X99" s="1">
        <f t="shared" si="59"/>
        <v>-3.6404186046511633E-2</v>
      </c>
      <c r="Y99" s="1">
        <f t="shared" si="40"/>
        <v>3.6404186046511633E-2</v>
      </c>
      <c r="AA99" s="1">
        <f t="shared" si="44"/>
        <v>10.990355184308132</v>
      </c>
      <c r="AC99" s="1">
        <f t="shared" si="60"/>
        <v>0.29596899224806206</v>
      </c>
      <c r="AD99" s="1">
        <f t="shared" si="45"/>
        <v>0.29596899224806206</v>
      </c>
    </row>
    <row r="100" spans="1:30" ht="15">
      <c r="A100" s="1">
        <v>99</v>
      </c>
      <c r="B100" s="1">
        <f t="shared" si="50"/>
        <v>0</v>
      </c>
      <c r="C100" s="1">
        <f t="shared" si="41"/>
        <v>0</v>
      </c>
      <c r="D100" s="1">
        <f t="shared" si="46"/>
        <v>8.855600775193806E-2</v>
      </c>
      <c r="E100">
        <v>107</v>
      </c>
      <c r="K100" s="1">
        <f>'Solar Availability and Gener GR'!F100</f>
        <v>0</v>
      </c>
      <c r="L100" s="1">
        <v>0.29596899224806206</v>
      </c>
      <c r="M100" s="1">
        <f t="shared" si="42"/>
        <v>-0.29596899224806206</v>
      </c>
      <c r="N100" s="1" t="str">
        <f t="shared" si="43"/>
        <v>Buy from Grid</v>
      </c>
      <c r="V100" s="1" t="str">
        <f t="shared" si="58"/>
        <v>buy from the Grid</v>
      </c>
      <c r="X100" s="1">
        <f t="shared" si="59"/>
        <v>-3.1668682170542639E-2</v>
      </c>
      <c r="Y100" s="1">
        <f t="shared" si="40"/>
        <v>3.1668682170542639E-2</v>
      </c>
      <c r="AA100" s="1">
        <f t="shared" si="44"/>
        <v>10.694386192060071</v>
      </c>
      <c r="AC100" s="1">
        <f t="shared" si="60"/>
        <v>0.29596899224806206</v>
      </c>
      <c r="AD100" s="1">
        <f t="shared" si="45"/>
        <v>0.29596899224806206</v>
      </c>
    </row>
    <row r="101" spans="1:30" ht="15">
      <c r="A101" s="1">
        <v>100</v>
      </c>
      <c r="B101" s="1">
        <f t="shared" si="50"/>
        <v>0</v>
      </c>
      <c r="C101" s="1">
        <f t="shared" si="41"/>
        <v>0</v>
      </c>
      <c r="D101" s="1">
        <f t="shared" si="46"/>
        <v>8.855600775193806E-2</v>
      </c>
      <c r="E101">
        <v>100</v>
      </c>
      <c r="K101" s="1">
        <f>'Solar Availability and Gener GR'!F101</f>
        <v>0</v>
      </c>
      <c r="L101" s="1">
        <v>0.29596899224806206</v>
      </c>
      <c r="M101" s="1">
        <f t="shared" si="42"/>
        <v>-0.29596899224806206</v>
      </c>
      <c r="N101" s="1" t="str">
        <f t="shared" si="43"/>
        <v>Buy from Grid</v>
      </c>
      <c r="V101" s="1" t="str">
        <f t="shared" si="58"/>
        <v>buy from the Grid</v>
      </c>
      <c r="X101" s="1">
        <f t="shared" si="59"/>
        <v>-2.9596899224806204E-2</v>
      </c>
      <c r="Y101" s="1">
        <f t="shared" si="40"/>
        <v>2.9596899224806204E-2</v>
      </c>
      <c r="AA101" s="1">
        <f t="shared" si="44"/>
        <v>10.398417199812009</v>
      </c>
      <c r="AC101" s="1">
        <f t="shared" si="60"/>
        <v>0.29596899224806206</v>
      </c>
      <c r="AD101" s="1">
        <f t="shared" si="45"/>
        <v>0.29596899224806206</v>
      </c>
    </row>
    <row r="102" spans="1:30" ht="15">
      <c r="A102" s="1">
        <v>101</v>
      </c>
      <c r="B102" s="1">
        <f t="shared" si="50"/>
        <v>0</v>
      </c>
      <c r="C102" s="1">
        <f t="shared" si="41"/>
        <v>0</v>
      </c>
      <c r="D102" s="1">
        <f t="shared" si="46"/>
        <v>8.855600775193806E-2</v>
      </c>
      <c r="E102">
        <v>160</v>
      </c>
      <c r="K102" s="1">
        <f>'Solar Availability and Gener GR'!F102</f>
        <v>0</v>
      </c>
      <c r="L102" s="1">
        <v>0.29596899224806206</v>
      </c>
      <c r="M102" s="1">
        <f t="shared" si="42"/>
        <v>-0.29596899224806206</v>
      </c>
      <c r="N102" s="1" t="str">
        <f t="shared" si="43"/>
        <v>Buy from Grid</v>
      </c>
      <c r="V102" s="1" t="str">
        <f t="shared" si="58"/>
        <v>buy from the Grid</v>
      </c>
      <c r="X102" s="1">
        <f t="shared" si="59"/>
        <v>-4.7355038759689931E-2</v>
      </c>
      <c r="Y102" s="1">
        <f t="shared" si="40"/>
        <v>4.7355038759689931E-2</v>
      </c>
      <c r="AA102" s="1">
        <f t="shared" si="44"/>
        <v>10.102448207563947</v>
      </c>
      <c r="AC102" s="1">
        <f t="shared" si="60"/>
        <v>0.29596899224806206</v>
      </c>
      <c r="AD102" s="1">
        <f t="shared" si="45"/>
        <v>0.29596899224806206</v>
      </c>
    </row>
    <row r="103" spans="1:30" ht="15">
      <c r="A103" s="1">
        <v>102</v>
      </c>
      <c r="B103" s="1">
        <f t="shared" si="50"/>
        <v>0</v>
      </c>
      <c r="C103" s="1">
        <f t="shared" si="41"/>
        <v>0</v>
      </c>
      <c r="D103" s="1">
        <f t="shared" si="46"/>
        <v>8.855600775193806E-2</v>
      </c>
      <c r="E103">
        <v>263.11</v>
      </c>
      <c r="K103" s="1">
        <f>'Solar Availability and Gener GR'!F103</f>
        <v>0</v>
      </c>
      <c r="L103" s="1">
        <v>0.39891472868217059</v>
      </c>
      <c r="M103" s="1">
        <f t="shared" si="42"/>
        <v>-0.39891472868217059</v>
      </c>
      <c r="N103" s="1" t="str">
        <f t="shared" si="43"/>
        <v>Buy from Grid</v>
      </c>
      <c r="V103" s="1" t="str">
        <f t="shared" si="58"/>
        <v>buy from the Grid</v>
      </c>
      <c r="X103" s="1">
        <f t="shared" si="59"/>
        <v>-0.10495845426356591</v>
      </c>
      <c r="Y103" s="1">
        <f t="shared" si="40"/>
        <v>0.10495845426356591</v>
      </c>
      <c r="AA103" s="1">
        <f t="shared" si="44"/>
        <v>9.7035334788817771</v>
      </c>
      <c r="AC103" s="1">
        <f t="shared" si="60"/>
        <v>0.39891472868217059</v>
      </c>
      <c r="AD103" s="1">
        <f t="shared" si="45"/>
        <v>0.39891472868217059</v>
      </c>
    </row>
    <row r="104" spans="1:30" ht="15">
      <c r="A104" s="1">
        <v>103</v>
      </c>
      <c r="B104" s="1">
        <f t="shared" si="50"/>
        <v>0</v>
      </c>
      <c r="C104" s="1">
        <f t="shared" si="41"/>
        <v>0</v>
      </c>
      <c r="D104" s="1">
        <f t="shared" si="46"/>
        <v>8.855600775193806E-2</v>
      </c>
      <c r="E104">
        <v>356.04</v>
      </c>
      <c r="K104" s="1">
        <f>'Solar Availability and Gener GR'!F104</f>
        <v>5.3999999999999999E-2</v>
      </c>
      <c r="L104" s="1">
        <v>0.66914728682170543</v>
      </c>
      <c r="M104" s="1">
        <f t="shared" si="42"/>
        <v>-0.61514728682170539</v>
      </c>
      <c r="N104" s="1" t="str">
        <f t="shared" si="43"/>
        <v>Buy from Grid</v>
      </c>
      <c r="V104" s="1" t="str">
        <f t="shared" si="58"/>
        <v>buy from the Grid</v>
      </c>
      <c r="X104" s="1">
        <f t="shared" si="59"/>
        <v>-0.21901704</v>
      </c>
      <c r="Y104" s="1">
        <f t="shared" si="40"/>
        <v>0.23824320000000004</v>
      </c>
      <c r="AA104" s="1">
        <f t="shared" si="44"/>
        <v>9.0883861920600708</v>
      </c>
      <c r="AC104" s="1">
        <f t="shared" si="60"/>
        <v>0.66914728682170543</v>
      </c>
      <c r="AD104" s="1">
        <f t="shared" si="45"/>
        <v>0.66914728682170543</v>
      </c>
    </row>
    <row r="105" spans="1:30" ht="15">
      <c r="A105" s="1">
        <v>104</v>
      </c>
      <c r="B105" s="1">
        <f t="shared" si="50"/>
        <v>0</v>
      </c>
      <c r="C105" s="1">
        <f t="shared" si="41"/>
        <v>0</v>
      </c>
      <c r="D105" s="1">
        <f t="shared" si="46"/>
        <v>8.855600775193806E-2</v>
      </c>
      <c r="E105">
        <v>361.04</v>
      </c>
      <c r="K105" s="1">
        <f>'Solar Availability and Gener GR'!F105</f>
        <v>0.33119999999999994</v>
      </c>
      <c r="L105" s="1">
        <v>0.66914728682170543</v>
      </c>
      <c r="M105" s="1">
        <f t="shared" si="42"/>
        <v>-0.33794728682170549</v>
      </c>
      <c r="N105" s="1" t="str">
        <f t="shared" si="43"/>
        <v>Buy from Grid</v>
      </c>
      <c r="V105" s="1" t="str">
        <f t="shared" si="58"/>
        <v>buy from the Grid</v>
      </c>
      <c r="X105" s="1">
        <f t="shared" si="59"/>
        <v>-0.12201248843410856</v>
      </c>
      <c r="Y105" s="1">
        <f t="shared" si="40"/>
        <v>0.24158893643410856</v>
      </c>
      <c r="AA105" s="1">
        <f t="shared" si="44"/>
        <v>8.7504389052383651</v>
      </c>
      <c r="AC105" s="1">
        <f t="shared" si="60"/>
        <v>0.66914728682170543</v>
      </c>
      <c r="AD105" s="1">
        <f t="shared" si="45"/>
        <v>0.66914728682170543</v>
      </c>
    </row>
    <row r="106" spans="1:30" ht="15">
      <c r="A106" s="1">
        <v>105</v>
      </c>
      <c r="B106" s="1">
        <f t="shared" si="50"/>
        <v>0</v>
      </c>
      <c r="C106" s="1">
        <f t="shared" si="41"/>
        <v>0</v>
      </c>
      <c r="D106" s="1">
        <f t="shared" si="46"/>
        <v>8.855600775193806E-2</v>
      </c>
      <c r="E106">
        <v>264.11</v>
      </c>
      <c r="K106" s="1">
        <f>'Solar Availability and Gener GR'!F106</f>
        <v>0.74160000000000004</v>
      </c>
      <c r="L106" s="1">
        <v>0.66914728682170543</v>
      </c>
      <c r="M106" s="1">
        <f t="shared" si="42"/>
        <v>7.2452713178294603E-2</v>
      </c>
      <c r="N106" s="1" t="str">
        <f t="shared" si="43"/>
        <v>sell the surplus or charge</v>
      </c>
      <c r="O106" s="1">
        <v>0.25</v>
      </c>
      <c r="P106" s="1">
        <f t="shared" ref="P106:P116" si="61">0.25/L106</f>
        <v>0.3736098239110287</v>
      </c>
      <c r="Q106" s="1">
        <f t="shared" ref="Q106:Q116" si="62">K106-P106*L106</f>
        <v>0.49160000000000004</v>
      </c>
      <c r="R106" s="1">
        <f t="shared" ref="R106:R116" si="63">((1/(E106+0.01))*LN(0.25))+(E106*(K106-0.25))</f>
        <v>129.83122727078177</v>
      </c>
      <c r="S106" s="1">
        <f t="shared" ref="S106:S116" si="64">((1/(E106+0.01))*LN(L106))+(E106*(K106-L106))</f>
        <v>19.133964984518435</v>
      </c>
      <c r="T106" s="1">
        <f t="shared" ref="T106:T116" si="65">(S106+((S106^2)-4*(K106-L106*P106)*LN(L106*P106))^(0.5))/(2*(K106-L106*P106))</f>
        <v>38.994134135360383</v>
      </c>
      <c r="U106" s="1" t="str">
        <f t="shared" ref="U106:U116" si="66">IF(E106&gt;=T106*1.05,"sell to the Grid","charge")</f>
        <v>sell to the Grid</v>
      </c>
      <c r="W106" s="1">
        <f t="shared" ref="W106:W116" si="67">(Q106*E106)/1000</f>
        <v>0.12983647600000001</v>
      </c>
      <c r="Y106" s="1">
        <f t="shared" si="40"/>
        <v>0.17672848992248064</v>
      </c>
      <c r="AA106" s="1">
        <f t="shared" si="44"/>
        <v>8.8228916184166604</v>
      </c>
      <c r="AD106" s="1">
        <f t="shared" si="45"/>
        <v>0.25</v>
      </c>
    </row>
    <row r="107" spans="1:30" ht="15">
      <c r="A107" s="1">
        <v>106</v>
      </c>
      <c r="B107" s="1">
        <f t="shared" si="50"/>
        <v>0</v>
      </c>
      <c r="C107" s="1">
        <f t="shared" si="41"/>
        <v>0</v>
      </c>
      <c r="D107" s="1">
        <f t="shared" si="46"/>
        <v>8.855600775193806E-2</v>
      </c>
      <c r="E107">
        <v>242.65</v>
      </c>
      <c r="K107" s="1">
        <f>'Solar Availability and Gener GR'!F107</f>
        <v>1.3176000000000001</v>
      </c>
      <c r="L107" s="1">
        <v>0.39891472868217059</v>
      </c>
      <c r="M107" s="1">
        <f t="shared" si="42"/>
        <v>0.91868527131782951</v>
      </c>
      <c r="N107" s="1" t="str">
        <f t="shared" si="43"/>
        <v>sell the surplus or charge</v>
      </c>
      <c r="O107" s="1">
        <v>0.25</v>
      </c>
      <c r="P107" s="1">
        <f t="shared" si="61"/>
        <v>0.62670034978624167</v>
      </c>
      <c r="Q107" s="1">
        <f t="shared" si="62"/>
        <v>1.0676000000000001</v>
      </c>
      <c r="R107" s="1">
        <f t="shared" si="63"/>
        <v>259.04742709156386</v>
      </c>
      <c r="S107" s="1">
        <f t="shared" si="64"/>
        <v>222.91519386200622</v>
      </c>
      <c r="T107" s="1">
        <f t="shared" si="65"/>
        <v>208.80651273485688</v>
      </c>
      <c r="U107" s="1" t="str">
        <f t="shared" si="66"/>
        <v>sell to the Grid</v>
      </c>
      <c r="W107" s="1">
        <f t="shared" si="67"/>
        <v>0.25905314000000002</v>
      </c>
      <c r="Y107" s="1">
        <f t="shared" si="40"/>
        <v>9.6796658914728689E-2</v>
      </c>
      <c r="AA107" s="1">
        <f t="shared" si="44"/>
        <v>9.741576889734489</v>
      </c>
      <c r="AD107" s="1">
        <f t="shared" si="45"/>
        <v>0.25</v>
      </c>
    </row>
    <row r="108" spans="1:30" ht="15">
      <c r="A108" s="1">
        <v>107</v>
      </c>
      <c r="B108" s="1">
        <f t="shared" si="50"/>
        <v>0</v>
      </c>
      <c r="C108" s="1">
        <f t="shared" si="41"/>
        <v>0</v>
      </c>
      <c r="D108" s="1">
        <f t="shared" si="46"/>
        <v>8.855600775193806E-2</v>
      </c>
      <c r="E108">
        <v>192.94</v>
      </c>
      <c r="K108" s="1">
        <f>'Solar Availability and Gener GR'!F108</f>
        <v>2.16</v>
      </c>
      <c r="L108" s="1">
        <v>0.39891472868217059</v>
      </c>
      <c r="M108" s="1">
        <f t="shared" si="42"/>
        <v>1.7610852713178295</v>
      </c>
      <c r="N108" s="1" t="str">
        <f t="shared" si="43"/>
        <v>sell the surplus or charge</v>
      </c>
      <c r="O108" s="1">
        <v>0.25</v>
      </c>
      <c r="P108" s="1">
        <f t="shared" si="61"/>
        <v>0.62670034978624167</v>
      </c>
      <c r="Q108" s="1">
        <f t="shared" si="62"/>
        <v>1.9100000000000001</v>
      </c>
      <c r="R108" s="1">
        <f t="shared" si="63"/>
        <v>368.50821526633263</v>
      </c>
      <c r="S108" s="1">
        <f t="shared" si="64"/>
        <v>339.77902931674555</v>
      </c>
      <c r="T108" s="1">
        <f t="shared" si="65"/>
        <v>177.89885964141422</v>
      </c>
      <c r="U108" s="1" t="str">
        <f t="shared" si="66"/>
        <v>sell to the Grid</v>
      </c>
      <c r="W108" s="1">
        <f t="shared" si="67"/>
        <v>0.36851539999999999</v>
      </c>
      <c r="Y108" s="1">
        <f t="shared" si="40"/>
        <v>7.6966607751938004E-2</v>
      </c>
      <c r="AA108" s="1">
        <f t="shared" si="44"/>
        <v>11.502662161052319</v>
      </c>
      <c r="AD108" s="1">
        <f t="shared" si="45"/>
        <v>0.25</v>
      </c>
    </row>
    <row r="109" spans="1:30" ht="15">
      <c r="A109" s="1">
        <v>108</v>
      </c>
      <c r="B109" s="1">
        <f t="shared" si="50"/>
        <v>0</v>
      </c>
      <c r="C109" s="1">
        <f t="shared" si="41"/>
        <v>0</v>
      </c>
      <c r="D109" s="1">
        <f t="shared" si="46"/>
        <v>8.855600775193806E-2</v>
      </c>
      <c r="E109">
        <v>184.38</v>
      </c>
      <c r="K109" s="1">
        <f>'Solar Availability and Gener GR'!F109</f>
        <v>2.6568000000000001</v>
      </c>
      <c r="L109" s="1">
        <v>0.39891472868217059</v>
      </c>
      <c r="M109" s="1">
        <f t="shared" si="42"/>
        <v>2.2578852713178295</v>
      </c>
      <c r="N109" s="1" t="str">
        <f t="shared" si="43"/>
        <v>sell the surplus or charge</v>
      </c>
      <c r="O109" s="1">
        <v>0.25</v>
      </c>
      <c r="P109" s="1">
        <f t="shared" si="61"/>
        <v>0.62670034978624167</v>
      </c>
      <c r="Q109" s="1">
        <f t="shared" si="62"/>
        <v>2.4068000000000001</v>
      </c>
      <c r="R109" s="1">
        <f t="shared" si="63"/>
        <v>443.7582657269856</v>
      </c>
      <c r="S109" s="1">
        <f t="shared" si="64"/>
        <v>416.30390228307635</v>
      </c>
      <c r="T109" s="1">
        <f t="shared" si="65"/>
        <v>172.97320790529594</v>
      </c>
      <c r="U109" s="1" t="str">
        <f t="shared" si="66"/>
        <v>sell to the Grid</v>
      </c>
      <c r="W109" s="1">
        <f t="shared" si="67"/>
        <v>0.443765784</v>
      </c>
      <c r="Y109" s="1">
        <f t="shared" si="40"/>
        <v>7.3551897674418609E-2</v>
      </c>
      <c r="AA109" s="1">
        <f t="shared" si="44"/>
        <v>13.760547432370149</v>
      </c>
      <c r="AD109" s="1">
        <f t="shared" si="45"/>
        <v>0.25</v>
      </c>
    </row>
    <row r="110" spans="1:30" ht="15">
      <c r="A110" s="1">
        <v>109</v>
      </c>
      <c r="B110" s="1">
        <f t="shared" si="50"/>
        <v>0</v>
      </c>
      <c r="C110" s="1">
        <f t="shared" si="41"/>
        <v>0</v>
      </c>
      <c r="D110" s="1">
        <f t="shared" si="46"/>
        <v>8.855600775193806E-2</v>
      </c>
      <c r="E110">
        <v>165</v>
      </c>
      <c r="K110" s="1">
        <f>'Solar Availability and Gener GR'!F110</f>
        <v>2.9232000000000005</v>
      </c>
      <c r="L110" s="1">
        <v>0.39891472868217059</v>
      </c>
      <c r="M110" s="1">
        <f t="shared" si="42"/>
        <v>2.5242852713178299</v>
      </c>
      <c r="N110" s="1" t="str">
        <f t="shared" si="43"/>
        <v>sell the surplus or charge</v>
      </c>
      <c r="O110" s="1">
        <v>0.25</v>
      </c>
      <c r="P110" s="1">
        <f t="shared" si="61"/>
        <v>0.62670034978624167</v>
      </c>
      <c r="Q110" s="1">
        <f t="shared" si="62"/>
        <v>2.6732000000000005</v>
      </c>
      <c r="R110" s="1">
        <f t="shared" si="63"/>
        <v>441.06959872516148</v>
      </c>
      <c r="S110" s="1">
        <f t="shared" si="64"/>
        <v>416.50150036196646</v>
      </c>
      <c r="T110" s="1">
        <f t="shared" si="65"/>
        <v>155.80966546456941</v>
      </c>
      <c r="U110" s="1" t="str">
        <f t="shared" si="66"/>
        <v>sell to the Grid</v>
      </c>
      <c r="W110" s="1">
        <f t="shared" si="67"/>
        <v>0.44107800000000008</v>
      </c>
      <c r="Y110" s="1">
        <f t="shared" si="40"/>
        <v>6.5820930232558153E-2</v>
      </c>
      <c r="AA110" s="1">
        <f t="shared" si="44"/>
        <v>16.284832703687979</v>
      </c>
      <c r="AD110" s="1">
        <f t="shared" si="45"/>
        <v>0.25</v>
      </c>
    </row>
    <row r="111" spans="1:30" ht="15">
      <c r="A111" s="1">
        <v>110</v>
      </c>
      <c r="B111" s="1">
        <f t="shared" si="50"/>
        <v>0</v>
      </c>
      <c r="C111" s="1">
        <f t="shared" si="41"/>
        <v>0</v>
      </c>
      <c r="D111" s="1">
        <f t="shared" si="46"/>
        <v>8.855600775193806E-2</v>
      </c>
      <c r="E111">
        <v>165.1</v>
      </c>
      <c r="K111" s="1">
        <f>'Solar Availability and Gener GR'!F111</f>
        <v>2.9807999999999995</v>
      </c>
      <c r="L111" s="1">
        <v>0.39891472868217059</v>
      </c>
      <c r="M111" s="1">
        <f t="shared" si="42"/>
        <v>2.5818852713178289</v>
      </c>
      <c r="N111" s="1" t="str">
        <f t="shared" si="43"/>
        <v>sell the surplus or charge</v>
      </c>
      <c r="O111" s="1">
        <v>0.25</v>
      </c>
      <c r="P111" s="1">
        <f t="shared" si="61"/>
        <v>0.62670034978624167</v>
      </c>
      <c r="Q111" s="1">
        <f t="shared" si="62"/>
        <v>2.7307999999999995</v>
      </c>
      <c r="R111" s="1">
        <f t="shared" si="63"/>
        <v>450.8466838134508</v>
      </c>
      <c r="S111" s="1">
        <f t="shared" si="64"/>
        <v>426.26369226224654</v>
      </c>
      <c r="T111" s="1">
        <f t="shared" si="65"/>
        <v>156.09805668020184</v>
      </c>
      <c r="U111" s="1" t="str">
        <f t="shared" si="66"/>
        <v>sell to the Grid</v>
      </c>
      <c r="W111" s="1">
        <f t="shared" si="67"/>
        <v>0.45085507999999985</v>
      </c>
      <c r="Y111" s="1">
        <f t="shared" si="40"/>
        <v>6.5860821705426356E-2</v>
      </c>
      <c r="AA111" s="1">
        <f t="shared" si="44"/>
        <v>18.866717975005809</v>
      </c>
      <c r="AD111" s="1">
        <f t="shared" si="45"/>
        <v>0.25</v>
      </c>
    </row>
    <row r="112" spans="1:30" ht="15">
      <c r="A112" s="1">
        <v>111</v>
      </c>
      <c r="B112" s="1">
        <f t="shared" si="50"/>
        <v>0</v>
      </c>
      <c r="C112" s="1">
        <f t="shared" si="41"/>
        <v>0</v>
      </c>
      <c r="D112" s="1">
        <f t="shared" si="46"/>
        <v>8.855600775193806E-2</v>
      </c>
      <c r="E112">
        <v>202.42</v>
      </c>
      <c r="K112" s="1">
        <f>'Solar Availability and Gener GR'!F112</f>
        <v>2.8080000000000003</v>
      </c>
      <c r="L112" s="1">
        <v>0.39891472868217059</v>
      </c>
      <c r="M112" s="1">
        <f t="shared" si="42"/>
        <v>2.4090852713178297</v>
      </c>
      <c r="N112" s="1" t="str">
        <f t="shared" si="43"/>
        <v>sell the surplus or charge</v>
      </c>
      <c r="O112" s="1">
        <v>0.25</v>
      </c>
      <c r="P112" s="1">
        <f t="shared" si="61"/>
        <v>0.62670034978624167</v>
      </c>
      <c r="Q112" s="1">
        <f t="shared" si="62"/>
        <v>2.5580000000000003</v>
      </c>
      <c r="R112" s="1">
        <f t="shared" si="63"/>
        <v>517.78351173461886</v>
      </c>
      <c r="S112" s="1">
        <f t="shared" si="64"/>
        <v>487.64250074169087</v>
      </c>
      <c r="T112" s="1">
        <f t="shared" si="65"/>
        <v>190.63712769464777</v>
      </c>
      <c r="U112" s="1" t="str">
        <f t="shared" si="66"/>
        <v>sell to the Grid</v>
      </c>
      <c r="W112" s="1">
        <f t="shared" si="67"/>
        <v>0.51779036000000012</v>
      </c>
      <c r="Y112" s="1">
        <f t="shared" si="40"/>
        <v>8.0748319379844974E-2</v>
      </c>
      <c r="AA112" s="1">
        <f t="shared" si="44"/>
        <v>21.27580324632364</v>
      </c>
      <c r="AD112" s="1">
        <f t="shared" si="45"/>
        <v>0.25</v>
      </c>
    </row>
    <row r="113" spans="1:30" ht="15">
      <c r="A113" s="1">
        <v>112</v>
      </c>
      <c r="B113" s="1">
        <f t="shared" si="50"/>
        <v>0</v>
      </c>
      <c r="C113" s="1">
        <f t="shared" si="41"/>
        <v>0</v>
      </c>
      <c r="D113" s="1">
        <f t="shared" si="46"/>
        <v>8.855600775193806E-2</v>
      </c>
      <c r="E113">
        <v>261.05</v>
      </c>
      <c r="K113" s="1">
        <f>'Solar Availability and Gener GR'!F113</f>
        <v>2.52</v>
      </c>
      <c r="L113" s="1">
        <v>0.39891472868217059</v>
      </c>
      <c r="M113" s="1">
        <f t="shared" si="42"/>
        <v>2.1210852713178294</v>
      </c>
      <c r="N113" s="1" t="str">
        <f t="shared" si="43"/>
        <v>sell the surplus or charge</v>
      </c>
      <c r="O113" s="1">
        <v>0.25</v>
      </c>
      <c r="P113" s="1">
        <f t="shared" si="61"/>
        <v>0.62670034978624167</v>
      </c>
      <c r="Q113" s="1">
        <f t="shared" si="62"/>
        <v>2.27</v>
      </c>
      <c r="R113" s="1">
        <f t="shared" si="63"/>
        <v>592.5781897480997</v>
      </c>
      <c r="S113" s="1">
        <f t="shared" si="64"/>
        <v>553.70578978487595</v>
      </c>
      <c r="T113" s="1">
        <f t="shared" si="65"/>
        <v>243.92575905214434</v>
      </c>
      <c r="U113" s="1" t="str">
        <f t="shared" si="66"/>
        <v>sell to the Grid</v>
      </c>
      <c r="W113" s="1">
        <f t="shared" si="67"/>
        <v>0.59258350000000004</v>
      </c>
      <c r="Y113" s="1">
        <f t="shared" si="40"/>
        <v>0.10413668992248064</v>
      </c>
      <c r="AA113" s="1">
        <f t="shared" si="44"/>
        <v>23.396888517641472</v>
      </c>
      <c r="AD113" s="1">
        <f t="shared" si="45"/>
        <v>0.25</v>
      </c>
    </row>
    <row r="114" spans="1:30" ht="15">
      <c r="A114" s="1">
        <v>113</v>
      </c>
      <c r="B114" s="1">
        <f t="shared" si="50"/>
        <v>0</v>
      </c>
      <c r="C114" s="1">
        <f t="shared" si="41"/>
        <v>0</v>
      </c>
      <c r="D114" s="1">
        <f t="shared" si="46"/>
        <v>8.855600775193806E-2</v>
      </c>
      <c r="E114">
        <v>261.04000000000002</v>
      </c>
      <c r="K114" s="1">
        <f>'Solar Availability and Gener GR'!F114</f>
        <v>2.0987999999999998</v>
      </c>
      <c r="L114" s="1">
        <v>0.39891472868217059</v>
      </c>
      <c r="M114" s="1">
        <f t="shared" si="42"/>
        <v>1.6998852713178292</v>
      </c>
      <c r="N114" s="1" t="str">
        <f t="shared" si="43"/>
        <v>sell the surplus or charge</v>
      </c>
      <c r="O114" s="1">
        <v>0.25</v>
      </c>
      <c r="P114" s="1">
        <f t="shared" si="61"/>
        <v>0.62670034978624167</v>
      </c>
      <c r="Q114" s="1">
        <f t="shared" si="62"/>
        <v>1.8487999999999998</v>
      </c>
      <c r="R114" s="1">
        <f t="shared" si="63"/>
        <v>482.60544154468062</v>
      </c>
      <c r="S114" s="1">
        <f t="shared" si="64"/>
        <v>443.73453079731138</v>
      </c>
      <c r="T114" s="1">
        <f t="shared" si="65"/>
        <v>240.01531082612755</v>
      </c>
      <c r="U114" s="1" t="str">
        <f t="shared" si="66"/>
        <v>sell to the Grid</v>
      </c>
      <c r="W114" s="1">
        <f t="shared" si="67"/>
        <v>0.48261075199999998</v>
      </c>
      <c r="Y114" s="1">
        <f t="shared" si="40"/>
        <v>0.10413270077519382</v>
      </c>
      <c r="AA114" s="1">
        <f t="shared" si="44"/>
        <v>25.0967737889593</v>
      </c>
      <c r="AD114" s="1">
        <f t="shared" si="45"/>
        <v>0.25</v>
      </c>
    </row>
    <row r="115" spans="1:30" ht="15">
      <c r="A115" s="1">
        <v>114</v>
      </c>
      <c r="B115" s="1">
        <f t="shared" si="50"/>
        <v>0</v>
      </c>
      <c r="C115" s="1">
        <f t="shared" si="41"/>
        <v>0</v>
      </c>
      <c r="D115" s="1">
        <f t="shared" si="46"/>
        <v>8.855600775193806E-2</v>
      </c>
      <c r="E115">
        <v>293</v>
      </c>
      <c r="K115" s="1">
        <f>'Solar Availability and Gener GR'!F115</f>
        <v>1.4867999999999999</v>
      </c>
      <c r="L115" s="1">
        <v>0.66914728682170543</v>
      </c>
      <c r="M115" s="1">
        <f t="shared" si="42"/>
        <v>0.81765271317829447</v>
      </c>
      <c r="N115" s="1" t="str">
        <f t="shared" si="43"/>
        <v>sell the surplus or charge</v>
      </c>
      <c r="O115" s="1">
        <v>0.25</v>
      </c>
      <c r="P115" s="1">
        <f t="shared" si="61"/>
        <v>0.3736098239110287</v>
      </c>
      <c r="Q115" s="1">
        <f t="shared" si="62"/>
        <v>1.2367999999999999</v>
      </c>
      <c r="R115" s="1">
        <f t="shared" si="63"/>
        <v>362.37766878140292</v>
      </c>
      <c r="S115" s="1">
        <f t="shared" si="64"/>
        <v>239.57087384392887</v>
      </c>
      <c r="T115" s="1">
        <f t="shared" si="65"/>
        <v>193.70798064657546</v>
      </c>
      <c r="U115" s="1" t="str">
        <f t="shared" si="66"/>
        <v>sell to the Grid</v>
      </c>
      <c r="W115" s="1">
        <f t="shared" si="67"/>
        <v>0.36238239999999994</v>
      </c>
      <c r="Y115" s="1">
        <f t="shared" si="40"/>
        <v>0.19606015503875968</v>
      </c>
      <c r="AA115" s="1">
        <f t="shared" si="44"/>
        <v>25.914426502137594</v>
      </c>
      <c r="AD115" s="1">
        <f t="shared" si="45"/>
        <v>0.25</v>
      </c>
    </row>
    <row r="116" spans="1:30" ht="15">
      <c r="A116" s="1">
        <v>115</v>
      </c>
      <c r="B116" s="1">
        <f t="shared" si="50"/>
        <v>0</v>
      </c>
      <c r="C116" s="1">
        <f t="shared" si="41"/>
        <v>0</v>
      </c>
      <c r="D116" s="1">
        <f t="shared" si="46"/>
        <v>8.855600775193806E-2</v>
      </c>
      <c r="E116">
        <v>261.22000000000003</v>
      </c>
      <c r="K116" s="1">
        <f>'Solar Availability and Gener GR'!F116</f>
        <v>0.89279999999999993</v>
      </c>
      <c r="L116" s="1">
        <v>0.66914728682170543</v>
      </c>
      <c r="M116" s="1">
        <f t="shared" si="42"/>
        <v>0.22365271317829449</v>
      </c>
      <c r="N116" s="1" t="str">
        <f t="shared" si="43"/>
        <v>sell the surplus or charge</v>
      </c>
      <c r="O116" s="1">
        <v>0.25</v>
      </c>
      <c r="P116" s="1">
        <f t="shared" si="61"/>
        <v>0.3736098239110287</v>
      </c>
      <c r="Q116" s="1">
        <f t="shared" si="62"/>
        <v>0.64279999999999993</v>
      </c>
      <c r="R116" s="1">
        <f t="shared" si="63"/>
        <v>167.90690920383906</v>
      </c>
      <c r="S116" s="1">
        <f t="shared" si="64"/>
        <v>58.421023815508427</v>
      </c>
      <c r="T116" s="1">
        <f t="shared" si="65"/>
        <v>90.908950026622023</v>
      </c>
      <c r="U116" s="1" t="str">
        <f t="shared" si="66"/>
        <v>sell to the Grid</v>
      </c>
      <c r="W116" s="1">
        <f t="shared" si="67"/>
        <v>0.167912216</v>
      </c>
      <c r="Y116" s="1">
        <f t="shared" si="40"/>
        <v>0.17479465426356591</v>
      </c>
      <c r="AA116" s="1">
        <f t="shared" si="44"/>
        <v>26.138079215315887</v>
      </c>
      <c r="AD116" s="1">
        <f t="shared" si="45"/>
        <v>0.25</v>
      </c>
    </row>
    <row r="117" spans="1:30" ht="15">
      <c r="A117" s="1">
        <v>116</v>
      </c>
      <c r="B117" s="1">
        <f t="shared" si="50"/>
        <v>0</v>
      </c>
      <c r="C117" s="1">
        <f t="shared" si="41"/>
        <v>0</v>
      </c>
      <c r="D117" s="1">
        <f t="shared" si="46"/>
        <v>8.855600775193806E-2</v>
      </c>
      <c r="E117">
        <v>261.79000000000002</v>
      </c>
      <c r="K117" s="1">
        <f>'Solar Availability and Gener GR'!F117</f>
        <v>0.31679999999999997</v>
      </c>
      <c r="L117" s="1">
        <v>0.66914728682170543</v>
      </c>
      <c r="M117" s="1">
        <f t="shared" si="42"/>
        <v>-0.35234728682170546</v>
      </c>
      <c r="N117" s="1" t="str">
        <f t="shared" si="43"/>
        <v>Buy from Grid</v>
      </c>
      <c r="V117" s="1" t="str">
        <f t="shared" ref="V117:V129" si="68">IF(D117+M117&gt;0,"discharge","buy from the Grid")</f>
        <v>buy from the Grid</v>
      </c>
      <c r="X117" s="1">
        <f t="shared" ref="X117:X129" si="69">(M117*E117)/1000</f>
        <v>-9.2240996217054269E-2</v>
      </c>
      <c r="Y117" s="1">
        <f t="shared" si="40"/>
        <v>0.17517606821705428</v>
      </c>
      <c r="AA117" s="1">
        <f t="shared" si="44"/>
        <v>25.785731928494183</v>
      </c>
      <c r="AC117" s="1">
        <f t="shared" ref="AC117:AC129" si="70">L117</f>
        <v>0.66914728682170543</v>
      </c>
      <c r="AD117" s="1">
        <f t="shared" si="45"/>
        <v>0.66914728682170543</v>
      </c>
    </row>
    <row r="118" spans="1:30" ht="15">
      <c r="A118" s="1">
        <v>117</v>
      </c>
      <c r="B118" s="1">
        <f t="shared" si="50"/>
        <v>0</v>
      </c>
      <c r="C118" s="1">
        <f t="shared" si="41"/>
        <v>0</v>
      </c>
      <c r="D118" s="1">
        <f t="shared" si="46"/>
        <v>8.855600775193806E-2</v>
      </c>
      <c r="E118">
        <v>216.3</v>
      </c>
      <c r="K118" s="1">
        <f>'Solar Availability and Gener GR'!F118</f>
        <v>2.1599999999999998E-2</v>
      </c>
      <c r="L118" s="1">
        <v>0.66914728682170543</v>
      </c>
      <c r="M118" s="1">
        <f t="shared" si="42"/>
        <v>-0.64754728682170548</v>
      </c>
      <c r="N118" s="1" t="str">
        <f t="shared" si="43"/>
        <v>Buy from Grid</v>
      </c>
      <c r="V118" s="1" t="str">
        <f t="shared" si="68"/>
        <v>buy from the Grid</v>
      </c>
      <c r="X118" s="1">
        <f t="shared" si="69"/>
        <v>-0.1400644781395349</v>
      </c>
      <c r="Y118" s="1">
        <f t="shared" si="40"/>
        <v>0.1447365581395349</v>
      </c>
      <c r="AA118" s="1">
        <f t="shared" si="44"/>
        <v>25.138184641672478</v>
      </c>
      <c r="AC118" s="1">
        <f t="shared" si="70"/>
        <v>0.66914728682170543</v>
      </c>
      <c r="AD118" s="1">
        <f t="shared" si="45"/>
        <v>0.66914728682170543</v>
      </c>
    </row>
    <row r="119" spans="1:30" ht="15">
      <c r="A119" s="1">
        <v>118</v>
      </c>
      <c r="B119" s="1">
        <f t="shared" si="50"/>
        <v>0</v>
      </c>
      <c r="C119" s="1">
        <f t="shared" si="41"/>
        <v>0</v>
      </c>
      <c r="D119" s="1">
        <f t="shared" si="46"/>
        <v>8.855600775193806E-2</v>
      </c>
      <c r="E119">
        <v>205</v>
      </c>
      <c r="K119" s="1">
        <f>'Solar Availability and Gener GR'!F119</f>
        <v>0</v>
      </c>
      <c r="L119" s="1">
        <v>0.39891472868217059</v>
      </c>
      <c r="M119" s="1">
        <f t="shared" si="42"/>
        <v>-0.39891472868217059</v>
      </c>
      <c r="N119" s="1" t="str">
        <f t="shared" si="43"/>
        <v>Buy from Grid</v>
      </c>
      <c r="V119" s="1" t="str">
        <f t="shared" si="68"/>
        <v>buy from the Grid</v>
      </c>
      <c r="X119" s="1">
        <f t="shared" si="69"/>
        <v>-8.1777519379844982E-2</v>
      </c>
      <c r="Y119" s="1">
        <f t="shared" si="40"/>
        <v>8.1777519379844982E-2</v>
      </c>
      <c r="AA119" s="1">
        <f t="shared" si="44"/>
        <v>24.739269912990306</v>
      </c>
      <c r="AC119" s="1">
        <f t="shared" si="70"/>
        <v>0.39891472868217059</v>
      </c>
      <c r="AD119" s="1">
        <f t="shared" si="45"/>
        <v>0.39891472868217059</v>
      </c>
    </row>
    <row r="120" spans="1:30" ht="15">
      <c r="A120" s="1">
        <v>119</v>
      </c>
      <c r="B120" s="1">
        <f t="shared" si="50"/>
        <v>0</v>
      </c>
      <c r="C120" s="1">
        <f t="shared" si="41"/>
        <v>0</v>
      </c>
      <c r="D120" s="1">
        <f t="shared" si="46"/>
        <v>8.855600775193806E-2</v>
      </c>
      <c r="E120">
        <v>184.99</v>
      </c>
      <c r="K120" s="1">
        <f>'Solar Availability and Gener GR'!F120</f>
        <v>0</v>
      </c>
      <c r="L120" s="1">
        <v>0.39891472868217059</v>
      </c>
      <c r="M120" s="1">
        <f t="shared" si="42"/>
        <v>-0.39891472868217059</v>
      </c>
      <c r="N120" s="1" t="str">
        <f t="shared" si="43"/>
        <v>Buy from Grid</v>
      </c>
      <c r="V120" s="1" t="str">
        <f t="shared" si="68"/>
        <v>buy from the Grid</v>
      </c>
      <c r="X120" s="1">
        <f t="shared" si="69"/>
        <v>-7.3795235658914743E-2</v>
      </c>
      <c r="Y120" s="1">
        <f t="shared" si="40"/>
        <v>7.3795235658914743E-2</v>
      </c>
      <c r="AA120" s="1">
        <f t="shared" si="44"/>
        <v>24.340355184308134</v>
      </c>
      <c r="AC120" s="1">
        <f t="shared" si="70"/>
        <v>0.39891472868217059</v>
      </c>
      <c r="AD120" s="1">
        <f t="shared" si="45"/>
        <v>0.39891472868217059</v>
      </c>
    </row>
    <row r="121" spans="1:30" ht="15">
      <c r="A121" s="1">
        <v>120</v>
      </c>
      <c r="B121" s="1">
        <f t="shared" si="50"/>
        <v>0</v>
      </c>
      <c r="C121" s="1">
        <f t="shared" si="41"/>
        <v>0</v>
      </c>
      <c r="D121" s="1">
        <f t="shared" si="46"/>
        <v>8.855600775193806E-2</v>
      </c>
      <c r="E121">
        <v>160.86000000000001</v>
      </c>
      <c r="K121" s="1">
        <f>'Solar Availability and Gener GR'!F121</f>
        <v>0</v>
      </c>
      <c r="L121" s="1">
        <v>0.29596899224806206</v>
      </c>
      <c r="M121" s="1">
        <f t="shared" si="42"/>
        <v>-0.29596899224806206</v>
      </c>
      <c r="N121" s="1" t="str">
        <f t="shared" si="43"/>
        <v>Buy from Grid</v>
      </c>
      <c r="V121" s="1" t="str">
        <f t="shared" si="68"/>
        <v>buy from the Grid</v>
      </c>
      <c r="X121" s="1">
        <f t="shared" si="69"/>
        <v>-4.7609572093023265E-2</v>
      </c>
      <c r="Y121" s="1">
        <f t="shared" si="40"/>
        <v>4.7609572093023265E-2</v>
      </c>
      <c r="AA121" s="1">
        <f t="shared" si="44"/>
        <v>24.04438619206007</v>
      </c>
      <c r="AC121" s="1">
        <f t="shared" si="70"/>
        <v>0.29596899224806206</v>
      </c>
      <c r="AD121" s="1">
        <f t="shared" si="45"/>
        <v>0.29596899224806206</v>
      </c>
    </row>
    <row r="122" spans="1:30" ht="15">
      <c r="A122" s="1">
        <v>121</v>
      </c>
      <c r="B122" s="1">
        <f t="shared" si="50"/>
        <v>0</v>
      </c>
      <c r="C122" s="1">
        <f t="shared" si="41"/>
        <v>0</v>
      </c>
      <c r="D122" s="1">
        <f t="shared" si="46"/>
        <v>8.855600775193806E-2</v>
      </c>
      <c r="E122">
        <v>173.13</v>
      </c>
      <c r="K122" s="1">
        <f>'Solar Availability and Gener GR'!F122</f>
        <v>0</v>
      </c>
      <c r="L122" s="1">
        <v>0.29596899224806206</v>
      </c>
      <c r="M122" s="1">
        <f t="shared" si="42"/>
        <v>-0.29596899224806206</v>
      </c>
      <c r="N122" s="1" t="str">
        <f t="shared" si="43"/>
        <v>Buy from Grid</v>
      </c>
      <c r="V122" s="1" t="str">
        <f t="shared" si="68"/>
        <v>buy from the Grid</v>
      </c>
      <c r="X122" s="1">
        <f t="shared" si="69"/>
        <v>-5.1241111627906982E-2</v>
      </c>
      <c r="Y122" s="1">
        <f t="shared" si="40"/>
        <v>5.1241111627906982E-2</v>
      </c>
      <c r="AA122" s="1">
        <f t="shared" si="44"/>
        <v>23.748417199812007</v>
      </c>
      <c r="AC122" s="1">
        <f t="shared" si="70"/>
        <v>0.29596899224806206</v>
      </c>
      <c r="AD122" s="1">
        <f t="shared" si="45"/>
        <v>0.29596899224806206</v>
      </c>
    </row>
    <row r="123" spans="1:30" ht="15">
      <c r="A123" s="1">
        <v>122</v>
      </c>
      <c r="B123" s="1">
        <f t="shared" si="50"/>
        <v>0</v>
      </c>
      <c r="C123" s="1">
        <f t="shared" si="41"/>
        <v>0</v>
      </c>
      <c r="D123" s="1">
        <f t="shared" si="46"/>
        <v>8.855600775193806E-2</v>
      </c>
      <c r="E123">
        <v>170.77</v>
      </c>
      <c r="K123" s="1">
        <f>'Solar Availability and Gener GR'!F123</f>
        <v>0</v>
      </c>
      <c r="L123" s="1">
        <v>0.30883720930232561</v>
      </c>
      <c r="M123" s="1">
        <f t="shared" si="42"/>
        <v>-0.30883720930232561</v>
      </c>
      <c r="N123" s="1" t="str">
        <f t="shared" si="43"/>
        <v>Buy from Grid</v>
      </c>
      <c r="V123" s="1" t="str">
        <f t="shared" si="68"/>
        <v>buy from the Grid</v>
      </c>
      <c r="X123" s="1">
        <f t="shared" si="69"/>
        <v>-5.2740130232558149E-2</v>
      </c>
      <c r="Y123" s="1">
        <f t="shared" si="40"/>
        <v>5.2740130232558149E-2</v>
      </c>
      <c r="AA123" s="1">
        <f t="shared" si="44"/>
        <v>23.439579990509682</v>
      </c>
      <c r="AC123" s="1">
        <f t="shared" si="70"/>
        <v>0.30883720930232561</v>
      </c>
      <c r="AD123" s="1">
        <f t="shared" si="45"/>
        <v>0.30883720930232561</v>
      </c>
    </row>
    <row r="124" spans="1:30" ht="15">
      <c r="A124" s="1">
        <v>123</v>
      </c>
      <c r="B124" s="1">
        <f t="shared" si="50"/>
        <v>0</v>
      </c>
      <c r="C124" s="1">
        <f t="shared" si="41"/>
        <v>0</v>
      </c>
      <c r="D124" s="1">
        <f t="shared" si="46"/>
        <v>8.855600775193806E-2</v>
      </c>
      <c r="E124">
        <v>160</v>
      </c>
      <c r="K124" s="1">
        <f>'Solar Availability and Gener GR'!F124</f>
        <v>0</v>
      </c>
      <c r="L124" s="1">
        <v>0.30883720930232561</v>
      </c>
      <c r="M124" s="1">
        <f t="shared" si="42"/>
        <v>-0.30883720930232561</v>
      </c>
      <c r="N124" s="1" t="str">
        <f t="shared" si="43"/>
        <v>Buy from Grid</v>
      </c>
      <c r="V124" s="1" t="str">
        <f t="shared" si="68"/>
        <v>buy from the Grid</v>
      </c>
      <c r="X124" s="1">
        <f t="shared" si="69"/>
        <v>-4.9413953488372103E-2</v>
      </c>
      <c r="Y124" s="1">
        <f t="shared" si="40"/>
        <v>4.9413953488372103E-2</v>
      </c>
      <c r="AA124" s="1">
        <f t="shared" si="44"/>
        <v>23.130742781207356</v>
      </c>
      <c r="AC124" s="1">
        <f t="shared" si="70"/>
        <v>0.30883720930232561</v>
      </c>
      <c r="AD124" s="1">
        <f t="shared" si="45"/>
        <v>0.30883720930232561</v>
      </c>
    </row>
    <row r="125" spans="1:30" ht="15">
      <c r="A125" s="1">
        <v>124</v>
      </c>
      <c r="B125" s="1">
        <f t="shared" si="50"/>
        <v>0</v>
      </c>
      <c r="C125" s="1">
        <f t="shared" si="41"/>
        <v>0</v>
      </c>
      <c r="D125" s="1">
        <f t="shared" si="46"/>
        <v>8.855600775193806E-2</v>
      </c>
      <c r="E125">
        <v>150</v>
      </c>
      <c r="K125" s="1">
        <f>'Solar Availability and Gener GR'!F125</f>
        <v>0</v>
      </c>
      <c r="L125" s="1">
        <v>0.30883720930232561</v>
      </c>
      <c r="M125" s="1">
        <f t="shared" si="42"/>
        <v>-0.30883720930232561</v>
      </c>
      <c r="N125" s="1" t="str">
        <f t="shared" si="43"/>
        <v>Buy from Grid</v>
      </c>
      <c r="V125" s="1" t="str">
        <f t="shared" si="68"/>
        <v>buy from the Grid</v>
      </c>
      <c r="X125" s="1">
        <f t="shared" si="69"/>
        <v>-4.6325581395348842E-2</v>
      </c>
      <c r="Y125" s="1">
        <f t="shared" si="40"/>
        <v>4.6325581395348842E-2</v>
      </c>
      <c r="AA125" s="1">
        <f t="shared" si="44"/>
        <v>22.821905571905031</v>
      </c>
      <c r="AC125" s="1">
        <f t="shared" si="70"/>
        <v>0.30883720930232561</v>
      </c>
      <c r="AD125" s="1">
        <f t="shared" si="45"/>
        <v>0.30883720930232561</v>
      </c>
    </row>
    <row r="126" spans="1:30" ht="15">
      <c r="A126" s="1">
        <v>125</v>
      </c>
      <c r="B126" s="1">
        <f t="shared" si="50"/>
        <v>0</v>
      </c>
      <c r="C126" s="1">
        <f t="shared" si="41"/>
        <v>0</v>
      </c>
      <c r="D126" s="1">
        <f t="shared" si="46"/>
        <v>8.855600775193806E-2</v>
      </c>
      <c r="E126">
        <v>152.1</v>
      </c>
      <c r="K126" s="1">
        <f>'Solar Availability and Gener GR'!F126</f>
        <v>0</v>
      </c>
      <c r="L126" s="1">
        <v>0.39891472868217059</v>
      </c>
      <c r="M126" s="1">
        <f t="shared" si="42"/>
        <v>-0.39891472868217059</v>
      </c>
      <c r="N126" s="1" t="str">
        <f t="shared" si="43"/>
        <v>Buy from Grid</v>
      </c>
      <c r="V126" s="1" t="str">
        <f t="shared" si="68"/>
        <v>buy from the Grid</v>
      </c>
      <c r="X126" s="1">
        <f t="shared" si="69"/>
        <v>-6.0674930232558148E-2</v>
      </c>
      <c r="Y126" s="1">
        <f t="shared" si="40"/>
        <v>6.0674930232558148E-2</v>
      </c>
      <c r="AA126" s="1">
        <f t="shared" si="44"/>
        <v>22.422990843222859</v>
      </c>
      <c r="AC126" s="1">
        <f t="shared" si="70"/>
        <v>0.39891472868217059</v>
      </c>
      <c r="AD126" s="1">
        <f t="shared" si="45"/>
        <v>0.39891472868217059</v>
      </c>
    </row>
    <row r="127" spans="1:30" ht="15">
      <c r="A127" s="1">
        <v>126</v>
      </c>
      <c r="B127" s="1">
        <f t="shared" si="50"/>
        <v>0</v>
      </c>
      <c r="C127" s="1">
        <f t="shared" si="41"/>
        <v>0</v>
      </c>
      <c r="D127" s="1">
        <f t="shared" si="46"/>
        <v>8.855600775193806E-2</v>
      </c>
      <c r="E127">
        <v>160.08000000000001</v>
      </c>
      <c r="K127" s="1">
        <f>'Solar Availability and Gener GR'!F127</f>
        <v>0</v>
      </c>
      <c r="L127" s="1">
        <v>0.65627906976744199</v>
      </c>
      <c r="M127" s="1">
        <f t="shared" si="42"/>
        <v>-0.65627906976744199</v>
      </c>
      <c r="N127" s="1" t="str">
        <f t="shared" si="43"/>
        <v>Buy from Grid</v>
      </c>
      <c r="V127" s="1" t="str">
        <f t="shared" si="68"/>
        <v>buy from the Grid</v>
      </c>
      <c r="X127" s="1">
        <f t="shared" si="69"/>
        <v>-0.10505715348837212</v>
      </c>
      <c r="Y127" s="1">
        <f t="shared" si="40"/>
        <v>0.10505715348837212</v>
      </c>
      <c r="AA127" s="1">
        <f t="shared" si="44"/>
        <v>21.766711773455416</v>
      </c>
      <c r="AC127" s="1">
        <f t="shared" si="70"/>
        <v>0.65627906976744199</v>
      </c>
      <c r="AD127" s="1">
        <f t="shared" si="45"/>
        <v>0.65627906976744199</v>
      </c>
    </row>
    <row r="128" spans="1:30" ht="15">
      <c r="A128" s="1">
        <v>127</v>
      </c>
      <c r="B128" s="1">
        <f t="shared" si="50"/>
        <v>0</v>
      </c>
      <c r="C128" s="1">
        <f t="shared" si="41"/>
        <v>0</v>
      </c>
      <c r="D128" s="1">
        <f t="shared" si="46"/>
        <v>8.855600775193806E-2</v>
      </c>
      <c r="E128">
        <v>262.60000000000002</v>
      </c>
      <c r="K128" s="1">
        <f>'Solar Availability and Gener GR'!F128</f>
        <v>7.4098637941778636E-2</v>
      </c>
      <c r="L128" s="1">
        <v>0.66914728682170543</v>
      </c>
      <c r="M128" s="1">
        <f t="shared" si="42"/>
        <v>-0.59504864887992681</v>
      </c>
      <c r="N128" s="1" t="str">
        <f t="shared" si="43"/>
        <v>Buy from Grid</v>
      </c>
      <c r="V128" s="1" t="str">
        <f t="shared" si="68"/>
        <v>buy from the Grid</v>
      </c>
      <c r="X128" s="1">
        <f t="shared" si="69"/>
        <v>-0.15625977519586881</v>
      </c>
      <c r="Y128" s="1">
        <f t="shared" si="40"/>
        <v>0.17571807751937987</v>
      </c>
      <c r="AA128" s="1">
        <f t="shared" si="44"/>
        <v>21.171663124575488</v>
      </c>
      <c r="AC128" s="1">
        <f t="shared" si="70"/>
        <v>0.66914728682170543</v>
      </c>
      <c r="AD128" s="1">
        <f t="shared" si="45"/>
        <v>0.66914728682170543</v>
      </c>
    </row>
    <row r="129" spans="1:30" ht="15">
      <c r="A129" s="1">
        <v>128</v>
      </c>
      <c r="B129" s="1">
        <f t="shared" si="50"/>
        <v>0</v>
      </c>
      <c r="C129" s="1">
        <f t="shared" si="41"/>
        <v>0</v>
      </c>
      <c r="D129" s="1">
        <f t="shared" si="46"/>
        <v>8.855600775193806E-2</v>
      </c>
      <c r="E129">
        <v>203.15</v>
      </c>
      <c r="K129" s="1">
        <f>'Solar Availability and Gener GR'!F129</f>
        <v>0.39921659396421116</v>
      </c>
      <c r="L129" s="1">
        <v>0.65627906976744199</v>
      </c>
      <c r="M129" s="1">
        <f t="shared" si="42"/>
        <v>-0.25706247580323083</v>
      </c>
      <c r="N129" s="1" t="str">
        <f t="shared" si="43"/>
        <v>Buy from Grid</v>
      </c>
      <c r="V129" s="1" t="str">
        <f t="shared" si="68"/>
        <v>buy from the Grid</v>
      </c>
      <c r="X129" s="1">
        <f t="shared" si="69"/>
        <v>-5.222224195942634E-2</v>
      </c>
      <c r="Y129" s="1">
        <f t="shared" si="40"/>
        <v>0.13332309302325585</v>
      </c>
      <c r="AA129" s="1">
        <f t="shared" si="44"/>
        <v>20.914600648772257</v>
      </c>
      <c r="AC129" s="1">
        <f t="shared" si="70"/>
        <v>0.65627906976744199</v>
      </c>
      <c r="AD129" s="1">
        <f t="shared" si="45"/>
        <v>0.65627906976744199</v>
      </c>
    </row>
    <row r="130" spans="1:30" ht="15">
      <c r="A130" s="1">
        <v>129</v>
      </c>
      <c r="B130" s="1">
        <f t="shared" si="50"/>
        <v>0</v>
      </c>
      <c r="C130" s="1">
        <f t="shared" si="41"/>
        <v>0</v>
      </c>
      <c r="D130" s="1">
        <f t="shared" si="46"/>
        <v>8.855600775193806E-2</v>
      </c>
      <c r="E130">
        <v>174.34</v>
      </c>
      <c r="K130" s="1">
        <f>'Solar Availability and Gener GR'!F130</f>
        <v>0.82006587732573366</v>
      </c>
      <c r="L130" s="1">
        <v>0.39891472868217059</v>
      </c>
      <c r="M130" s="1">
        <f t="shared" si="42"/>
        <v>0.42115114864356307</v>
      </c>
      <c r="N130" s="1" t="str">
        <f t="shared" si="43"/>
        <v>sell the surplus or charge</v>
      </c>
      <c r="O130" s="1">
        <v>0.25</v>
      </c>
      <c r="P130" s="1">
        <f t="shared" ref="P130:P140" si="71">0.25/L130</f>
        <v>0.62670034978624167</v>
      </c>
      <c r="Q130" s="1">
        <f t="shared" ref="Q130:Q140" si="72">K130-P130*L130</f>
        <v>0.57006587732573366</v>
      </c>
      <c r="R130" s="1">
        <f t="shared" ref="R130:R140" si="73">((1/(E130+0.01))*LN(0.25))+(E130*(K130-0.25))</f>
        <v>99.377333837820032</v>
      </c>
      <c r="S130" s="1">
        <f t="shared" ref="S130:S140" si="74">((1/(E130+0.01))*LN(L130))+(E130*(K130-L130))</f>
        <v>73.418220204346667</v>
      </c>
      <c r="T130" s="1">
        <f t="shared" ref="T130:T140" si="75">(S130+((S130^2)-4*(K130-L130*P130)*LN(L130*P130))^(0.5))/(2*(K130-L130*P130))</f>
        <v>128.80788979077641</v>
      </c>
      <c r="U130" s="1" t="str">
        <f t="shared" ref="U130:U140" si="76">IF(E130&gt;=T130*1.05,"sell to the Grid","charge")</f>
        <v>sell to the Grid</v>
      </c>
      <c r="W130" s="1">
        <f t="shared" ref="W130:W140" si="77">(Q130*E130)/1000</f>
        <v>9.9385285052968411E-2</v>
      </c>
      <c r="Y130" s="1">
        <f t="shared" ref="Y130:Y193" si="78">(L130*E130)/1000</f>
        <v>6.9546793798449622E-2</v>
      </c>
      <c r="AA130" s="1">
        <f t="shared" si="44"/>
        <v>21.335751797415821</v>
      </c>
      <c r="AD130" s="1">
        <f t="shared" si="45"/>
        <v>0.25</v>
      </c>
    </row>
    <row r="131" spans="1:30" ht="15">
      <c r="A131" s="1">
        <v>130</v>
      </c>
      <c r="B131" s="1">
        <f t="shared" si="50"/>
        <v>0</v>
      </c>
      <c r="C131" s="1">
        <f t="shared" ref="C131:C194" si="79">IF(V130="discharge",M130,0)</f>
        <v>0</v>
      </c>
      <c r="D131" s="1">
        <f t="shared" si="46"/>
        <v>8.855600775193806E-2</v>
      </c>
      <c r="E131">
        <v>174.14</v>
      </c>
      <c r="K131" s="1">
        <f>'Solar Availability and Gener GR'!F131</f>
        <v>1.4132288791952279</v>
      </c>
      <c r="L131" s="1">
        <v>0.39891472868217059</v>
      </c>
      <c r="M131" s="1">
        <f t="shared" ref="M131:M194" si="80">K131-L131</f>
        <v>1.0143141505130573</v>
      </c>
      <c r="N131" s="1" t="str">
        <f t="shared" ref="N131:N194" si="81">IF(M131&lt;0,"Buy from Grid","sell the surplus or charge")</f>
        <v>sell the surplus or charge</v>
      </c>
      <c r="O131" s="1">
        <v>0.25</v>
      </c>
      <c r="P131" s="1">
        <f t="shared" si="71"/>
        <v>0.62670034978624167</v>
      </c>
      <c r="Q131" s="1">
        <f t="shared" si="72"/>
        <v>1.1632288791952279</v>
      </c>
      <c r="R131" s="1">
        <f t="shared" si="73"/>
        <v>202.55671667645277</v>
      </c>
      <c r="S131" s="1">
        <f t="shared" si="74"/>
        <v>176.6273890667118</v>
      </c>
      <c r="T131" s="1">
        <f t="shared" si="75"/>
        <v>151.85018321139376</v>
      </c>
      <c r="U131" s="1" t="str">
        <f t="shared" si="76"/>
        <v>sell to the Grid</v>
      </c>
      <c r="W131" s="1">
        <f t="shared" si="77"/>
        <v>0.20256467702305697</v>
      </c>
      <c r="Y131" s="1">
        <f t="shared" si="78"/>
        <v>6.9467010852713187E-2</v>
      </c>
      <c r="AA131" s="1">
        <f t="shared" ref="AA131:AA194" si="82">M131+AA130</f>
        <v>22.350065947928879</v>
      </c>
      <c r="AD131" s="1">
        <f t="shared" ref="AD131:AD194" si="83">AC131+O131</f>
        <v>0.25</v>
      </c>
    </row>
    <row r="132" spans="1:30" ht="15">
      <c r="A132" s="1">
        <v>131</v>
      </c>
      <c r="B132" s="1">
        <f t="shared" si="50"/>
        <v>0</v>
      </c>
      <c r="C132" s="1">
        <f t="shared" si="79"/>
        <v>0</v>
      </c>
      <c r="D132" s="1">
        <f t="shared" ref="D132:D195" si="84">(D131)+(B132*0.8)+(C132/0.8)</f>
        <v>8.855600775193806E-2</v>
      </c>
      <c r="E132">
        <v>156.68</v>
      </c>
      <c r="K132" s="1">
        <f>'Solar Availability and Gener GR'!F132</f>
        <v>2.4277485978812412</v>
      </c>
      <c r="L132" s="1">
        <v>0.39891472868217059</v>
      </c>
      <c r="M132" s="1">
        <f t="shared" si="80"/>
        <v>2.0288338691990706</v>
      </c>
      <c r="N132" s="1" t="str">
        <f t="shared" si="81"/>
        <v>sell the surplus or charge</v>
      </c>
      <c r="O132" s="1">
        <v>0.25</v>
      </c>
      <c r="P132" s="1">
        <f t="shared" si="71"/>
        <v>0.62670034978624167</v>
      </c>
      <c r="Q132" s="1">
        <f t="shared" si="72"/>
        <v>2.1777485978812412</v>
      </c>
      <c r="R132" s="1">
        <f t="shared" si="73"/>
        <v>341.20080294631481</v>
      </c>
      <c r="S132" s="1">
        <f t="shared" si="74"/>
        <v>317.87182549369919</v>
      </c>
      <c r="T132" s="1">
        <f t="shared" si="75"/>
        <v>145.96786932151767</v>
      </c>
      <c r="U132" s="1" t="str">
        <f t="shared" si="76"/>
        <v>sell to the Grid</v>
      </c>
      <c r="W132" s="1">
        <f t="shared" si="77"/>
        <v>0.3412096503160329</v>
      </c>
      <c r="Y132" s="1">
        <f t="shared" si="78"/>
        <v>6.250195968992249E-2</v>
      </c>
      <c r="AA132" s="1">
        <f t="shared" si="82"/>
        <v>24.378899817127952</v>
      </c>
      <c r="AD132" s="1">
        <f t="shared" si="83"/>
        <v>0.25</v>
      </c>
    </row>
    <row r="133" spans="1:30" ht="15">
      <c r="A133" s="1">
        <v>132</v>
      </c>
      <c r="B133" s="1">
        <f t="shared" si="50"/>
        <v>0</v>
      </c>
      <c r="C133" s="1">
        <f t="shared" si="79"/>
        <v>0</v>
      </c>
      <c r="D133" s="1">
        <f t="shared" si="84"/>
        <v>8.855600775193806E-2</v>
      </c>
      <c r="E133">
        <v>147.6</v>
      </c>
      <c r="K133" s="1">
        <f>'Solar Availability and Gener GR'!F133</f>
        <v>2.9251936259236153</v>
      </c>
      <c r="L133" s="1">
        <v>0.39891472868217059</v>
      </c>
      <c r="M133" s="1">
        <f t="shared" si="80"/>
        <v>2.5262788972414447</v>
      </c>
      <c r="N133" s="1" t="str">
        <f t="shared" si="81"/>
        <v>sell the surplus or charge</v>
      </c>
      <c r="O133" s="1">
        <v>0.25</v>
      </c>
      <c r="P133" s="1">
        <f t="shared" si="71"/>
        <v>0.62670034978624167</v>
      </c>
      <c r="Q133" s="1">
        <f t="shared" si="72"/>
        <v>2.6751936259236153</v>
      </c>
      <c r="R133" s="1">
        <f t="shared" si="73"/>
        <v>394.84918758439403</v>
      </c>
      <c r="S133" s="1">
        <f t="shared" si="74"/>
        <v>372.87253931591079</v>
      </c>
      <c r="T133" s="1">
        <f t="shared" si="75"/>
        <v>139.3852323357049</v>
      </c>
      <c r="U133" s="1" t="str">
        <f t="shared" si="76"/>
        <v>sell to the Grid</v>
      </c>
      <c r="W133" s="1">
        <f t="shared" si="77"/>
        <v>0.39485857918632561</v>
      </c>
      <c r="Y133" s="1">
        <f t="shared" si="78"/>
        <v>5.8879813953488382E-2</v>
      </c>
      <c r="AA133" s="1">
        <f t="shared" si="82"/>
        <v>26.905178714369395</v>
      </c>
      <c r="AD133" s="1">
        <f t="shared" si="83"/>
        <v>0.25</v>
      </c>
    </row>
    <row r="134" spans="1:30" ht="15">
      <c r="A134" s="1">
        <v>133</v>
      </c>
      <c r="B134" s="1">
        <f t="shared" si="50"/>
        <v>2.9428647734354128</v>
      </c>
      <c r="C134" s="1">
        <f t="shared" si="79"/>
        <v>0</v>
      </c>
      <c r="D134" s="1">
        <f t="shared" si="84"/>
        <v>2.4428478265002687</v>
      </c>
      <c r="E134">
        <v>145.5</v>
      </c>
      <c r="K134" s="1">
        <f>'Solar Availability and Gener GR'!F134</f>
        <v>3.1928647734354128</v>
      </c>
      <c r="L134" s="1">
        <v>0.38604651162790704</v>
      </c>
      <c r="M134" s="1">
        <f t="shared" si="80"/>
        <v>2.8068182618075057</v>
      </c>
      <c r="N134" s="1" t="str">
        <f t="shared" si="81"/>
        <v>sell the surplus or charge</v>
      </c>
      <c r="O134" s="1">
        <v>0.25</v>
      </c>
      <c r="P134" s="1">
        <f t="shared" si="71"/>
        <v>0.64759036144578308</v>
      </c>
      <c r="Q134" s="1">
        <f t="shared" si="72"/>
        <v>2.9428647734354128</v>
      </c>
      <c r="R134" s="1">
        <f t="shared" si="73"/>
        <v>428.1772973933426</v>
      </c>
      <c r="S134" s="1">
        <f t="shared" si="74"/>
        <v>408.38551597952682</v>
      </c>
      <c r="T134" s="1">
        <f t="shared" si="75"/>
        <v>138.77481194187325</v>
      </c>
      <c r="U134" s="1" t="str">
        <f t="shared" si="76"/>
        <v>charge</v>
      </c>
      <c r="W134" s="1">
        <f t="shared" si="77"/>
        <v>0.42818682453485257</v>
      </c>
      <c r="Y134" s="1">
        <f t="shared" si="78"/>
        <v>5.6169767441860474E-2</v>
      </c>
      <c r="AA134" s="1">
        <f t="shared" si="82"/>
        <v>29.711996976176902</v>
      </c>
      <c r="AD134" s="1">
        <f t="shared" si="83"/>
        <v>0.25</v>
      </c>
    </row>
    <row r="135" spans="1:30" ht="15">
      <c r="A135" s="1">
        <v>134</v>
      </c>
      <c r="B135" s="1">
        <f t="shared" si="50"/>
        <v>0</v>
      </c>
      <c r="C135" s="1">
        <f t="shared" si="79"/>
        <v>0</v>
      </c>
      <c r="D135" s="1">
        <f t="shared" si="84"/>
        <v>2.4428478265002687</v>
      </c>
      <c r="E135">
        <v>135.44999999999999</v>
      </c>
      <c r="K135" s="1">
        <f>'Solar Availability and Gener GR'!F135</f>
        <v>3.1924241075402815</v>
      </c>
      <c r="L135" s="1">
        <v>0.39891472868217059</v>
      </c>
      <c r="M135" s="1">
        <f t="shared" si="80"/>
        <v>2.7935093788581109</v>
      </c>
      <c r="N135" s="1" t="str">
        <f t="shared" si="81"/>
        <v>sell the surplus or charge</v>
      </c>
      <c r="O135" s="1">
        <v>0.25</v>
      </c>
      <c r="P135" s="1">
        <f t="shared" si="71"/>
        <v>0.62670034978624167</v>
      </c>
      <c r="Q135" s="1">
        <f t="shared" si="72"/>
        <v>2.9424241075402815</v>
      </c>
      <c r="R135" s="1">
        <f t="shared" si="73"/>
        <v>398.54111139053663</v>
      </c>
      <c r="S135" s="1">
        <f t="shared" si="74"/>
        <v>378.37406101967889</v>
      </c>
      <c r="T135" s="1">
        <f t="shared" si="75"/>
        <v>128.59629590937431</v>
      </c>
      <c r="U135" s="1" t="str">
        <f t="shared" si="76"/>
        <v>sell to the Grid</v>
      </c>
      <c r="W135" s="1">
        <f t="shared" si="77"/>
        <v>0.39855134536633108</v>
      </c>
      <c r="Y135" s="1">
        <f t="shared" si="78"/>
        <v>5.4033000000000005E-2</v>
      </c>
      <c r="AA135" s="1">
        <f t="shared" si="82"/>
        <v>32.50550635503501</v>
      </c>
      <c r="AD135" s="1">
        <f t="shared" si="83"/>
        <v>0.25</v>
      </c>
    </row>
    <row r="136" spans="1:30" ht="15">
      <c r="A136" s="1">
        <v>135</v>
      </c>
      <c r="B136" s="1">
        <f t="shared" si="50"/>
        <v>0</v>
      </c>
      <c r="C136" s="1">
        <f t="shared" si="79"/>
        <v>0</v>
      </c>
      <c r="D136" s="1">
        <f t="shared" si="84"/>
        <v>2.4428478265002687</v>
      </c>
      <c r="E136">
        <v>149.99</v>
      </c>
      <c r="K136" s="1">
        <f>'Solar Availability and Gener GR'!F136</f>
        <v>3.0579809489895817</v>
      </c>
      <c r="L136" s="1">
        <v>0.39891472868217059</v>
      </c>
      <c r="M136" s="1">
        <f t="shared" si="80"/>
        <v>2.6590662203074111</v>
      </c>
      <c r="N136" s="1" t="str">
        <f t="shared" si="81"/>
        <v>sell the surplus or charge</v>
      </c>
      <c r="O136" s="1">
        <v>0.25</v>
      </c>
      <c r="P136" s="1">
        <f t="shared" si="71"/>
        <v>0.62670034978624167</v>
      </c>
      <c r="Q136" s="1">
        <f t="shared" si="72"/>
        <v>2.8079809489895817</v>
      </c>
      <c r="R136" s="1">
        <f t="shared" si="73"/>
        <v>421.15982057653991</v>
      </c>
      <c r="S136" s="1">
        <f t="shared" si="74"/>
        <v>398.82721566659194</v>
      </c>
      <c r="T136" s="1">
        <f t="shared" si="75"/>
        <v>142.03692368659964</v>
      </c>
      <c r="U136" s="1" t="str">
        <f t="shared" si="76"/>
        <v>sell to the Grid</v>
      </c>
      <c r="W136" s="1">
        <f t="shared" si="77"/>
        <v>0.42116906253894743</v>
      </c>
      <c r="Y136" s="1">
        <f t="shared" si="78"/>
        <v>5.9833220155038773E-2</v>
      </c>
      <c r="AA136" s="1">
        <f t="shared" si="82"/>
        <v>35.164572575342419</v>
      </c>
      <c r="AD136" s="1">
        <f t="shared" si="83"/>
        <v>0.25</v>
      </c>
    </row>
    <row r="137" spans="1:30" ht="15">
      <c r="A137" s="1">
        <v>136</v>
      </c>
      <c r="B137" s="1">
        <f t="shared" si="50"/>
        <v>0</v>
      </c>
      <c r="C137" s="1">
        <f t="shared" si="79"/>
        <v>0</v>
      </c>
      <c r="D137" s="1">
        <f t="shared" si="84"/>
        <v>2.4428478265002687</v>
      </c>
      <c r="E137">
        <v>227.23</v>
      </c>
      <c r="K137" s="1">
        <f>'Solar Availability and Gener GR'!F137</f>
        <v>2.7894952372473929</v>
      </c>
      <c r="L137" s="1">
        <v>0.39891472868217059</v>
      </c>
      <c r="M137" s="1">
        <f t="shared" si="80"/>
        <v>2.3905805085652223</v>
      </c>
      <c r="N137" s="1" t="str">
        <f t="shared" si="81"/>
        <v>sell the surplus or charge</v>
      </c>
      <c r="O137" s="1">
        <v>0.25</v>
      </c>
      <c r="P137" s="1">
        <f t="shared" si="71"/>
        <v>0.62670034978624167</v>
      </c>
      <c r="Q137" s="1">
        <f t="shared" si="72"/>
        <v>2.5394952372473929</v>
      </c>
      <c r="R137" s="1">
        <f t="shared" si="73"/>
        <v>577.04340218605353</v>
      </c>
      <c r="S137" s="1">
        <f t="shared" si="74"/>
        <v>543.20756474547943</v>
      </c>
      <c r="T137" s="1">
        <f t="shared" si="75"/>
        <v>213.90630611411189</v>
      </c>
      <c r="U137" s="1" t="str">
        <f t="shared" si="76"/>
        <v>sell to the Grid</v>
      </c>
      <c r="W137" s="1">
        <f t="shared" si="77"/>
        <v>0.57704950275972511</v>
      </c>
      <c r="Y137" s="1">
        <f t="shared" si="78"/>
        <v>9.0645393798449617E-2</v>
      </c>
      <c r="AA137" s="1">
        <f t="shared" si="82"/>
        <v>37.555153083907641</v>
      </c>
      <c r="AD137" s="1">
        <f t="shared" si="83"/>
        <v>0.25</v>
      </c>
    </row>
    <row r="138" spans="1:30" ht="15">
      <c r="A138" s="1">
        <v>137</v>
      </c>
      <c r="B138" s="1">
        <f t="shared" si="50"/>
        <v>0</v>
      </c>
      <c r="C138" s="1">
        <f t="shared" si="79"/>
        <v>0</v>
      </c>
      <c r="D138" s="1">
        <f t="shared" si="84"/>
        <v>2.4428478265002687</v>
      </c>
      <c r="E138">
        <v>265.91000000000003</v>
      </c>
      <c r="K138" s="1">
        <f>'Solar Availability and Gener GR'!F138</f>
        <v>2.3678046826315309</v>
      </c>
      <c r="L138" s="1">
        <v>0.66914728682170543</v>
      </c>
      <c r="M138" s="1">
        <f t="shared" si="80"/>
        <v>1.6986573958098254</v>
      </c>
      <c r="N138" s="1" t="str">
        <f t="shared" si="81"/>
        <v>sell the surplus or charge</v>
      </c>
      <c r="O138" s="1">
        <v>0.25</v>
      </c>
      <c r="P138" s="1">
        <f t="shared" si="71"/>
        <v>0.3736098239110287</v>
      </c>
      <c r="Q138" s="1">
        <f t="shared" si="72"/>
        <v>2.1178046826315309</v>
      </c>
      <c r="R138" s="1">
        <f t="shared" si="73"/>
        <v>563.14022995773394</v>
      </c>
      <c r="S138" s="1">
        <f t="shared" si="74"/>
        <v>451.6884773229969</v>
      </c>
      <c r="T138" s="1">
        <f t="shared" si="75"/>
        <v>213.28453032951901</v>
      </c>
      <c r="U138" s="1" t="str">
        <f t="shared" si="76"/>
        <v>sell to the Grid</v>
      </c>
      <c r="W138" s="1">
        <f t="shared" si="77"/>
        <v>0.56314544315855042</v>
      </c>
      <c r="Y138" s="1">
        <f t="shared" si="78"/>
        <v>0.17793295503875969</v>
      </c>
      <c r="AA138" s="1">
        <f t="shared" si="82"/>
        <v>39.253810479717465</v>
      </c>
      <c r="AD138" s="1">
        <f t="shared" si="83"/>
        <v>0.25</v>
      </c>
    </row>
    <row r="139" spans="1:30" ht="15">
      <c r="A139" s="1">
        <v>138</v>
      </c>
      <c r="B139" s="1">
        <f t="shared" si="50"/>
        <v>0</v>
      </c>
      <c r="C139" s="1">
        <f t="shared" si="79"/>
        <v>0</v>
      </c>
      <c r="D139" s="1">
        <f t="shared" si="84"/>
        <v>2.4428478265002687</v>
      </c>
      <c r="E139">
        <v>278.12</v>
      </c>
      <c r="K139" s="1">
        <f>'Solar Availability and Gener GR'!F139</f>
        <v>1.7929226386539647</v>
      </c>
      <c r="L139" s="1">
        <v>0.65627906976744199</v>
      </c>
      <c r="M139" s="1">
        <f t="shared" si="80"/>
        <v>1.1366435688865226</v>
      </c>
      <c r="N139" s="1" t="str">
        <f t="shared" si="81"/>
        <v>sell the surplus or charge</v>
      </c>
      <c r="O139" s="1">
        <v>0.25</v>
      </c>
      <c r="P139" s="1">
        <f t="shared" si="71"/>
        <v>0.38093550673281351</v>
      </c>
      <c r="Q139" s="1">
        <f t="shared" si="72"/>
        <v>1.5429226386539647</v>
      </c>
      <c r="R139" s="1">
        <f t="shared" si="73"/>
        <v>429.11265992288315</v>
      </c>
      <c r="S139" s="1">
        <f t="shared" si="74"/>
        <v>316.12179508982865</v>
      </c>
      <c r="T139" s="1">
        <f t="shared" si="75"/>
        <v>204.88944372873004</v>
      </c>
      <c r="U139" s="1" t="str">
        <f t="shared" si="76"/>
        <v>sell to the Grid</v>
      </c>
      <c r="W139" s="1">
        <f t="shared" si="77"/>
        <v>0.42911764426244065</v>
      </c>
      <c r="Y139" s="1">
        <f t="shared" si="78"/>
        <v>0.18252433488372097</v>
      </c>
      <c r="AA139" s="1">
        <f t="shared" si="82"/>
        <v>40.390454048603985</v>
      </c>
      <c r="AD139" s="1">
        <f t="shared" si="83"/>
        <v>0.25</v>
      </c>
    </row>
    <row r="140" spans="1:30" ht="15">
      <c r="A140" s="1">
        <v>139</v>
      </c>
      <c r="B140" s="1">
        <f t="shared" si="50"/>
        <v>0</v>
      </c>
      <c r="C140" s="1">
        <f t="shared" si="79"/>
        <v>0</v>
      </c>
      <c r="D140" s="1">
        <f t="shared" si="84"/>
        <v>2.4428478265002687</v>
      </c>
      <c r="E140">
        <v>269.14999999999998</v>
      </c>
      <c r="K140" s="1">
        <f>'Solar Availability and Gener GR'!F140</f>
        <v>1.1222825603133602</v>
      </c>
      <c r="L140" s="1">
        <v>0.66914728682170543</v>
      </c>
      <c r="M140" s="1">
        <f t="shared" si="80"/>
        <v>0.45313527349165472</v>
      </c>
      <c r="N140" s="1" t="str">
        <f t="shared" si="81"/>
        <v>sell the surplus or charge</v>
      </c>
      <c r="O140" s="1">
        <v>0.25</v>
      </c>
      <c r="P140" s="1">
        <f t="shared" si="71"/>
        <v>0.3736098239110287</v>
      </c>
      <c r="Q140" s="1">
        <f t="shared" si="72"/>
        <v>0.87228256031336016</v>
      </c>
      <c r="R140" s="1">
        <f t="shared" si="73"/>
        <v>234.76970066116775</v>
      </c>
      <c r="S140" s="1">
        <f t="shared" si="74"/>
        <v>121.95986624962568</v>
      </c>
      <c r="T140" s="1">
        <f t="shared" si="75"/>
        <v>139.82829195632735</v>
      </c>
      <c r="U140" s="1" t="str">
        <f t="shared" si="76"/>
        <v>sell to the Grid</v>
      </c>
      <c r="W140" s="1">
        <f t="shared" si="77"/>
        <v>0.23477485110834087</v>
      </c>
      <c r="Y140" s="1">
        <f t="shared" si="78"/>
        <v>0.180100992248062</v>
      </c>
      <c r="AA140" s="1">
        <f t="shared" si="82"/>
        <v>40.843589322095639</v>
      </c>
      <c r="AD140" s="1">
        <f t="shared" si="83"/>
        <v>0.25</v>
      </c>
    </row>
    <row r="141" spans="1:30" ht="15">
      <c r="A141" s="1">
        <v>140</v>
      </c>
      <c r="B141" s="1">
        <f t="shared" si="50"/>
        <v>0</v>
      </c>
      <c r="C141" s="1">
        <f t="shared" si="79"/>
        <v>0</v>
      </c>
      <c r="D141" s="1">
        <f t="shared" si="84"/>
        <v>2.4428478265002687</v>
      </c>
      <c r="E141">
        <v>295.81</v>
      </c>
      <c r="K141" s="1">
        <f>'Solar Availability and Gener GR'!F141</f>
        <v>0.45164248197275875</v>
      </c>
      <c r="L141" s="1">
        <v>0.65627906976744199</v>
      </c>
      <c r="M141" s="1">
        <f t="shared" si="80"/>
        <v>-0.20463658779468324</v>
      </c>
      <c r="N141" s="1" t="str">
        <f t="shared" si="81"/>
        <v>Buy from Grid</v>
      </c>
      <c r="V141" s="1" t="str">
        <f t="shared" ref="V141:V153" si="85">IF(D141+M141&gt;0,"discharge","buy from the Grid")</f>
        <v>discharge</v>
      </c>
      <c r="Y141" s="1">
        <f t="shared" si="78"/>
        <v>0.19413391162790702</v>
      </c>
      <c r="AA141" s="1">
        <f t="shared" si="82"/>
        <v>40.638952734300958</v>
      </c>
      <c r="AD141" s="1">
        <f t="shared" si="83"/>
        <v>0</v>
      </c>
    </row>
    <row r="142" spans="1:30" ht="15">
      <c r="A142" s="1">
        <v>141</v>
      </c>
      <c r="B142" s="1">
        <f t="shared" si="50"/>
        <v>0</v>
      </c>
      <c r="C142" s="1">
        <f t="shared" si="79"/>
        <v>-0.20463658779468324</v>
      </c>
      <c r="D142" s="1">
        <f t="shared" si="84"/>
        <v>2.1870520917569145</v>
      </c>
      <c r="E142">
        <v>294.83</v>
      </c>
      <c r="K142" s="1">
        <f>'Solar Availability and Gener GR'!F142</f>
        <v>4.91142170390814E-2</v>
      </c>
      <c r="L142" s="1">
        <v>0.39891472868217059</v>
      </c>
      <c r="M142" s="1">
        <f t="shared" si="80"/>
        <v>-0.34980051164308917</v>
      </c>
      <c r="N142" s="1" t="str">
        <f t="shared" si="81"/>
        <v>Buy from Grid</v>
      </c>
      <c r="V142" s="1" t="str">
        <f t="shared" si="85"/>
        <v>discharge</v>
      </c>
      <c r="Y142" s="1">
        <f t="shared" si="78"/>
        <v>0.11761202945736435</v>
      </c>
      <c r="AA142" s="1">
        <f t="shared" si="82"/>
        <v>40.289152222657869</v>
      </c>
      <c r="AD142" s="1">
        <f t="shared" si="83"/>
        <v>0</v>
      </c>
    </row>
    <row r="143" spans="1:30" ht="15">
      <c r="A143" s="1">
        <v>142</v>
      </c>
      <c r="B143" s="1">
        <f t="shared" si="50"/>
        <v>0</v>
      </c>
      <c r="C143" s="1">
        <f t="shared" si="79"/>
        <v>-0.34980051164308917</v>
      </c>
      <c r="D143" s="1">
        <f t="shared" si="84"/>
        <v>1.7498014522030529</v>
      </c>
      <c r="E143">
        <v>265.18</v>
      </c>
      <c r="K143" s="1">
        <f>'Solar Availability and Gener GR'!F143</f>
        <v>0</v>
      </c>
      <c r="L143" s="1">
        <v>0.39891472868217059</v>
      </c>
      <c r="M143" s="1">
        <f t="shared" si="80"/>
        <v>-0.39891472868217059</v>
      </c>
      <c r="N143" s="1" t="str">
        <f t="shared" si="81"/>
        <v>Buy from Grid</v>
      </c>
      <c r="V143" s="1" t="str">
        <f t="shared" si="85"/>
        <v>discharge</v>
      </c>
      <c r="Y143" s="1">
        <f t="shared" si="78"/>
        <v>0.105784207751938</v>
      </c>
      <c r="AA143" s="1">
        <f t="shared" si="82"/>
        <v>39.890237493975697</v>
      </c>
      <c r="AD143" s="1">
        <f t="shared" si="83"/>
        <v>0</v>
      </c>
    </row>
    <row r="144" spans="1:30" ht="15">
      <c r="A144" s="1">
        <v>143</v>
      </c>
      <c r="B144" s="1">
        <f t="shared" ref="B144:B207" si="86">IF(U144="charge",Q144,0)</f>
        <v>0</v>
      </c>
      <c r="C144" s="1">
        <f t="shared" si="79"/>
        <v>-0.39891472868217059</v>
      </c>
      <c r="D144" s="1">
        <f t="shared" si="84"/>
        <v>1.2511580413503398</v>
      </c>
      <c r="E144">
        <v>290.77999999999997</v>
      </c>
      <c r="K144" s="1">
        <f>'Solar Availability and Gener GR'!F144</f>
        <v>0</v>
      </c>
      <c r="L144" s="1">
        <v>0.39891472868217059</v>
      </c>
      <c r="M144" s="1">
        <f t="shared" si="80"/>
        <v>-0.39891472868217059</v>
      </c>
      <c r="N144" s="1" t="str">
        <f t="shared" si="81"/>
        <v>Buy from Grid</v>
      </c>
      <c r="V144" s="1" t="str">
        <f t="shared" si="85"/>
        <v>discharge</v>
      </c>
      <c r="Y144" s="1">
        <f t="shared" si="78"/>
        <v>0.11599642480620156</v>
      </c>
      <c r="AA144" s="1">
        <f t="shared" si="82"/>
        <v>39.491322765293525</v>
      </c>
      <c r="AD144" s="1">
        <f t="shared" si="83"/>
        <v>0</v>
      </c>
    </row>
    <row r="145" spans="1:30" ht="15">
      <c r="A145" s="1">
        <v>144</v>
      </c>
      <c r="B145" s="1">
        <f t="shared" si="86"/>
        <v>0</v>
      </c>
      <c r="C145" s="1">
        <f t="shared" si="79"/>
        <v>-0.39891472868217059</v>
      </c>
      <c r="D145" s="1">
        <f t="shared" si="84"/>
        <v>0.75251463049762657</v>
      </c>
      <c r="E145">
        <v>263.42</v>
      </c>
      <c r="K145" s="1">
        <f>'Solar Availability and Gener GR'!F145</f>
        <v>0</v>
      </c>
      <c r="L145" s="1">
        <v>0.29596899224806206</v>
      </c>
      <c r="M145" s="1">
        <f t="shared" si="80"/>
        <v>-0.29596899224806206</v>
      </c>
      <c r="N145" s="1" t="str">
        <f t="shared" si="81"/>
        <v>Buy from Grid</v>
      </c>
      <c r="V145" s="1" t="str">
        <f t="shared" si="85"/>
        <v>discharge</v>
      </c>
      <c r="Y145" s="1">
        <f t="shared" si="78"/>
        <v>7.7964151937984505E-2</v>
      </c>
      <c r="AA145" s="1">
        <f t="shared" si="82"/>
        <v>39.195353773045461</v>
      </c>
      <c r="AD145" s="1">
        <f t="shared" si="83"/>
        <v>0</v>
      </c>
    </row>
    <row r="146" spans="1:30" ht="15">
      <c r="A146" s="1">
        <v>145</v>
      </c>
      <c r="B146" s="1">
        <f t="shared" si="86"/>
        <v>0</v>
      </c>
      <c r="C146" s="1">
        <f t="shared" si="79"/>
        <v>-0.29596899224806206</v>
      </c>
      <c r="D146" s="1">
        <f t="shared" si="84"/>
        <v>0.38255339018754903</v>
      </c>
      <c r="E146">
        <v>272.58</v>
      </c>
      <c r="K146" s="1">
        <f>'Solar Availability and Gener GR'!F146</f>
        <v>0</v>
      </c>
      <c r="L146" s="1">
        <v>0.29596899224806206</v>
      </c>
      <c r="M146" s="1">
        <f t="shared" si="80"/>
        <v>-0.29596899224806206</v>
      </c>
      <c r="N146" s="1" t="str">
        <f t="shared" si="81"/>
        <v>Buy from Grid</v>
      </c>
      <c r="V146" s="1" t="str">
        <f t="shared" si="85"/>
        <v>discharge</v>
      </c>
      <c r="Y146" s="1">
        <f t="shared" si="78"/>
        <v>8.0675227906976746E-2</v>
      </c>
      <c r="AA146" s="1">
        <f t="shared" si="82"/>
        <v>38.899384780797398</v>
      </c>
      <c r="AD146" s="1">
        <f t="shared" si="83"/>
        <v>0</v>
      </c>
    </row>
    <row r="147" spans="1:30" ht="15">
      <c r="A147" s="1">
        <v>146</v>
      </c>
      <c r="B147" s="1">
        <f t="shared" si="86"/>
        <v>0</v>
      </c>
      <c r="C147" s="1">
        <f t="shared" si="79"/>
        <v>-0.29596899224806206</v>
      </c>
      <c r="D147" s="1">
        <f t="shared" si="84"/>
        <v>1.2592149877471481E-2</v>
      </c>
      <c r="E147">
        <v>311</v>
      </c>
      <c r="K147" s="1">
        <f>'Solar Availability and Gener GR'!F147</f>
        <v>0</v>
      </c>
      <c r="L147" s="1">
        <v>0.29596899224806206</v>
      </c>
      <c r="M147" s="1">
        <f t="shared" si="80"/>
        <v>-0.29596899224806206</v>
      </c>
      <c r="N147" s="1" t="str">
        <f t="shared" si="81"/>
        <v>Buy from Grid</v>
      </c>
      <c r="V147" s="1" t="str">
        <f t="shared" si="85"/>
        <v>buy from the Grid</v>
      </c>
      <c r="X147" s="1">
        <f t="shared" ref="X147:X153" si="87">(M147*E147)/1000</f>
        <v>-9.2046356589147296E-2</v>
      </c>
      <c r="Y147" s="1">
        <f t="shared" si="78"/>
        <v>9.2046356589147296E-2</v>
      </c>
      <c r="AA147" s="1">
        <f t="shared" si="82"/>
        <v>38.603415788549334</v>
      </c>
      <c r="AC147" s="1">
        <f t="shared" ref="AC147:AC153" si="88">L147</f>
        <v>0.29596899224806206</v>
      </c>
      <c r="AD147" s="1">
        <f t="shared" si="83"/>
        <v>0.29596899224806206</v>
      </c>
    </row>
    <row r="148" spans="1:30" ht="15">
      <c r="A148" s="1">
        <v>147</v>
      </c>
      <c r="B148" s="1">
        <f t="shared" si="86"/>
        <v>0</v>
      </c>
      <c r="C148" s="1">
        <f t="shared" si="79"/>
        <v>0</v>
      </c>
      <c r="D148" s="1">
        <f t="shared" si="84"/>
        <v>1.2592149877471481E-2</v>
      </c>
      <c r="E148">
        <v>174.01</v>
      </c>
      <c r="K148" s="1">
        <f>'Solar Availability and Gener GR'!F148</f>
        <v>0</v>
      </c>
      <c r="L148" s="1">
        <v>0.30883720930232561</v>
      </c>
      <c r="M148" s="1">
        <f t="shared" si="80"/>
        <v>-0.30883720930232561</v>
      </c>
      <c r="N148" s="1" t="str">
        <f t="shared" si="81"/>
        <v>Buy from Grid</v>
      </c>
      <c r="V148" s="1" t="str">
        <f t="shared" si="85"/>
        <v>buy from the Grid</v>
      </c>
      <c r="X148" s="1">
        <f t="shared" si="87"/>
        <v>-5.3740762790697678E-2</v>
      </c>
      <c r="Y148" s="1">
        <f t="shared" si="78"/>
        <v>5.3740762790697678E-2</v>
      </c>
      <c r="AA148" s="1">
        <f t="shared" si="82"/>
        <v>38.294578579247009</v>
      </c>
      <c r="AC148" s="1">
        <f t="shared" si="88"/>
        <v>0.30883720930232561</v>
      </c>
      <c r="AD148" s="1">
        <f t="shared" si="83"/>
        <v>0.30883720930232561</v>
      </c>
    </row>
    <row r="149" spans="1:30" ht="15">
      <c r="A149" s="1">
        <v>148</v>
      </c>
      <c r="B149" s="1">
        <f t="shared" si="86"/>
        <v>0</v>
      </c>
      <c r="C149" s="1">
        <f t="shared" si="79"/>
        <v>0</v>
      </c>
      <c r="D149" s="1">
        <f t="shared" si="84"/>
        <v>1.2592149877471481E-2</v>
      </c>
      <c r="E149">
        <v>173.05</v>
      </c>
      <c r="K149" s="1">
        <f>'Solar Availability and Gener GR'!F149</f>
        <v>0</v>
      </c>
      <c r="L149" s="1">
        <v>0.29596899224806206</v>
      </c>
      <c r="M149" s="1">
        <f t="shared" si="80"/>
        <v>-0.29596899224806206</v>
      </c>
      <c r="N149" s="1" t="str">
        <f t="shared" si="81"/>
        <v>Buy from Grid</v>
      </c>
      <c r="V149" s="1" t="str">
        <f t="shared" si="85"/>
        <v>buy from the Grid</v>
      </c>
      <c r="X149" s="1">
        <f t="shared" si="87"/>
        <v>-5.1217434108527145E-2</v>
      </c>
      <c r="Y149" s="1">
        <f t="shared" si="78"/>
        <v>5.1217434108527145E-2</v>
      </c>
      <c r="AA149" s="1">
        <f t="shared" si="82"/>
        <v>37.998609586998946</v>
      </c>
      <c r="AC149" s="1">
        <f t="shared" si="88"/>
        <v>0.29596899224806206</v>
      </c>
      <c r="AD149" s="1">
        <f t="shared" si="83"/>
        <v>0.29596899224806206</v>
      </c>
    </row>
    <row r="150" spans="1:30" ht="15">
      <c r="A150" s="1">
        <v>149</v>
      </c>
      <c r="B150" s="1">
        <f t="shared" si="86"/>
        <v>0</v>
      </c>
      <c r="C150" s="1">
        <f t="shared" si="79"/>
        <v>0</v>
      </c>
      <c r="D150" s="1">
        <f t="shared" si="84"/>
        <v>1.2592149877471481E-2</v>
      </c>
      <c r="E150">
        <v>173.03</v>
      </c>
      <c r="K150" s="1">
        <f>'Solar Availability and Gener GR'!F150</f>
        <v>0</v>
      </c>
      <c r="L150" s="1">
        <v>0.39891472868217059</v>
      </c>
      <c r="M150" s="1">
        <f t="shared" si="80"/>
        <v>-0.39891472868217059</v>
      </c>
      <c r="N150" s="1" t="str">
        <f t="shared" si="81"/>
        <v>Buy from Grid</v>
      </c>
      <c r="V150" s="1" t="str">
        <f t="shared" si="85"/>
        <v>buy from the Grid</v>
      </c>
      <c r="X150" s="1">
        <f t="shared" si="87"/>
        <v>-6.9024215503875982E-2</v>
      </c>
      <c r="Y150" s="1">
        <f t="shared" si="78"/>
        <v>6.9024215503875982E-2</v>
      </c>
      <c r="AA150" s="1">
        <f t="shared" si="82"/>
        <v>37.599694858316774</v>
      </c>
      <c r="AC150" s="1">
        <f t="shared" si="88"/>
        <v>0.39891472868217059</v>
      </c>
      <c r="AD150" s="1">
        <f t="shared" si="83"/>
        <v>0.39891472868217059</v>
      </c>
    </row>
    <row r="151" spans="1:30" ht="15">
      <c r="A151" s="1">
        <v>150</v>
      </c>
      <c r="B151" s="1">
        <f t="shared" si="86"/>
        <v>0</v>
      </c>
      <c r="C151" s="1">
        <f t="shared" si="79"/>
        <v>0</v>
      </c>
      <c r="D151" s="1">
        <f t="shared" si="84"/>
        <v>1.2592149877471481E-2</v>
      </c>
      <c r="E151">
        <v>264.45999999999998</v>
      </c>
      <c r="K151" s="1">
        <f>'Solar Availability and Gener GR'!F151</f>
        <v>0</v>
      </c>
      <c r="L151" s="1">
        <v>0.66914728682170543</v>
      </c>
      <c r="M151" s="1">
        <f t="shared" si="80"/>
        <v>-0.66914728682170543</v>
      </c>
      <c r="N151" s="1" t="str">
        <f t="shared" si="81"/>
        <v>Buy from Grid</v>
      </c>
      <c r="V151" s="1" t="str">
        <f t="shared" si="85"/>
        <v>buy from the Grid</v>
      </c>
      <c r="X151" s="1">
        <f t="shared" si="87"/>
        <v>-0.17696269147286822</v>
      </c>
      <c r="Y151" s="1">
        <f t="shared" si="78"/>
        <v>0.17696269147286822</v>
      </c>
      <c r="AA151" s="1">
        <f t="shared" si="82"/>
        <v>36.930547571495069</v>
      </c>
      <c r="AC151" s="1">
        <f t="shared" si="88"/>
        <v>0.66914728682170543</v>
      </c>
      <c r="AD151" s="1">
        <f t="shared" si="83"/>
        <v>0.66914728682170543</v>
      </c>
    </row>
    <row r="152" spans="1:30" ht="15">
      <c r="A152" s="1">
        <v>151</v>
      </c>
      <c r="B152" s="1">
        <f t="shared" si="86"/>
        <v>0</v>
      </c>
      <c r="C152" s="1">
        <f t="shared" si="79"/>
        <v>0</v>
      </c>
      <c r="D152" s="1">
        <f t="shared" si="84"/>
        <v>1.2592149877471481E-2</v>
      </c>
      <c r="E152">
        <v>339.1</v>
      </c>
      <c r="K152" s="1">
        <f>'Solar Availability and Gener GR'!F152</f>
        <v>5.3999999999999999E-2</v>
      </c>
      <c r="L152" s="1">
        <v>0.66914728682170543</v>
      </c>
      <c r="M152" s="1">
        <f t="shared" si="80"/>
        <v>-0.61514728682170539</v>
      </c>
      <c r="N152" s="1" t="str">
        <f t="shared" si="81"/>
        <v>Buy from Grid</v>
      </c>
      <c r="V152" s="1" t="str">
        <f t="shared" si="85"/>
        <v>buy from the Grid</v>
      </c>
      <c r="X152" s="1">
        <f t="shared" si="87"/>
        <v>-0.2085964449612403</v>
      </c>
      <c r="Y152" s="1">
        <f t="shared" si="78"/>
        <v>0.22690784496124033</v>
      </c>
      <c r="AA152" s="1">
        <f t="shared" si="82"/>
        <v>36.315400284673366</v>
      </c>
      <c r="AC152" s="1">
        <f t="shared" si="88"/>
        <v>0.66914728682170543</v>
      </c>
      <c r="AD152" s="1">
        <f t="shared" si="83"/>
        <v>0.66914728682170543</v>
      </c>
    </row>
    <row r="153" spans="1:30" ht="15">
      <c r="A153" s="1">
        <v>152</v>
      </c>
      <c r="B153" s="1">
        <f t="shared" si="86"/>
        <v>0</v>
      </c>
      <c r="C153" s="1">
        <f t="shared" si="79"/>
        <v>0</v>
      </c>
      <c r="D153" s="1">
        <f t="shared" si="84"/>
        <v>1.2592149877471481E-2</v>
      </c>
      <c r="E153">
        <v>344.1</v>
      </c>
      <c r="K153" s="1">
        <f>'Solar Availability and Gener GR'!F153</f>
        <v>0.33119999999999994</v>
      </c>
      <c r="L153" s="1">
        <v>0.66914728682170543</v>
      </c>
      <c r="M153" s="1">
        <f t="shared" si="80"/>
        <v>-0.33794728682170549</v>
      </c>
      <c r="N153" s="1" t="str">
        <f t="shared" si="81"/>
        <v>Buy from Grid</v>
      </c>
      <c r="V153" s="1" t="str">
        <f t="shared" si="85"/>
        <v>buy from the Grid</v>
      </c>
      <c r="X153" s="1">
        <f t="shared" si="87"/>
        <v>-0.11628766139534887</v>
      </c>
      <c r="Y153" s="1">
        <f t="shared" si="78"/>
        <v>0.23025358139534885</v>
      </c>
      <c r="AA153" s="1">
        <f t="shared" si="82"/>
        <v>35.977452997851664</v>
      </c>
      <c r="AC153" s="1">
        <f t="shared" si="88"/>
        <v>0.66914728682170543</v>
      </c>
      <c r="AD153" s="1">
        <f t="shared" si="83"/>
        <v>0.66914728682170543</v>
      </c>
    </row>
    <row r="154" spans="1:30" ht="15">
      <c r="A154" s="1">
        <v>153</v>
      </c>
      <c r="B154" s="1">
        <f t="shared" si="86"/>
        <v>0</v>
      </c>
      <c r="C154" s="1">
        <f t="shared" si="79"/>
        <v>0</v>
      </c>
      <c r="D154" s="1">
        <f t="shared" si="84"/>
        <v>1.2592149877471481E-2</v>
      </c>
      <c r="E154">
        <v>204.99</v>
      </c>
      <c r="K154" s="1">
        <f>'Solar Availability and Gener GR'!F154</f>
        <v>0.68602332413424605</v>
      </c>
      <c r="L154" s="1">
        <v>0.39891472868217059</v>
      </c>
      <c r="M154" s="1">
        <f t="shared" si="80"/>
        <v>0.28710859545207545</v>
      </c>
      <c r="N154" s="1" t="str">
        <f t="shared" si="81"/>
        <v>sell the surplus or charge</v>
      </c>
      <c r="O154" s="1">
        <v>0.25</v>
      </c>
      <c r="P154" s="1">
        <f t="shared" ref="P154:P165" si="89">0.25/L154</f>
        <v>0.62670034978624167</v>
      </c>
      <c r="Q154" s="1">
        <f t="shared" ref="Q154:Q165" si="90">K154-P154*L154</f>
        <v>0.43602332413424605</v>
      </c>
      <c r="R154" s="1">
        <f t="shared" ref="R154:R165" si="91">((1/(E154+0.01))*LN(0.25))+(E154*(K154-0.25))</f>
        <v>89.37365880276144</v>
      </c>
      <c r="S154" s="1">
        <f t="shared" ref="S154:S165" si="92">((1/(E154+0.01))*LN(L154))+(E154*(K154-L154))</f>
        <v>58.849908017830664</v>
      </c>
      <c r="T154" s="1">
        <f t="shared" ref="T154:T165" si="93">(S154+((S154^2)-4*(K154-L154*P154)*LN(L154*P154))^(0.5))/(2*(K154-L154*P154))</f>
        <v>134.99318528478281</v>
      </c>
      <c r="U154" s="1" t="str">
        <f t="shared" ref="U154:U165" si="94">IF(E154&gt;=T154*1.05,"sell to the Grid","charge")</f>
        <v>sell to the Grid</v>
      </c>
      <c r="W154" s="1">
        <f t="shared" ref="W154:W165" si="95">(Q154*E154)/1000</f>
        <v>8.9380421214279096E-2</v>
      </c>
      <c r="Y154" s="1">
        <f t="shared" si="78"/>
        <v>8.1773530232558164E-2</v>
      </c>
      <c r="AA154" s="1">
        <f t="shared" si="82"/>
        <v>36.264561593303739</v>
      </c>
      <c r="AD154" s="1">
        <f t="shared" si="83"/>
        <v>0.25</v>
      </c>
    </row>
    <row r="155" spans="1:30" ht="15">
      <c r="A155" s="1">
        <v>154</v>
      </c>
      <c r="B155" s="1">
        <f t="shared" si="86"/>
        <v>0</v>
      </c>
      <c r="C155" s="1">
        <f t="shared" si="79"/>
        <v>0</v>
      </c>
      <c r="D155" s="1">
        <f t="shared" si="84"/>
        <v>1.2592149877471481E-2</v>
      </c>
      <c r="E155">
        <v>206.09</v>
      </c>
      <c r="K155" s="1">
        <f>'Solar Availability and Gener GR'!F155</f>
        <v>1.2600640968574714</v>
      </c>
      <c r="L155" s="1">
        <v>0.39891472868217059</v>
      </c>
      <c r="M155" s="1">
        <f t="shared" si="80"/>
        <v>0.86114936817530086</v>
      </c>
      <c r="N155" s="1" t="str">
        <f t="shared" si="81"/>
        <v>sell the surplus or charge</v>
      </c>
      <c r="O155" s="1">
        <v>0.25</v>
      </c>
      <c r="P155" s="1">
        <f t="shared" si="89"/>
        <v>0.62670034978624167</v>
      </c>
      <c r="Q155" s="1">
        <f t="shared" si="90"/>
        <v>1.0100640968574714</v>
      </c>
      <c r="R155" s="1">
        <f t="shared" si="91"/>
        <v>208.15738340228245</v>
      </c>
      <c r="S155" s="1">
        <f t="shared" si="92"/>
        <v>177.46981424989934</v>
      </c>
      <c r="T155" s="1">
        <f t="shared" si="93"/>
        <v>175.70934805412799</v>
      </c>
      <c r="U155" s="1" t="str">
        <f t="shared" si="94"/>
        <v>sell to the Grid</v>
      </c>
      <c r="W155" s="1">
        <f t="shared" si="95"/>
        <v>0.20816410972135629</v>
      </c>
      <c r="Y155" s="1">
        <f t="shared" si="78"/>
        <v>8.2212336434108538E-2</v>
      </c>
      <c r="AA155" s="1">
        <f t="shared" si="82"/>
        <v>37.125710961479037</v>
      </c>
      <c r="AD155" s="1">
        <f t="shared" si="83"/>
        <v>0.25</v>
      </c>
    </row>
    <row r="156" spans="1:30" ht="15">
      <c r="A156" s="1">
        <v>155</v>
      </c>
      <c r="B156" s="1">
        <f t="shared" si="86"/>
        <v>0</v>
      </c>
      <c r="C156" s="1">
        <f t="shared" si="79"/>
        <v>0</v>
      </c>
      <c r="D156" s="1">
        <f t="shared" si="84"/>
        <v>1.2592149877471481E-2</v>
      </c>
      <c r="E156">
        <v>186.39</v>
      </c>
      <c r="K156" s="1">
        <f>'Solar Availability and Gener GR'!F156</f>
        <v>2.2266981216059798</v>
      </c>
      <c r="L156" s="1">
        <v>0.39891472868217059</v>
      </c>
      <c r="M156" s="1">
        <f t="shared" si="80"/>
        <v>1.8277833929238092</v>
      </c>
      <c r="N156" s="1" t="str">
        <f t="shared" si="81"/>
        <v>sell the surplus or charge</v>
      </c>
      <c r="O156" s="1">
        <v>0.25</v>
      </c>
      <c r="P156" s="1">
        <f t="shared" si="89"/>
        <v>0.62670034978624167</v>
      </c>
      <c r="Q156" s="1">
        <f t="shared" si="90"/>
        <v>1.9766981216059798</v>
      </c>
      <c r="R156" s="1">
        <f t="shared" si="91"/>
        <v>368.42932568463038</v>
      </c>
      <c r="S156" s="1">
        <f t="shared" si="92"/>
        <v>340.67561630879891</v>
      </c>
      <c r="T156" s="1">
        <f t="shared" si="93"/>
        <v>172.34986772869743</v>
      </c>
      <c r="U156" s="1" t="str">
        <f t="shared" si="94"/>
        <v>sell to the Grid</v>
      </c>
      <c r="W156" s="1">
        <f t="shared" si="95"/>
        <v>0.36843676288613852</v>
      </c>
      <c r="Y156" s="1">
        <f t="shared" si="78"/>
        <v>7.4353716279069768E-2</v>
      </c>
      <c r="AA156" s="1">
        <f t="shared" si="82"/>
        <v>38.953494354402849</v>
      </c>
      <c r="AD156" s="1">
        <f t="shared" si="83"/>
        <v>0.25</v>
      </c>
    </row>
    <row r="157" spans="1:30" ht="15">
      <c r="A157" s="1">
        <v>156</v>
      </c>
      <c r="B157" s="1">
        <f t="shared" si="86"/>
        <v>0</v>
      </c>
      <c r="C157" s="1">
        <f t="shared" si="79"/>
        <v>0</v>
      </c>
      <c r="D157" s="1">
        <f t="shared" si="84"/>
        <v>1.2592149877471481E-2</v>
      </c>
      <c r="E157">
        <v>178.54</v>
      </c>
      <c r="K157" s="1">
        <f>'Solar Availability and Gener GR'!F157</f>
        <v>2.9060179827294559</v>
      </c>
      <c r="L157" s="1">
        <v>0.39891472868217059</v>
      </c>
      <c r="M157" s="1">
        <f t="shared" si="80"/>
        <v>2.5071032540472853</v>
      </c>
      <c r="N157" s="1" t="str">
        <f t="shared" si="81"/>
        <v>sell the surplus or charge</v>
      </c>
      <c r="O157" s="1">
        <v>0.25</v>
      </c>
      <c r="P157" s="1">
        <f t="shared" si="89"/>
        <v>0.62670034978624167</v>
      </c>
      <c r="Q157" s="1">
        <f t="shared" si="90"/>
        <v>2.6560179827294559</v>
      </c>
      <c r="R157" s="1">
        <f t="shared" si="91"/>
        <v>474.19768645639311</v>
      </c>
      <c r="S157" s="1">
        <f t="shared" si="92"/>
        <v>447.61306791740901</v>
      </c>
      <c r="T157" s="1">
        <f t="shared" si="93"/>
        <v>168.53097252438292</v>
      </c>
      <c r="U157" s="1" t="str">
        <f t="shared" si="94"/>
        <v>sell to the Grid</v>
      </c>
      <c r="W157" s="1">
        <f t="shared" si="95"/>
        <v>0.47420545063651703</v>
      </c>
      <c r="Y157" s="1">
        <f t="shared" si="78"/>
        <v>7.1222235658914737E-2</v>
      </c>
      <c r="AA157" s="1">
        <f t="shared" si="82"/>
        <v>41.460597608450136</v>
      </c>
      <c r="AD157" s="1">
        <f t="shared" si="83"/>
        <v>0.25</v>
      </c>
    </row>
    <row r="158" spans="1:30" ht="15">
      <c r="A158" s="1">
        <v>157</v>
      </c>
      <c r="B158" s="1">
        <f t="shared" si="86"/>
        <v>0</v>
      </c>
      <c r="C158" s="1">
        <f t="shared" si="79"/>
        <v>0</v>
      </c>
      <c r="D158" s="1">
        <f t="shared" si="84"/>
        <v>1.2592149877471481E-2</v>
      </c>
      <c r="E158">
        <v>165</v>
      </c>
      <c r="K158" s="1">
        <f>'Solar Availability and Gener GR'!F158</f>
        <v>3.173729190777173</v>
      </c>
      <c r="L158" s="1">
        <v>0.39891472868217059</v>
      </c>
      <c r="M158" s="1">
        <f t="shared" si="80"/>
        <v>2.7748144620950024</v>
      </c>
      <c r="N158" s="1" t="str">
        <f t="shared" si="81"/>
        <v>sell the surplus or charge</v>
      </c>
      <c r="O158" s="1">
        <v>0.25</v>
      </c>
      <c r="P158" s="1">
        <f t="shared" si="89"/>
        <v>0.62670034978624167</v>
      </c>
      <c r="Q158" s="1">
        <f t="shared" si="90"/>
        <v>2.923729190777173</v>
      </c>
      <c r="R158" s="1">
        <f t="shared" si="91"/>
        <v>482.40691520339493</v>
      </c>
      <c r="S158" s="1">
        <f t="shared" si="92"/>
        <v>457.83881684019991</v>
      </c>
      <c r="T158" s="1">
        <f t="shared" si="93"/>
        <v>156.59715369665</v>
      </c>
      <c r="U158" s="1" t="str">
        <f t="shared" si="94"/>
        <v>sell to the Grid</v>
      </c>
      <c r="W158" s="1">
        <f t="shared" si="95"/>
        <v>0.48241531647823355</v>
      </c>
      <c r="Y158" s="1">
        <f t="shared" si="78"/>
        <v>6.5820930232558153E-2</v>
      </c>
      <c r="AA158" s="1">
        <f t="shared" si="82"/>
        <v>44.235412070545138</v>
      </c>
      <c r="AD158" s="1">
        <f t="shared" si="83"/>
        <v>0.25</v>
      </c>
    </row>
    <row r="159" spans="1:30" ht="15">
      <c r="A159" s="1">
        <v>158</v>
      </c>
      <c r="B159" s="1">
        <f t="shared" si="86"/>
        <v>0</v>
      </c>
      <c r="C159" s="1">
        <f t="shared" si="79"/>
        <v>0</v>
      </c>
      <c r="D159" s="1">
        <f t="shared" si="84"/>
        <v>1.2592149877471481E-2</v>
      </c>
      <c r="E159">
        <v>163.94</v>
      </c>
      <c r="K159" s="1">
        <f>'Solar Availability and Gener GR'!F159</f>
        <v>3.2690465592450799</v>
      </c>
      <c r="L159" s="1">
        <v>0.39891472868217059</v>
      </c>
      <c r="M159" s="1">
        <f t="shared" si="80"/>
        <v>2.8701318305629093</v>
      </c>
      <c r="N159" s="1" t="str">
        <f t="shared" si="81"/>
        <v>sell the surplus or charge</v>
      </c>
      <c r="O159" s="1">
        <v>0.25</v>
      </c>
      <c r="P159" s="1">
        <f t="shared" si="89"/>
        <v>0.62670034978624167</v>
      </c>
      <c r="Q159" s="1">
        <f t="shared" si="90"/>
        <v>3.0190465592450799</v>
      </c>
      <c r="R159" s="1">
        <f t="shared" si="91"/>
        <v>494.93403733031681</v>
      </c>
      <c r="S159" s="1">
        <f t="shared" si="92"/>
        <v>470.52380688865287</v>
      </c>
      <c r="T159" s="1">
        <f t="shared" si="93"/>
        <v>155.85473507613597</v>
      </c>
      <c r="U159" s="1" t="str">
        <f t="shared" si="94"/>
        <v>sell to the Grid</v>
      </c>
      <c r="W159" s="1">
        <f t="shared" si="95"/>
        <v>0.49494249292263837</v>
      </c>
      <c r="Y159" s="1">
        <f t="shared" si="78"/>
        <v>6.5398080620155036E-2</v>
      </c>
      <c r="AA159" s="1">
        <f t="shared" si="82"/>
        <v>47.105543901108049</v>
      </c>
      <c r="AD159" s="1">
        <f t="shared" si="83"/>
        <v>0.25</v>
      </c>
    </row>
    <row r="160" spans="1:30" ht="15">
      <c r="A160" s="1">
        <v>159</v>
      </c>
      <c r="B160" s="1">
        <f t="shared" si="86"/>
        <v>0</v>
      </c>
      <c r="C160" s="1">
        <f t="shared" si="79"/>
        <v>0</v>
      </c>
      <c r="D160" s="1">
        <f t="shared" si="84"/>
        <v>1.2592149877471481E-2</v>
      </c>
      <c r="E160">
        <v>177.44</v>
      </c>
      <c r="K160" s="1">
        <f>'Solar Availability and Gener GR'!F160</f>
        <v>3.1728745660108606</v>
      </c>
      <c r="L160" s="1">
        <v>0.39891472868217059</v>
      </c>
      <c r="M160" s="1">
        <f t="shared" si="80"/>
        <v>2.77395983732869</v>
      </c>
      <c r="N160" s="1" t="str">
        <f t="shared" si="81"/>
        <v>sell the surplus or charge</v>
      </c>
      <c r="O160" s="1">
        <v>0.25</v>
      </c>
      <c r="P160" s="1">
        <f t="shared" si="89"/>
        <v>0.62670034978624167</v>
      </c>
      <c r="Q160" s="1">
        <f t="shared" si="90"/>
        <v>2.9228745660108606</v>
      </c>
      <c r="R160" s="1">
        <f t="shared" si="91"/>
        <v>518.62705068323976</v>
      </c>
      <c r="S160" s="1">
        <f t="shared" si="92"/>
        <v>492.20625456914735</v>
      </c>
      <c r="T160" s="1">
        <f t="shared" si="93"/>
        <v>168.40082445016012</v>
      </c>
      <c r="U160" s="1" t="str">
        <f t="shared" si="94"/>
        <v>sell to the Grid</v>
      </c>
      <c r="W160" s="1">
        <f t="shared" si="95"/>
        <v>0.51863486299296713</v>
      </c>
      <c r="Y160" s="1">
        <f t="shared" si="78"/>
        <v>7.078342945736435E-2</v>
      </c>
      <c r="AA160" s="1">
        <f t="shared" si="82"/>
        <v>49.879503738436739</v>
      </c>
      <c r="AD160" s="1">
        <f t="shared" si="83"/>
        <v>0.25</v>
      </c>
    </row>
    <row r="161" spans="1:30" ht="15">
      <c r="A161" s="1">
        <v>160</v>
      </c>
      <c r="B161" s="1">
        <f t="shared" si="86"/>
        <v>0</v>
      </c>
      <c r="C161" s="1">
        <f t="shared" si="79"/>
        <v>0</v>
      </c>
      <c r="D161" s="1">
        <f t="shared" si="84"/>
        <v>1.2592149877471481E-2</v>
      </c>
      <c r="E161">
        <v>216</v>
      </c>
      <c r="K161" s="1">
        <f>'Solar Availability and Gener GR'!F161</f>
        <v>2.9426733730971213</v>
      </c>
      <c r="L161" s="1">
        <v>0.66914728682170543</v>
      </c>
      <c r="M161" s="1">
        <f t="shared" si="80"/>
        <v>2.2735260862754156</v>
      </c>
      <c r="N161" s="1" t="str">
        <f t="shared" si="81"/>
        <v>sell the surplus or charge</v>
      </c>
      <c r="O161" s="1">
        <v>0.25</v>
      </c>
      <c r="P161" s="1">
        <f t="shared" si="89"/>
        <v>0.3736098239110287</v>
      </c>
      <c r="Q161" s="1">
        <f t="shared" si="90"/>
        <v>2.6926733730971213</v>
      </c>
      <c r="R161" s="1">
        <f t="shared" si="91"/>
        <v>581.61103085664581</v>
      </c>
      <c r="S161" s="1">
        <f t="shared" si="92"/>
        <v>491.0797747628755</v>
      </c>
      <c r="T161" s="1">
        <f t="shared" si="93"/>
        <v>182.37911097496669</v>
      </c>
      <c r="U161" s="1" t="str">
        <f t="shared" si="94"/>
        <v>sell to the Grid</v>
      </c>
      <c r="W161" s="1">
        <f t="shared" si="95"/>
        <v>0.58161744858897813</v>
      </c>
      <c r="Y161" s="1">
        <f t="shared" si="78"/>
        <v>0.14453581395348838</v>
      </c>
      <c r="AA161" s="1">
        <f t="shared" si="82"/>
        <v>52.153029824712156</v>
      </c>
      <c r="AD161" s="1">
        <f t="shared" si="83"/>
        <v>0.25</v>
      </c>
    </row>
    <row r="162" spans="1:30" ht="15">
      <c r="A162" s="1">
        <v>161</v>
      </c>
      <c r="B162" s="1">
        <f t="shared" si="86"/>
        <v>0</v>
      </c>
      <c r="C162" s="1">
        <f t="shared" si="79"/>
        <v>0</v>
      </c>
      <c r="D162" s="1">
        <f t="shared" si="84"/>
        <v>1.2592149877471481E-2</v>
      </c>
      <c r="E162">
        <v>329.94</v>
      </c>
      <c r="K162" s="1">
        <f>'Solar Availability and Gener GR'!F162</f>
        <v>2.5114083503961528</v>
      </c>
      <c r="L162" s="1">
        <v>0.66914728682170543</v>
      </c>
      <c r="M162" s="1">
        <f t="shared" si="80"/>
        <v>1.8422610635744474</v>
      </c>
      <c r="N162" s="1" t="str">
        <f t="shared" si="81"/>
        <v>sell the surplus or charge</v>
      </c>
      <c r="O162" s="1">
        <v>0.25</v>
      </c>
      <c r="P162" s="1">
        <f t="shared" si="89"/>
        <v>0.3736098239110287</v>
      </c>
      <c r="Q162" s="1">
        <f t="shared" si="90"/>
        <v>2.2614083503961528</v>
      </c>
      <c r="R162" s="1">
        <f t="shared" si="91"/>
        <v>746.124869601108</v>
      </c>
      <c r="S162" s="1">
        <f t="shared" si="92"/>
        <v>607.83439770374105</v>
      </c>
      <c r="T162" s="1">
        <f t="shared" si="93"/>
        <v>268.78805642135336</v>
      </c>
      <c r="U162" s="1" t="str">
        <f t="shared" si="94"/>
        <v>sell to the Grid</v>
      </c>
      <c r="W162" s="1">
        <f t="shared" si="95"/>
        <v>0.74612907112970661</v>
      </c>
      <c r="Y162" s="1">
        <f t="shared" si="78"/>
        <v>0.22077845581395347</v>
      </c>
      <c r="AA162" s="1">
        <f t="shared" si="82"/>
        <v>53.995290888286604</v>
      </c>
      <c r="AD162" s="1">
        <f t="shared" si="83"/>
        <v>0.25</v>
      </c>
    </row>
    <row r="163" spans="1:30" ht="15">
      <c r="A163" s="1">
        <v>162</v>
      </c>
      <c r="B163" s="1">
        <f t="shared" si="86"/>
        <v>0</v>
      </c>
      <c r="C163" s="1">
        <f t="shared" si="79"/>
        <v>0</v>
      </c>
      <c r="D163" s="1">
        <f t="shared" si="84"/>
        <v>1.2592149877471481E-2</v>
      </c>
      <c r="E163">
        <v>344.1</v>
      </c>
      <c r="K163" s="1">
        <f>'Solar Availability and Gener GR'!F163</f>
        <v>1.8790794979079473</v>
      </c>
      <c r="L163" s="1">
        <v>0.66914728682170543</v>
      </c>
      <c r="M163" s="1">
        <f t="shared" si="80"/>
        <v>1.2099322110862418</v>
      </c>
      <c r="N163" s="1" t="str">
        <f t="shared" si="81"/>
        <v>sell the surplus or charge</v>
      </c>
      <c r="O163" s="1">
        <v>0.25</v>
      </c>
      <c r="P163" s="1">
        <f t="shared" si="89"/>
        <v>0.3736098239110287</v>
      </c>
      <c r="Q163" s="1">
        <f t="shared" si="90"/>
        <v>1.6290794979079473</v>
      </c>
      <c r="R163" s="1">
        <f t="shared" si="91"/>
        <v>560.56222659288335</v>
      </c>
      <c r="S163" s="1">
        <f t="shared" si="92"/>
        <v>416.33650632705036</v>
      </c>
      <c r="T163" s="1">
        <f t="shared" si="93"/>
        <v>255.56882350443973</v>
      </c>
      <c r="U163" s="1" t="str">
        <f t="shared" si="94"/>
        <v>sell to the Grid</v>
      </c>
      <c r="W163" s="1">
        <f t="shared" si="95"/>
        <v>0.56056625523012471</v>
      </c>
      <c r="Y163" s="1">
        <f t="shared" si="78"/>
        <v>0.23025358139534885</v>
      </c>
      <c r="AA163" s="1">
        <f t="shared" si="82"/>
        <v>55.205223099372844</v>
      </c>
      <c r="AD163" s="1">
        <f t="shared" si="83"/>
        <v>0.25</v>
      </c>
    </row>
    <row r="164" spans="1:30" ht="15">
      <c r="A164" s="1">
        <v>163</v>
      </c>
      <c r="B164" s="1">
        <f t="shared" si="86"/>
        <v>0</v>
      </c>
      <c r="C164" s="1">
        <f t="shared" si="79"/>
        <v>0</v>
      </c>
      <c r="D164" s="1">
        <f t="shared" si="84"/>
        <v>1.2592149877471481E-2</v>
      </c>
      <c r="E164">
        <v>290</v>
      </c>
      <c r="K164" s="1">
        <f>'Solar Availability and Gener GR'!F164</f>
        <v>1.2276017092495295</v>
      </c>
      <c r="L164" s="1">
        <v>0.65627906976744199</v>
      </c>
      <c r="M164" s="1">
        <f t="shared" si="80"/>
        <v>0.5713226394820875</v>
      </c>
      <c r="N164" s="1" t="str">
        <f t="shared" si="81"/>
        <v>sell the surplus or charge</v>
      </c>
      <c r="O164" s="1">
        <v>0.25</v>
      </c>
      <c r="P164" s="1">
        <f t="shared" si="89"/>
        <v>0.38093550673281351</v>
      </c>
      <c r="Q164" s="1">
        <f t="shared" si="90"/>
        <v>0.97760170924952949</v>
      </c>
      <c r="R164" s="1">
        <f t="shared" si="91"/>
        <v>283.49971552181347</v>
      </c>
      <c r="S164" s="1">
        <f t="shared" si="92"/>
        <v>165.68211319240297</v>
      </c>
      <c r="T164" s="1">
        <f t="shared" si="93"/>
        <v>169.48650048783492</v>
      </c>
      <c r="U164" s="1" t="str">
        <f t="shared" si="94"/>
        <v>sell to the Grid</v>
      </c>
      <c r="W164" s="1">
        <f t="shared" si="95"/>
        <v>0.28350449568236352</v>
      </c>
      <c r="Y164" s="1">
        <f t="shared" si="78"/>
        <v>0.19032093023255817</v>
      </c>
      <c r="AA164" s="1">
        <f t="shared" si="82"/>
        <v>55.776545738854935</v>
      </c>
      <c r="AD164" s="1">
        <f t="shared" si="83"/>
        <v>0.25</v>
      </c>
    </row>
    <row r="165" spans="1:30" ht="15">
      <c r="A165" s="1">
        <v>164</v>
      </c>
      <c r="B165" s="1">
        <f t="shared" si="86"/>
        <v>0</v>
      </c>
      <c r="C165" s="1">
        <f t="shared" si="79"/>
        <v>0</v>
      </c>
      <c r="D165" s="1">
        <f t="shared" si="84"/>
        <v>1.2592149877471481E-2</v>
      </c>
      <c r="E165">
        <v>298.2</v>
      </c>
      <c r="K165" s="1">
        <f>'Solar Availability and Gener GR'!F165</f>
        <v>0.48992700080121115</v>
      </c>
      <c r="L165" s="1">
        <v>0.39891472868217059</v>
      </c>
      <c r="M165" s="1">
        <f t="shared" si="80"/>
        <v>9.101227211904056E-2</v>
      </c>
      <c r="N165" s="1" t="str">
        <f t="shared" si="81"/>
        <v>sell the surplus or charge</v>
      </c>
      <c r="O165" s="1">
        <v>0.25</v>
      </c>
      <c r="P165" s="1">
        <f t="shared" si="89"/>
        <v>0.62670034978624167</v>
      </c>
      <c r="Q165" s="1">
        <f t="shared" si="90"/>
        <v>0.23992700080121115</v>
      </c>
      <c r="R165" s="1">
        <f t="shared" si="91"/>
        <v>71.541582920363368</v>
      </c>
      <c r="S165" s="1">
        <f t="shared" si="92"/>
        <v>27.136777799485944</v>
      </c>
      <c r="T165" s="1">
        <f t="shared" si="93"/>
        <v>113.15537207304413</v>
      </c>
      <c r="U165" s="1" t="str">
        <f t="shared" si="94"/>
        <v>sell to the Grid</v>
      </c>
      <c r="W165" s="1">
        <f t="shared" si="95"/>
        <v>7.1546231638921154E-2</v>
      </c>
      <c r="Y165" s="1">
        <f t="shared" si="78"/>
        <v>0.11895637209302326</v>
      </c>
      <c r="AA165" s="1">
        <f t="shared" si="82"/>
        <v>55.867558010973973</v>
      </c>
      <c r="AD165" s="1">
        <f t="shared" si="83"/>
        <v>0.25</v>
      </c>
    </row>
    <row r="166" spans="1:30" ht="15">
      <c r="A166" s="1">
        <v>165</v>
      </c>
      <c r="B166" s="1">
        <f t="shared" si="86"/>
        <v>0</v>
      </c>
      <c r="C166" s="1">
        <f t="shared" si="79"/>
        <v>0</v>
      </c>
      <c r="D166" s="1">
        <f t="shared" si="84"/>
        <v>1.2592149877471481E-2</v>
      </c>
      <c r="E166">
        <v>263</v>
      </c>
      <c r="K166" s="1">
        <f>'Solar Availability and Gener GR'!F166</f>
        <v>6.8263153209294117E-2</v>
      </c>
      <c r="L166" s="1">
        <v>0.39891472868217059</v>
      </c>
      <c r="M166" s="1">
        <f t="shared" si="80"/>
        <v>-0.33065157547287649</v>
      </c>
      <c r="N166" s="1" t="str">
        <f t="shared" si="81"/>
        <v>Buy from Grid</v>
      </c>
      <c r="V166" s="1" t="str">
        <f t="shared" ref="V166:V177" si="96">IF(D166+M166&gt;0,"discharge","buy from the Grid")</f>
        <v>buy from the Grid</v>
      </c>
      <c r="X166" s="1">
        <f t="shared" ref="X166:X177" si="97">(M166*E166)/1000</f>
        <v>-8.6961364349366521E-2</v>
      </c>
      <c r="Y166" s="1">
        <f t="shared" si="78"/>
        <v>0.10491457364341086</v>
      </c>
      <c r="AA166" s="1">
        <f t="shared" si="82"/>
        <v>55.536906435501095</v>
      </c>
      <c r="AC166" s="1">
        <f t="shared" ref="AC166:AC177" si="98">L166</f>
        <v>0.39891472868217059</v>
      </c>
      <c r="AD166" s="1">
        <f t="shared" si="83"/>
        <v>0.39891472868217059</v>
      </c>
    </row>
    <row r="167" spans="1:30" ht="15">
      <c r="A167" s="1">
        <v>166</v>
      </c>
      <c r="B167" s="1">
        <f t="shared" si="86"/>
        <v>0</v>
      </c>
      <c r="C167" s="1">
        <f t="shared" si="79"/>
        <v>0</v>
      </c>
      <c r="D167" s="1">
        <f t="shared" si="84"/>
        <v>1.2592149877471481E-2</v>
      </c>
      <c r="E167">
        <v>210</v>
      </c>
      <c r="K167" s="1">
        <f>'Solar Availability and Gener GR'!F167</f>
        <v>0</v>
      </c>
      <c r="L167" s="1">
        <v>0.39891472868217059</v>
      </c>
      <c r="M167" s="1">
        <f t="shared" si="80"/>
        <v>-0.39891472868217059</v>
      </c>
      <c r="N167" s="1" t="str">
        <f t="shared" si="81"/>
        <v>Buy from Grid</v>
      </c>
      <c r="V167" s="1" t="str">
        <f t="shared" si="96"/>
        <v>buy from the Grid</v>
      </c>
      <c r="X167" s="1">
        <f t="shared" si="97"/>
        <v>-8.377209302325582E-2</v>
      </c>
      <c r="Y167" s="1">
        <f t="shared" si="78"/>
        <v>8.377209302325582E-2</v>
      </c>
      <c r="AA167" s="1">
        <f t="shared" si="82"/>
        <v>55.137991706818923</v>
      </c>
      <c r="AC167" s="1">
        <f t="shared" si="98"/>
        <v>0.39891472868217059</v>
      </c>
      <c r="AD167" s="1">
        <f t="shared" si="83"/>
        <v>0.39891472868217059</v>
      </c>
    </row>
    <row r="168" spans="1:30" ht="15">
      <c r="A168" s="1">
        <v>167</v>
      </c>
      <c r="B168" s="1">
        <f t="shared" si="86"/>
        <v>0</v>
      </c>
      <c r="C168" s="1">
        <f t="shared" si="79"/>
        <v>0</v>
      </c>
      <c r="D168" s="1">
        <f t="shared" si="84"/>
        <v>1.2592149877471481E-2</v>
      </c>
      <c r="E168">
        <v>183.59</v>
      </c>
      <c r="K168" s="1">
        <f>'Solar Availability and Gener GR'!F168</f>
        <v>0</v>
      </c>
      <c r="L168" s="1">
        <v>0.29596899224806206</v>
      </c>
      <c r="M168" s="1">
        <f t="shared" si="80"/>
        <v>-0.29596899224806206</v>
      </c>
      <c r="N168" s="1" t="str">
        <f t="shared" si="81"/>
        <v>Buy from Grid</v>
      </c>
      <c r="V168" s="1" t="str">
        <f t="shared" si="96"/>
        <v>buy from the Grid</v>
      </c>
      <c r="X168" s="1">
        <f t="shared" si="97"/>
        <v>-5.4336947286821709E-2</v>
      </c>
      <c r="Y168" s="1">
        <f t="shared" si="78"/>
        <v>5.4336947286821709E-2</v>
      </c>
      <c r="AA168" s="1">
        <f t="shared" si="82"/>
        <v>54.842022714570859</v>
      </c>
      <c r="AC168" s="1">
        <f t="shared" si="98"/>
        <v>0.29596899224806206</v>
      </c>
      <c r="AD168" s="1">
        <f t="shared" si="83"/>
        <v>0.29596899224806206</v>
      </c>
    </row>
    <row r="169" spans="1:30" ht="15">
      <c r="A169" s="1">
        <v>168</v>
      </c>
      <c r="B169" s="1">
        <f t="shared" si="86"/>
        <v>0</v>
      </c>
      <c r="C169" s="1">
        <f t="shared" si="79"/>
        <v>0</v>
      </c>
      <c r="D169" s="1">
        <f t="shared" si="84"/>
        <v>1.2592149877471481E-2</v>
      </c>
      <c r="E169">
        <v>210</v>
      </c>
      <c r="K169" s="1">
        <f>'Solar Availability and Gener GR'!F169</f>
        <v>0</v>
      </c>
      <c r="L169" s="1">
        <v>0.29596899224806206</v>
      </c>
      <c r="M169" s="1">
        <f t="shared" si="80"/>
        <v>-0.29596899224806206</v>
      </c>
      <c r="N169" s="1" t="str">
        <f t="shared" si="81"/>
        <v>Buy from Grid</v>
      </c>
      <c r="V169" s="1" t="str">
        <f t="shared" si="96"/>
        <v>buy from the Grid</v>
      </c>
      <c r="X169" s="1">
        <f t="shared" si="97"/>
        <v>-6.215348837209303E-2</v>
      </c>
      <c r="Y169" s="1">
        <f t="shared" si="78"/>
        <v>6.215348837209303E-2</v>
      </c>
      <c r="AA169" s="1">
        <f t="shared" si="82"/>
        <v>54.546053722322796</v>
      </c>
      <c r="AC169" s="1">
        <f t="shared" si="98"/>
        <v>0.29596899224806206</v>
      </c>
      <c r="AD169" s="1">
        <f t="shared" si="83"/>
        <v>0.29596899224806206</v>
      </c>
    </row>
    <row r="170" spans="1:30" ht="15">
      <c r="A170" s="1">
        <v>169</v>
      </c>
      <c r="B170" s="1">
        <f t="shared" si="86"/>
        <v>0</v>
      </c>
      <c r="C170" s="1">
        <f t="shared" si="79"/>
        <v>0</v>
      </c>
      <c r="D170" s="1">
        <f t="shared" si="84"/>
        <v>1.2592149877471481E-2</v>
      </c>
      <c r="E170">
        <v>165.01</v>
      </c>
      <c r="K170" s="1">
        <f>'Solar Availability and Gener GR'!F170</f>
        <v>0</v>
      </c>
      <c r="L170" s="1">
        <v>0.29596899224806206</v>
      </c>
      <c r="M170" s="1">
        <f t="shared" si="80"/>
        <v>-0.29596899224806206</v>
      </c>
      <c r="N170" s="1" t="str">
        <f t="shared" si="81"/>
        <v>Buy from Grid</v>
      </c>
      <c r="V170" s="1" t="str">
        <f t="shared" si="96"/>
        <v>buy from the Grid</v>
      </c>
      <c r="X170" s="1">
        <f t="shared" si="97"/>
        <v>-4.8837843410852719E-2</v>
      </c>
      <c r="Y170" s="1">
        <f t="shared" si="78"/>
        <v>4.8837843410852719E-2</v>
      </c>
      <c r="AA170" s="1">
        <f t="shared" si="82"/>
        <v>54.250084730074732</v>
      </c>
      <c r="AC170" s="1">
        <f t="shared" si="98"/>
        <v>0.29596899224806206</v>
      </c>
      <c r="AD170" s="1">
        <f t="shared" si="83"/>
        <v>0.29596899224806206</v>
      </c>
    </row>
    <row r="171" spans="1:30" ht="15">
      <c r="A171" s="1">
        <v>170</v>
      </c>
      <c r="B171" s="1">
        <f t="shared" si="86"/>
        <v>0</v>
      </c>
      <c r="C171" s="1">
        <f t="shared" si="79"/>
        <v>0</v>
      </c>
      <c r="D171" s="1">
        <f t="shared" si="84"/>
        <v>1.2592149877471481E-2</v>
      </c>
      <c r="E171">
        <v>155.72999999999999</v>
      </c>
      <c r="K171" s="1">
        <f>'Solar Availability and Gener GR'!F171</f>
        <v>0</v>
      </c>
      <c r="L171" s="1">
        <v>0.29596899224806206</v>
      </c>
      <c r="M171" s="1">
        <f t="shared" si="80"/>
        <v>-0.29596899224806206</v>
      </c>
      <c r="N171" s="1" t="str">
        <f t="shared" si="81"/>
        <v>Buy from Grid</v>
      </c>
      <c r="V171" s="1" t="str">
        <f t="shared" si="96"/>
        <v>buy from the Grid</v>
      </c>
      <c r="X171" s="1">
        <f t="shared" si="97"/>
        <v>-4.6091251162790697E-2</v>
      </c>
      <c r="Y171" s="1">
        <f t="shared" si="78"/>
        <v>4.6091251162790697E-2</v>
      </c>
      <c r="AA171" s="1">
        <f t="shared" si="82"/>
        <v>53.954115737826669</v>
      </c>
      <c r="AC171" s="1">
        <f t="shared" si="98"/>
        <v>0.29596899224806206</v>
      </c>
      <c r="AD171" s="1">
        <f t="shared" si="83"/>
        <v>0.29596899224806206</v>
      </c>
    </row>
    <row r="172" spans="1:30" ht="15">
      <c r="A172" s="1">
        <v>171</v>
      </c>
      <c r="B172" s="1">
        <f t="shared" si="86"/>
        <v>0</v>
      </c>
      <c r="C172" s="1">
        <f t="shared" si="79"/>
        <v>0</v>
      </c>
      <c r="D172" s="1">
        <f t="shared" si="84"/>
        <v>1.2592149877471481E-2</v>
      </c>
      <c r="E172">
        <v>150</v>
      </c>
      <c r="K172" s="1">
        <f>'Solar Availability and Gener GR'!F172</f>
        <v>0</v>
      </c>
      <c r="L172" s="1">
        <v>0.39891472868217059</v>
      </c>
      <c r="M172" s="1">
        <f t="shared" si="80"/>
        <v>-0.39891472868217059</v>
      </c>
      <c r="N172" s="1" t="str">
        <f t="shared" si="81"/>
        <v>Buy from Grid</v>
      </c>
      <c r="V172" s="1" t="str">
        <f t="shared" si="96"/>
        <v>buy from the Grid</v>
      </c>
      <c r="X172" s="1">
        <f t="shared" si="97"/>
        <v>-5.983720930232559E-2</v>
      </c>
      <c r="Y172" s="1">
        <f t="shared" si="78"/>
        <v>5.983720930232559E-2</v>
      </c>
      <c r="AA172" s="1">
        <f t="shared" si="82"/>
        <v>53.555201009144497</v>
      </c>
      <c r="AC172" s="1">
        <f t="shared" si="98"/>
        <v>0.39891472868217059</v>
      </c>
      <c r="AD172" s="1">
        <f t="shared" si="83"/>
        <v>0.39891472868217059</v>
      </c>
    </row>
    <row r="173" spans="1:30" ht="15">
      <c r="A173" s="1">
        <v>172</v>
      </c>
      <c r="B173" s="1">
        <f t="shared" si="86"/>
        <v>0</v>
      </c>
      <c r="C173" s="1">
        <f t="shared" si="79"/>
        <v>0</v>
      </c>
      <c r="D173" s="1">
        <f t="shared" si="84"/>
        <v>1.2592149877471481E-2</v>
      </c>
      <c r="E173">
        <v>179.51</v>
      </c>
      <c r="K173" s="1">
        <f>'Solar Availability and Gener GR'!F173</f>
        <v>0</v>
      </c>
      <c r="L173" s="1">
        <v>0.66914728682170543</v>
      </c>
      <c r="M173" s="1">
        <f t="shared" si="80"/>
        <v>-0.66914728682170543</v>
      </c>
      <c r="N173" s="1" t="str">
        <f t="shared" si="81"/>
        <v>Buy from Grid</v>
      </c>
      <c r="V173" s="1" t="str">
        <f t="shared" si="96"/>
        <v>buy from the Grid</v>
      </c>
      <c r="X173" s="1">
        <f t="shared" si="97"/>
        <v>-0.12011862945736433</v>
      </c>
      <c r="Y173" s="1">
        <f t="shared" si="78"/>
        <v>0.12011862945736433</v>
      </c>
      <c r="AA173" s="1">
        <f t="shared" si="82"/>
        <v>52.886053722322792</v>
      </c>
      <c r="AC173" s="1">
        <f t="shared" si="98"/>
        <v>0.66914728682170543</v>
      </c>
      <c r="AD173" s="1">
        <f t="shared" si="83"/>
        <v>0.66914728682170543</v>
      </c>
    </row>
    <row r="174" spans="1:30" ht="15">
      <c r="A174" s="1">
        <v>173</v>
      </c>
      <c r="B174" s="1">
        <f t="shared" si="86"/>
        <v>0</v>
      </c>
      <c r="C174" s="1">
        <f t="shared" si="79"/>
        <v>0</v>
      </c>
      <c r="D174" s="1">
        <f t="shared" si="84"/>
        <v>1.2592149877471481E-2</v>
      </c>
      <c r="E174">
        <v>216.28</v>
      </c>
      <c r="K174" s="1">
        <f>'Solar Availability and Gener GR'!F174</f>
        <v>0</v>
      </c>
      <c r="L174" s="1">
        <v>0.66914728682170543</v>
      </c>
      <c r="M174" s="1">
        <f t="shared" si="80"/>
        <v>-0.66914728682170543</v>
      </c>
      <c r="N174" s="1" t="str">
        <f t="shared" si="81"/>
        <v>Buy from Grid</v>
      </c>
      <c r="V174" s="1" t="str">
        <f t="shared" si="96"/>
        <v>buy from the Grid</v>
      </c>
      <c r="X174" s="1">
        <f t="shared" si="97"/>
        <v>-0.14472317519379846</v>
      </c>
      <c r="Y174" s="1">
        <f t="shared" si="78"/>
        <v>0.14472317519379846</v>
      </c>
      <c r="AA174" s="1">
        <f t="shared" si="82"/>
        <v>52.216906435501087</v>
      </c>
      <c r="AC174" s="1">
        <f t="shared" si="98"/>
        <v>0.66914728682170543</v>
      </c>
      <c r="AD174" s="1">
        <f t="shared" si="83"/>
        <v>0.66914728682170543</v>
      </c>
    </row>
    <row r="175" spans="1:30" ht="15">
      <c r="A175" s="1">
        <v>174</v>
      </c>
      <c r="B175" s="1">
        <f t="shared" si="86"/>
        <v>0</v>
      </c>
      <c r="C175" s="1">
        <f t="shared" si="79"/>
        <v>0</v>
      </c>
      <c r="D175" s="1">
        <f t="shared" si="84"/>
        <v>1.2592149877471481E-2</v>
      </c>
      <c r="E175">
        <v>216.3</v>
      </c>
      <c r="K175" s="1">
        <f>'Solar Availability and Gener GR'!F175</f>
        <v>0</v>
      </c>
      <c r="L175" s="1">
        <v>0.65627906976744199</v>
      </c>
      <c r="M175" s="1">
        <f t="shared" si="80"/>
        <v>-0.65627906976744199</v>
      </c>
      <c r="N175" s="1" t="str">
        <f t="shared" si="81"/>
        <v>Buy from Grid</v>
      </c>
      <c r="V175" s="1" t="str">
        <f t="shared" si="96"/>
        <v>buy from the Grid</v>
      </c>
      <c r="X175" s="1">
        <f t="shared" si="97"/>
        <v>-0.14195316279069772</v>
      </c>
      <c r="Y175" s="1">
        <f t="shared" si="78"/>
        <v>0.14195316279069772</v>
      </c>
      <c r="AA175" s="1">
        <f t="shared" si="82"/>
        <v>51.560627365733644</v>
      </c>
      <c r="AC175" s="1">
        <f t="shared" si="98"/>
        <v>0.65627906976744199</v>
      </c>
      <c r="AD175" s="1">
        <f t="shared" si="83"/>
        <v>0.65627906976744199</v>
      </c>
    </row>
    <row r="176" spans="1:30" ht="15">
      <c r="A176" s="1">
        <v>175</v>
      </c>
      <c r="B176" s="1">
        <f t="shared" si="86"/>
        <v>0</v>
      </c>
      <c r="C176" s="1">
        <f t="shared" si="79"/>
        <v>0</v>
      </c>
      <c r="D176" s="1">
        <f t="shared" si="84"/>
        <v>1.2592149877471481E-2</v>
      </c>
      <c r="E176">
        <v>270.76</v>
      </c>
      <c r="K176" s="1">
        <f>'Solar Availability and Gener GR'!F176</f>
        <v>1.6611768895219918E-2</v>
      </c>
      <c r="L176" s="1">
        <v>0.39891472868217059</v>
      </c>
      <c r="M176" s="1">
        <f t="shared" si="80"/>
        <v>-0.38230295978695067</v>
      </c>
      <c r="N176" s="1" t="str">
        <f t="shared" si="81"/>
        <v>Buy from Grid</v>
      </c>
      <c r="V176" s="1" t="str">
        <f t="shared" si="96"/>
        <v>buy from the Grid</v>
      </c>
      <c r="X176" s="1">
        <f t="shared" si="97"/>
        <v>-0.10351234939191475</v>
      </c>
      <c r="Y176" s="1">
        <f t="shared" si="78"/>
        <v>0.10801015193798451</v>
      </c>
      <c r="AA176" s="1">
        <f t="shared" si="82"/>
        <v>51.178324405946697</v>
      </c>
      <c r="AC176" s="1">
        <f t="shared" si="98"/>
        <v>0.39891472868217059</v>
      </c>
      <c r="AD176" s="1">
        <f t="shared" si="83"/>
        <v>0.39891472868217059</v>
      </c>
    </row>
    <row r="177" spans="1:30" ht="15">
      <c r="A177" s="1">
        <v>176</v>
      </c>
      <c r="B177" s="1">
        <f t="shared" si="86"/>
        <v>0</v>
      </c>
      <c r="C177" s="1">
        <f t="shared" si="79"/>
        <v>0</v>
      </c>
      <c r="D177" s="1">
        <f t="shared" si="84"/>
        <v>1.2592149877471481E-2</v>
      </c>
      <c r="E177">
        <v>263.67</v>
      </c>
      <c r="K177" s="1">
        <f>'Solar Availability and Gener GR'!F177</f>
        <v>0.18857829609187202</v>
      </c>
      <c r="L177" s="1">
        <v>0.39891472868217059</v>
      </c>
      <c r="M177" s="1">
        <f t="shared" si="80"/>
        <v>-0.21033643259029858</v>
      </c>
      <c r="N177" s="1" t="str">
        <f t="shared" si="81"/>
        <v>Buy from Grid</v>
      </c>
      <c r="V177" s="1" t="str">
        <f t="shared" si="96"/>
        <v>buy from the Grid</v>
      </c>
      <c r="X177" s="1">
        <f t="shared" si="97"/>
        <v>-5.5459407181084032E-2</v>
      </c>
      <c r="Y177" s="1">
        <f t="shared" si="78"/>
        <v>0.10518184651162793</v>
      </c>
      <c r="AA177" s="1">
        <f t="shared" si="82"/>
        <v>50.967987973356401</v>
      </c>
      <c r="AC177" s="1">
        <f t="shared" si="98"/>
        <v>0.39891472868217059</v>
      </c>
      <c r="AD177" s="1">
        <f t="shared" si="83"/>
        <v>0.39891472868217059</v>
      </c>
    </row>
    <row r="178" spans="1:30" ht="15">
      <c r="A178" s="1">
        <v>177</v>
      </c>
      <c r="B178" s="1">
        <f t="shared" si="86"/>
        <v>0</v>
      </c>
      <c r="C178" s="1">
        <f t="shared" si="79"/>
        <v>0</v>
      </c>
      <c r="D178" s="1">
        <f t="shared" si="84"/>
        <v>1.2592149877471481E-2</v>
      </c>
      <c r="E178">
        <v>170.5</v>
      </c>
      <c r="K178" s="1">
        <f>'Solar Availability and Gener GR'!F178</f>
        <v>0.47539837977387839</v>
      </c>
      <c r="L178" s="1">
        <v>0.39891472868217059</v>
      </c>
      <c r="M178" s="1">
        <f t="shared" si="80"/>
        <v>7.6483651091707794E-2</v>
      </c>
      <c r="N178" s="1" t="str">
        <f t="shared" si="81"/>
        <v>sell the surplus or charge</v>
      </c>
      <c r="O178" s="1">
        <v>0.25</v>
      </c>
      <c r="P178" s="1">
        <f t="shared" ref="P178:P189" si="99">0.25/L178</f>
        <v>0.62670034978624167</v>
      </c>
      <c r="Q178" s="1">
        <f t="shared" ref="Q178:Q189" si="100">K178-P178*L178</f>
        <v>0.22539837977387839</v>
      </c>
      <c r="R178" s="1">
        <f t="shared" ref="R178:R189" si="101">((1/(E178+0.01))*LN(0.25))+(E178*(K178-0.25))</f>
        <v>38.422293469579394</v>
      </c>
      <c r="S178" s="1">
        <f t="shared" ref="S178:S189" si="102">((1/(E178+0.01))*LN(L178))+(E178*(K178-L178))</f>
        <v>13.035072753365325</v>
      </c>
      <c r="T178" s="1">
        <f t="shared" ref="T178:T189" si="103">(S178+((S178^2)-4*(K178-L178*P178)*LN(L178*P178))^(0.5))/(2*(K178-L178*P178))</f>
        <v>57.93741823254809</v>
      </c>
      <c r="U178" s="1" t="str">
        <f t="shared" ref="U178:U189" si="104">IF(E178&gt;=T178*1.05,"sell to the Grid","charge")</f>
        <v>sell to the Grid</v>
      </c>
      <c r="W178" s="1">
        <f t="shared" ref="W178:W189" si="105">(Q178*E178)/1000</f>
        <v>3.8430423751446265E-2</v>
      </c>
      <c r="Y178" s="1">
        <f t="shared" si="78"/>
        <v>6.801496124031009E-2</v>
      </c>
      <c r="AA178" s="1">
        <f t="shared" si="82"/>
        <v>51.044471624448107</v>
      </c>
      <c r="AD178" s="1">
        <f t="shared" si="83"/>
        <v>0.25</v>
      </c>
    </row>
    <row r="179" spans="1:30" ht="15">
      <c r="A179" s="1">
        <v>178</v>
      </c>
      <c r="B179" s="1">
        <f t="shared" si="86"/>
        <v>0</v>
      </c>
      <c r="C179" s="1">
        <f t="shared" si="79"/>
        <v>0</v>
      </c>
      <c r="D179" s="1">
        <f t="shared" si="84"/>
        <v>1.2592149877471481E-2</v>
      </c>
      <c r="E179">
        <v>170.14</v>
      </c>
      <c r="K179" s="1">
        <f>'Solar Availability and Gener GR'!F179</f>
        <v>0.86753761239205807</v>
      </c>
      <c r="L179" s="1">
        <v>0.39891472868217059</v>
      </c>
      <c r="M179" s="1">
        <f t="shared" si="80"/>
        <v>0.46862288370988747</v>
      </c>
      <c r="N179" s="1" t="str">
        <f t="shared" si="81"/>
        <v>sell the surplus or charge</v>
      </c>
      <c r="O179" s="1">
        <v>0.25</v>
      </c>
      <c r="P179" s="1">
        <f t="shared" si="99"/>
        <v>0.62670034978624167</v>
      </c>
      <c r="Q179" s="1">
        <f t="shared" si="100"/>
        <v>0.61753761239205807</v>
      </c>
      <c r="R179" s="1">
        <f t="shared" si="101"/>
        <v>105.05970188862854</v>
      </c>
      <c r="S179" s="1">
        <f t="shared" si="102"/>
        <v>79.726096273086654</v>
      </c>
      <c r="T179" s="1">
        <f t="shared" si="103"/>
        <v>129.12060917886586</v>
      </c>
      <c r="U179" s="1" t="str">
        <f t="shared" si="104"/>
        <v>sell to the Grid</v>
      </c>
      <c r="W179" s="1">
        <f t="shared" si="105"/>
        <v>0.10506784937238475</v>
      </c>
      <c r="Y179" s="1">
        <f t="shared" si="78"/>
        <v>6.7871351937984506E-2</v>
      </c>
      <c r="AA179" s="1">
        <f t="shared" si="82"/>
        <v>51.513094508157998</v>
      </c>
      <c r="AD179" s="1">
        <f t="shared" si="83"/>
        <v>0.25</v>
      </c>
    </row>
    <row r="180" spans="1:30" ht="15">
      <c r="A180" s="1">
        <v>179</v>
      </c>
      <c r="B180" s="1">
        <f t="shared" si="86"/>
        <v>0</v>
      </c>
      <c r="C180" s="1">
        <f t="shared" si="79"/>
        <v>0</v>
      </c>
      <c r="D180" s="1">
        <f t="shared" si="84"/>
        <v>1.2592149877471481E-2</v>
      </c>
      <c r="E180">
        <v>165</v>
      </c>
      <c r="K180" s="1">
        <f>'Solar Availability and Gener GR'!F180</f>
        <v>1.8437193982017253</v>
      </c>
      <c r="L180" s="1">
        <v>0.39891472868217059</v>
      </c>
      <c r="M180" s="1">
        <f t="shared" si="80"/>
        <v>1.4448046695195547</v>
      </c>
      <c r="N180" s="1" t="str">
        <f t="shared" si="81"/>
        <v>sell the surplus or charge</v>
      </c>
      <c r="O180" s="1">
        <v>0.25</v>
      </c>
      <c r="P180" s="1">
        <f t="shared" si="99"/>
        <v>0.62670034978624167</v>
      </c>
      <c r="Q180" s="1">
        <f t="shared" si="100"/>
        <v>1.5937193982017253</v>
      </c>
      <c r="R180" s="1">
        <f t="shared" si="101"/>
        <v>262.95529942844604</v>
      </c>
      <c r="S180" s="1">
        <f t="shared" si="102"/>
        <v>238.38720106525105</v>
      </c>
      <c r="T180" s="1">
        <f t="shared" si="103"/>
        <v>149.58497018914872</v>
      </c>
      <c r="U180" s="1" t="str">
        <f t="shared" si="104"/>
        <v>sell to the Grid</v>
      </c>
      <c r="W180" s="1">
        <f t="shared" si="105"/>
        <v>0.26296370070328462</v>
      </c>
      <c r="Y180" s="1">
        <f t="shared" si="78"/>
        <v>6.5820930232558153E-2</v>
      </c>
      <c r="AA180" s="1">
        <f t="shared" si="82"/>
        <v>52.957899177677554</v>
      </c>
      <c r="AD180" s="1">
        <f t="shared" si="83"/>
        <v>0.25</v>
      </c>
    </row>
    <row r="181" spans="1:30" ht="15">
      <c r="A181" s="1">
        <v>180</v>
      </c>
      <c r="B181" s="1">
        <f t="shared" si="86"/>
        <v>0</v>
      </c>
      <c r="C181" s="1">
        <f t="shared" si="79"/>
        <v>0</v>
      </c>
      <c r="D181" s="1">
        <f t="shared" si="84"/>
        <v>1.2592149877471481E-2</v>
      </c>
      <c r="E181">
        <v>150</v>
      </c>
      <c r="K181" s="1">
        <f>'Solar Availability and Gener GR'!F181</f>
        <v>2.7145820350752228</v>
      </c>
      <c r="L181" s="1">
        <v>0.39891472868217059</v>
      </c>
      <c r="M181" s="1">
        <f t="shared" si="80"/>
        <v>2.3156673063930522</v>
      </c>
      <c r="N181" s="1" t="str">
        <f t="shared" si="81"/>
        <v>sell the surplus or charge</v>
      </c>
      <c r="O181" s="1">
        <v>0.25</v>
      </c>
      <c r="P181" s="1">
        <f t="shared" si="99"/>
        <v>0.62670034978624167</v>
      </c>
      <c r="Q181" s="1">
        <f t="shared" si="100"/>
        <v>2.4645820350752228</v>
      </c>
      <c r="R181" s="1">
        <f t="shared" si="101"/>
        <v>369.67806391496572</v>
      </c>
      <c r="S181" s="1">
        <f t="shared" si="102"/>
        <v>347.34396965006169</v>
      </c>
      <c r="T181" s="1">
        <f t="shared" si="103"/>
        <v>140.93822031130861</v>
      </c>
      <c r="U181" s="1" t="str">
        <f t="shared" si="104"/>
        <v>sell to the Grid</v>
      </c>
      <c r="W181" s="1">
        <f t="shared" si="105"/>
        <v>0.36968730526128341</v>
      </c>
      <c r="Y181" s="1">
        <f t="shared" si="78"/>
        <v>5.983720930232559E-2</v>
      </c>
      <c r="AA181" s="1">
        <f t="shared" si="82"/>
        <v>55.273566484070606</v>
      </c>
      <c r="AD181" s="1">
        <f t="shared" si="83"/>
        <v>0.25</v>
      </c>
    </row>
    <row r="182" spans="1:30" ht="15">
      <c r="A182" s="1">
        <v>181</v>
      </c>
      <c r="B182" s="1">
        <f t="shared" si="86"/>
        <v>0</v>
      </c>
      <c r="C182" s="1">
        <f t="shared" si="79"/>
        <v>0</v>
      </c>
      <c r="D182" s="1">
        <f t="shared" si="84"/>
        <v>1.2592149877471481E-2</v>
      </c>
      <c r="E182">
        <v>160</v>
      </c>
      <c r="K182" s="1">
        <f>'Solar Availability and Gener GR'!F182</f>
        <v>3.0205377014154697</v>
      </c>
      <c r="L182" s="1">
        <v>0.39891472868217059</v>
      </c>
      <c r="M182" s="1">
        <f t="shared" si="80"/>
        <v>2.6216229727332991</v>
      </c>
      <c r="N182" s="1" t="str">
        <f t="shared" si="81"/>
        <v>sell the surplus or charge</v>
      </c>
      <c r="O182" s="1">
        <v>0.25</v>
      </c>
      <c r="P182" s="1">
        <f t="shared" si="99"/>
        <v>0.62670034978624167</v>
      </c>
      <c r="Q182" s="1">
        <f t="shared" si="100"/>
        <v>2.7705377014154697</v>
      </c>
      <c r="R182" s="1">
        <f t="shared" si="101"/>
        <v>443.27736842820559</v>
      </c>
      <c r="S182" s="1">
        <f t="shared" si="102"/>
        <v>419.45393219880833</v>
      </c>
      <c r="T182" s="1">
        <f t="shared" si="103"/>
        <v>151.40132848792646</v>
      </c>
      <c r="U182" s="1" t="str">
        <f t="shared" si="104"/>
        <v>sell to the Grid</v>
      </c>
      <c r="W182" s="1">
        <f t="shared" si="105"/>
        <v>0.44328603222647517</v>
      </c>
      <c r="Y182" s="1">
        <f t="shared" si="78"/>
        <v>6.3826356589147301E-2</v>
      </c>
      <c r="AA182" s="1">
        <f t="shared" si="82"/>
        <v>57.895189456803905</v>
      </c>
      <c r="AD182" s="1">
        <f t="shared" si="83"/>
        <v>0.25</v>
      </c>
    </row>
    <row r="183" spans="1:30" ht="15">
      <c r="A183" s="1">
        <v>182</v>
      </c>
      <c r="B183" s="1">
        <f t="shared" si="86"/>
        <v>0</v>
      </c>
      <c r="C183" s="1">
        <f t="shared" si="79"/>
        <v>0</v>
      </c>
      <c r="D183" s="1">
        <f t="shared" si="84"/>
        <v>1.2592149877471481E-2</v>
      </c>
      <c r="E183">
        <v>152.4</v>
      </c>
      <c r="K183" s="1">
        <f>'Solar Availability and Gener GR'!F183</f>
        <v>3.1158417163714054</v>
      </c>
      <c r="L183" s="1">
        <v>0.39891472868217059</v>
      </c>
      <c r="M183" s="1">
        <f t="shared" si="80"/>
        <v>2.7169269876892348</v>
      </c>
      <c r="N183" s="1" t="str">
        <f t="shared" si="81"/>
        <v>sell the surplus or charge</v>
      </c>
      <c r="O183" s="1">
        <v>0.25</v>
      </c>
      <c r="P183" s="1">
        <f t="shared" si="99"/>
        <v>0.62670034978624167</v>
      </c>
      <c r="Q183" s="1">
        <f t="shared" si="100"/>
        <v>2.8658417163714054</v>
      </c>
      <c r="R183" s="1">
        <f t="shared" si="101"/>
        <v>436.7451817521486</v>
      </c>
      <c r="S183" s="1">
        <f t="shared" si="102"/>
        <v>414.05364308591862</v>
      </c>
      <c r="T183" s="1">
        <f t="shared" si="103"/>
        <v>144.4822425580073</v>
      </c>
      <c r="U183" s="1" t="str">
        <f t="shared" si="104"/>
        <v>sell to the Grid</v>
      </c>
      <c r="W183" s="1">
        <f t="shared" si="105"/>
        <v>0.43675427757500224</v>
      </c>
      <c r="Y183" s="1">
        <f t="shared" si="78"/>
        <v>6.0794604651162799E-2</v>
      </c>
      <c r="AA183" s="1">
        <f t="shared" si="82"/>
        <v>60.61211644449314</v>
      </c>
      <c r="AD183" s="1">
        <f t="shared" si="83"/>
        <v>0.25</v>
      </c>
    </row>
    <row r="184" spans="1:30" ht="15">
      <c r="A184" s="1">
        <v>183</v>
      </c>
      <c r="B184" s="1">
        <f t="shared" si="86"/>
        <v>0</v>
      </c>
      <c r="C184" s="1">
        <f t="shared" si="79"/>
        <v>0</v>
      </c>
      <c r="D184" s="1">
        <f t="shared" si="84"/>
        <v>1.2592149877471481E-2</v>
      </c>
      <c r="E184">
        <v>165</v>
      </c>
      <c r="K184" s="1">
        <f>'Solar Availability and Gener GR'!F184</f>
        <v>3.0101086085640518</v>
      </c>
      <c r="L184" s="1">
        <v>0.39891472868217059</v>
      </c>
      <c r="M184" s="1">
        <f t="shared" si="80"/>
        <v>2.6111938798818812</v>
      </c>
      <c r="N184" s="1" t="str">
        <f t="shared" si="81"/>
        <v>sell the surplus or charge</v>
      </c>
      <c r="O184" s="1">
        <v>0.25</v>
      </c>
      <c r="P184" s="1">
        <f t="shared" si="99"/>
        <v>0.62670034978624167</v>
      </c>
      <c r="Q184" s="1">
        <f t="shared" si="100"/>
        <v>2.7601086085640518</v>
      </c>
      <c r="R184" s="1">
        <f t="shared" si="101"/>
        <v>455.40951913822994</v>
      </c>
      <c r="S184" s="1">
        <f t="shared" si="102"/>
        <v>430.84142077503492</v>
      </c>
      <c r="T184" s="1">
        <f t="shared" si="103"/>
        <v>156.09903911112409</v>
      </c>
      <c r="U184" s="1" t="str">
        <f t="shared" si="104"/>
        <v>sell to the Grid</v>
      </c>
      <c r="W184" s="1">
        <f t="shared" si="105"/>
        <v>0.45541792041306856</v>
      </c>
      <c r="Y184" s="1">
        <f t="shared" si="78"/>
        <v>6.5820930232558153E-2</v>
      </c>
      <c r="AA184" s="1">
        <f t="shared" si="82"/>
        <v>63.223310324375021</v>
      </c>
      <c r="AD184" s="1">
        <f t="shared" si="83"/>
        <v>0.25</v>
      </c>
    </row>
    <row r="185" spans="1:30" ht="15">
      <c r="A185" s="1">
        <v>184</v>
      </c>
      <c r="B185" s="1">
        <f t="shared" si="86"/>
        <v>0</v>
      </c>
      <c r="C185" s="1">
        <f t="shared" si="79"/>
        <v>0</v>
      </c>
      <c r="D185" s="1">
        <f t="shared" si="84"/>
        <v>1.2592149877471481E-2</v>
      </c>
      <c r="E185">
        <v>216</v>
      </c>
      <c r="K185" s="1">
        <f>'Solar Availability and Gener GR'!F185</f>
        <v>2.732048428736757</v>
      </c>
      <c r="L185" s="1">
        <v>0.65627906976744199</v>
      </c>
      <c r="M185" s="1">
        <f t="shared" si="80"/>
        <v>2.0757693589693149</v>
      </c>
      <c r="N185" s="1" t="str">
        <f t="shared" si="81"/>
        <v>sell the surplus or charge</v>
      </c>
      <c r="O185" s="1">
        <v>0.25</v>
      </c>
      <c r="P185" s="1">
        <f t="shared" si="99"/>
        <v>0.38093550673281351</v>
      </c>
      <c r="Q185" s="1">
        <f t="shared" si="100"/>
        <v>2.482048428736757</v>
      </c>
      <c r="R185" s="1">
        <f t="shared" si="101"/>
        <v>536.11604287480714</v>
      </c>
      <c r="S185" s="1">
        <f t="shared" si="102"/>
        <v>448.36423177037386</v>
      </c>
      <c r="T185" s="1">
        <f t="shared" si="103"/>
        <v>180.64591354332103</v>
      </c>
      <c r="U185" s="1" t="str">
        <f t="shared" si="104"/>
        <v>sell to the Grid</v>
      </c>
      <c r="W185" s="1">
        <f t="shared" si="105"/>
        <v>0.53612246060713953</v>
      </c>
      <c r="Y185" s="1">
        <f t="shared" si="78"/>
        <v>0.14175627906976745</v>
      </c>
      <c r="AA185" s="1">
        <f t="shared" si="82"/>
        <v>65.299079683344331</v>
      </c>
      <c r="AD185" s="1">
        <f t="shared" si="83"/>
        <v>0.25</v>
      </c>
    </row>
    <row r="186" spans="1:30" ht="15">
      <c r="A186" s="1">
        <v>185</v>
      </c>
      <c r="B186" s="1">
        <f t="shared" si="86"/>
        <v>0</v>
      </c>
      <c r="C186" s="1">
        <f t="shared" si="79"/>
        <v>0</v>
      </c>
      <c r="D186" s="1">
        <f t="shared" si="84"/>
        <v>1.2592149877471481E-2</v>
      </c>
      <c r="E186">
        <v>244.56</v>
      </c>
      <c r="K186" s="1">
        <f>'Solar Availability and Gener GR'!F186</f>
        <v>2.2528977120982803</v>
      </c>
      <c r="L186" s="1">
        <v>0.66914728682170543</v>
      </c>
      <c r="M186" s="1">
        <f t="shared" si="80"/>
        <v>1.5837504252765748</v>
      </c>
      <c r="N186" s="1" t="str">
        <f t="shared" si="81"/>
        <v>sell the surplus or charge</v>
      </c>
      <c r="O186" s="1">
        <v>0.25</v>
      </c>
      <c r="P186" s="1">
        <f t="shared" si="99"/>
        <v>0.3736098239110287</v>
      </c>
      <c r="Q186" s="1">
        <f t="shared" si="100"/>
        <v>2.0028977120982803</v>
      </c>
      <c r="R186" s="1">
        <f t="shared" si="101"/>
        <v>489.82299617799214</v>
      </c>
      <c r="S186" s="1">
        <f t="shared" si="102"/>
        <v>387.32036132222169</v>
      </c>
      <c r="T186" s="1">
        <f t="shared" si="103"/>
        <v>193.38358000390465</v>
      </c>
      <c r="U186" s="1" t="str">
        <f t="shared" si="104"/>
        <v>sell to the Grid</v>
      </c>
      <c r="W186" s="1">
        <f t="shared" si="105"/>
        <v>0.4898286644707554</v>
      </c>
      <c r="Y186" s="1">
        <f t="shared" si="78"/>
        <v>0.16364666046511628</v>
      </c>
      <c r="AA186" s="1">
        <f t="shared" si="82"/>
        <v>66.882830108620908</v>
      </c>
      <c r="AD186" s="1">
        <f t="shared" si="83"/>
        <v>0.25</v>
      </c>
    </row>
    <row r="187" spans="1:30" ht="15">
      <c r="A187" s="1">
        <v>186</v>
      </c>
      <c r="B187" s="1">
        <f t="shared" si="86"/>
        <v>0</v>
      </c>
      <c r="C187" s="1">
        <f t="shared" si="79"/>
        <v>0</v>
      </c>
      <c r="D187" s="1">
        <f t="shared" si="84"/>
        <v>1.2592149877471481E-2</v>
      </c>
      <c r="E187">
        <v>328.16</v>
      </c>
      <c r="K187" s="1">
        <f>'Solar Availability and Gener GR'!F187</f>
        <v>1.6588800854624735</v>
      </c>
      <c r="L187" s="1">
        <v>0.65627906976744199</v>
      </c>
      <c r="M187" s="1">
        <f t="shared" si="80"/>
        <v>1.0026010156950314</v>
      </c>
      <c r="N187" s="1" t="str">
        <f t="shared" si="81"/>
        <v>sell the surplus or charge</v>
      </c>
      <c r="O187" s="1">
        <v>0.25</v>
      </c>
      <c r="P187" s="1">
        <f t="shared" si="99"/>
        <v>0.38093550673281351</v>
      </c>
      <c r="Q187" s="1">
        <f t="shared" si="100"/>
        <v>1.4088800854624735</v>
      </c>
      <c r="R187" s="1">
        <f t="shared" si="101"/>
        <v>462.33386452759981</v>
      </c>
      <c r="S187" s="1">
        <f t="shared" si="102"/>
        <v>329.01226592330636</v>
      </c>
      <c r="T187" s="1">
        <f t="shared" si="103"/>
        <v>233.53172887633448</v>
      </c>
      <c r="U187" s="1" t="str">
        <f t="shared" si="104"/>
        <v>sell to the Grid</v>
      </c>
      <c r="W187" s="1">
        <f t="shared" si="105"/>
        <v>0.46233808884536537</v>
      </c>
      <c r="Y187" s="1">
        <f t="shared" si="78"/>
        <v>0.2153645395348838</v>
      </c>
      <c r="AA187" s="1">
        <f t="shared" si="82"/>
        <v>67.885431124315943</v>
      </c>
      <c r="AD187" s="1">
        <f t="shared" si="83"/>
        <v>0.25</v>
      </c>
    </row>
    <row r="188" spans="1:30" ht="15">
      <c r="A188" s="1">
        <v>187</v>
      </c>
      <c r="B188" s="1">
        <f t="shared" si="86"/>
        <v>0</v>
      </c>
      <c r="C188" s="1">
        <f t="shared" si="79"/>
        <v>0</v>
      </c>
      <c r="D188" s="1">
        <f t="shared" si="84"/>
        <v>1.2592149877471481E-2</v>
      </c>
      <c r="E188">
        <v>293.60000000000002</v>
      </c>
      <c r="K188" s="1">
        <f>'Solar Availability and Gener GR'!F188</f>
        <v>1.6588800854624735</v>
      </c>
      <c r="L188" s="1">
        <v>0.66914728682170543</v>
      </c>
      <c r="M188" s="1">
        <f t="shared" si="80"/>
        <v>0.98973279864076802</v>
      </c>
      <c r="N188" s="1" t="str">
        <f t="shared" si="81"/>
        <v>sell the surplus or charge</v>
      </c>
      <c r="O188" s="1">
        <v>0.25</v>
      </c>
      <c r="P188" s="1">
        <f t="shared" si="99"/>
        <v>0.3736098239110287</v>
      </c>
      <c r="Q188" s="1">
        <f t="shared" si="100"/>
        <v>1.4088800854624735</v>
      </c>
      <c r="R188" s="1">
        <f t="shared" si="101"/>
        <v>413.64247154155873</v>
      </c>
      <c r="S188" s="1">
        <f t="shared" si="102"/>
        <v>290.58418136553354</v>
      </c>
      <c r="T188" s="1">
        <f t="shared" si="103"/>
        <v>206.25666128304661</v>
      </c>
      <c r="U188" s="1" t="str">
        <f t="shared" si="104"/>
        <v>sell to the Grid</v>
      </c>
      <c r="W188" s="1">
        <f t="shared" si="105"/>
        <v>0.41364719309178222</v>
      </c>
      <c r="Y188" s="1">
        <f t="shared" si="78"/>
        <v>0.19646164341085273</v>
      </c>
      <c r="AA188" s="1">
        <f t="shared" si="82"/>
        <v>68.875163922956716</v>
      </c>
      <c r="AD188" s="1">
        <f t="shared" si="83"/>
        <v>0.25</v>
      </c>
    </row>
    <row r="189" spans="1:30" ht="15">
      <c r="A189" s="1">
        <v>188</v>
      </c>
      <c r="B189" s="1">
        <f t="shared" si="86"/>
        <v>0</v>
      </c>
      <c r="C189" s="1">
        <f t="shared" si="79"/>
        <v>0</v>
      </c>
      <c r="D189" s="1">
        <f t="shared" si="84"/>
        <v>1.2592149877471481E-2</v>
      </c>
      <c r="E189">
        <v>341.35</v>
      </c>
      <c r="K189" s="1">
        <f>'Solar Availability and Gener GR'!F189</f>
        <v>0.89248197275883356</v>
      </c>
      <c r="L189" s="1">
        <v>0.39891472868217059</v>
      </c>
      <c r="M189" s="1">
        <f t="shared" si="80"/>
        <v>0.49356724407666297</v>
      </c>
      <c r="N189" s="1" t="str">
        <f t="shared" si="81"/>
        <v>sell the surplus or charge</v>
      </c>
      <c r="O189" s="1">
        <v>0.25</v>
      </c>
      <c r="P189" s="1">
        <f t="shared" si="99"/>
        <v>0.62670034978624167</v>
      </c>
      <c r="Q189" s="1">
        <f t="shared" si="100"/>
        <v>0.64248197275883356</v>
      </c>
      <c r="R189" s="1">
        <f t="shared" si="101"/>
        <v>219.30716030923955</v>
      </c>
      <c r="S189" s="1">
        <f t="shared" si="102"/>
        <v>168.47648657082581</v>
      </c>
      <c r="T189" s="1">
        <f t="shared" si="103"/>
        <v>262.23579828932651</v>
      </c>
      <c r="U189" s="1" t="str">
        <f t="shared" si="104"/>
        <v>sell to the Grid</v>
      </c>
      <c r="W189" s="1">
        <f t="shared" si="105"/>
        <v>0.21931122140122783</v>
      </c>
      <c r="Y189" s="1">
        <f t="shared" si="78"/>
        <v>0.13616954263565892</v>
      </c>
      <c r="AA189" s="1">
        <f t="shared" si="82"/>
        <v>69.368731167033374</v>
      </c>
      <c r="AC189" s="1">
        <f t="shared" ref="AC189:AC202" si="106">L189</f>
        <v>0.39891472868217059</v>
      </c>
      <c r="AD189" s="1">
        <f t="shared" si="83"/>
        <v>0.64891472868217059</v>
      </c>
    </row>
    <row r="190" spans="1:30" ht="15">
      <c r="A190" s="1">
        <v>189</v>
      </c>
      <c r="B190" s="1">
        <f t="shared" si="86"/>
        <v>0</v>
      </c>
      <c r="C190" s="1">
        <f t="shared" si="79"/>
        <v>0</v>
      </c>
      <c r="D190" s="1">
        <f t="shared" si="84"/>
        <v>1.2592149877471481E-2</v>
      </c>
      <c r="E190">
        <v>310.06</v>
      </c>
      <c r="K190" s="1">
        <f>'Solar Availability and Gener GR'!F190</f>
        <v>0.26016647378260532</v>
      </c>
      <c r="L190" s="1">
        <v>0.39891472868217059</v>
      </c>
      <c r="M190" s="1">
        <f t="shared" si="80"/>
        <v>-0.13874825489956527</v>
      </c>
      <c r="N190" s="1" t="str">
        <f t="shared" si="81"/>
        <v>Buy from Grid</v>
      </c>
      <c r="V190" s="1" t="str">
        <f t="shared" ref="V190:V202" si="107">IF(D190+M190&gt;0,"discharge","buy from the Grid")</f>
        <v>buy from the Grid</v>
      </c>
      <c r="X190" s="1">
        <f t="shared" ref="X190:X202" si="108">(M190*E190)/1000</f>
        <v>-4.3020283914159206E-2</v>
      </c>
      <c r="Y190" s="1">
        <f t="shared" si="78"/>
        <v>0.12368750077519382</v>
      </c>
      <c r="AA190" s="1">
        <f t="shared" si="82"/>
        <v>69.229982912133806</v>
      </c>
      <c r="AC190" s="1">
        <f t="shared" si="106"/>
        <v>0.39891472868217059</v>
      </c>
      <c r="AD190" s="1">
        <f t="shared" si="83"/>
        <v>0.39891472868217059</v>
      </c>
    </row>
    <row r="191" spans="1:30" ht="15">
      <c r="A191" s="1">
        <v>190</v>
      </c>
      <c r="B191" s="1">
        <f t="shared" si="86"/>
        <v>0</v>
      </c>
      <c r="C191" s="1">
        <f t="shared" si="79"/>
        <v>0</v>
      </c>
      <c r="D191" s="1">
        <f t="shared" si="84"/>
        <v>1.2592149877471481E-2</v>
      </c>
      <c r="E191">
        <v>270.10000000000002</v>
      </c>
      <c r="K191" s="1">
        <f>'Solar Availability and Gener GR'!F191</f>
        <v>1.0856405234577132E-2</v>
      </c>
      <c r="L191" s="1">
        <v>0.39891472868217059</v>
      </c>
      <c r="M191" s="1">
        <f t="shared" si="80"/>
        <v>-0.38805832344759345</v>
      </c>
      <c r="N191" s="1" t="str">
        <f t="shared" si="81"/>
        <v>Buy from Grid</v>
      </c>
      <c r="V191" s="1" t="str">
        <f t="shared" si="107"/>
        <v>buy from the Grid</v>
      </c>
      <c r="X191" s="1">
        <f t="shared" si="108"/>
        <v>-0.104814553163195</v>
      </c>
      <c r="Y191" s="1">
        <f t="shared" si="78"/>
        <v>0.10774686821705429</v>
      </c>
      <c r="AA191" s="1">
        <f t="shared" si="82"/>
        <v>68.841924588686211</v>
      </c>
      <c r="AC191" s="1">
        <f t="shared" si="106"/>
        <v>0.39891472868217059</v>
      </c>
      <c r="AD191" s="1">
        <f t="shared" si="83"/>
        <v>0.39891472868217059</v>
      </c>
    </row>
    <row r="192" spans="1:30" ht="15">
      <c r="A192" s="1">
        <v>191</v>
      </c>
      <c r="B192" s="1">
        <f t="shared" si="86"/>
        <v>0</v>
      </c>
      <c r="C192" s="1">
        <f t="shared" si="79"/>
        <v>0</v>
      </c>
      <c r="D192" s="1">
        <f t="shared" si="84"/>
        <v>1.2592149877471481E-2</v>
      </c>
      <c r="E192">
        <v>264.81</v>
      </c>
      <c r="K192" s="1">
        <f>'Solar Availability and Gener GR'!F192</f>
        <v>0</v>
      </c>
      <c r="L192" s="1">
        <v>0.29596899224806206</v>
      </c>
      <c r="M192" s="1">
        <f t="shared" si="80"/>
        <v>-0.29596899224806206</v>
      </c>
      <c r="N192" s="1" t="str">
        <f t="shared" si="81"/>
        <v>Buy from Grid</v>
      </c>
      <c r="V192" s="1" t="str">
        <f t="shared" si="107"/>
        <v>buy from the Grid</v>
      </c>
      <c r="X192" s="1">
        <f t="shared" si="108"/>
        <v>-7.8375548837209305E-2</v>
      </c>
      <c r="Y192" s="1">
        <f t="shared" si="78"/>
        <v>7.8375548837209305E-2</v>
      </c>
      <c r="AA192" s="1">
        <f t="shared" si="82"/>
        <v>68.545955596438148</v>
      </c>
      <c r="AC192" s="1">
        <f t="shared" si="106"/>
        <v>0.29596899224806206</v>
      </c>
      <c r="AD192" s="1">
        <f t="shared" si="83"/>
        <v>0.29596899224806206</v>
      </c>
    </row>
    <row r="193" spans="1:30" ht="15">
      <c r="A193" s="1">
        <v>192</v>
      </c>
      <c r="B193" s="1">
        <f t="shared" si="86"/>
        <v>0</v>
      </c>
      <c r="C193" s="1">
        <f t="shared" si="79"/>
        <v>0</v>
      </c>
      <c r="D193" s="1">
        <f t="shared" si="84"/>
        <v>1.2592149877471481E-2</v>
      </c>
      <c r="E193">
        <v>211.47</v>
      </c>
      <c r="K193" s="1">
        <f>'Solar Availability and Gener GR'!F193</f>
        <v>0</v>
      </c>
      <c r="L193" s="1">
        <v>0.30883720930232561</v>
      </c>
      <c r="M193" s="1">
        <f t="shared" si="80"/>
        <v>-0.30883720930232561</v>
      </c>
      <c r="N193" s="1" t="str">
        <f t="shared" si="81"/>
        <v>Buy from Grid</v>
      </c>
      <c r="V193" s="1" t="str">
        <f t="shared" si="107"/>
        <v>buy from the Grid</v>
      </c>
      <c r="X193" s="1">
        <f t="shared" si="108"/>
        <v>-6.5309804651162789E-2</v>
      </c>
      <c r="Y193" s="1">
        <f t="shared" si="78"/>
        <v>6.5309804651162789E-2</v>
      </c>
      <c r="AA193" s="1">
        <f t="shared" si="82"/>
        <v>68.237118387135823</v>
      </c>
      <c r="AC193" s="1">
        <f t="shared" si="106"/>
        <v>0.30883720930232561</v>
      </c>
      <c r="AD193" s="1">
        <f t="shared" si="83"/>
        <v>0.30883720930232561</v>
      </c>
    </row>
    <row r="194" spans="1:30" ht="15">
      <c r="A194" s="1">
        <v>193</v>
      </c>
      <c r="B194" s="1">
        <f t="shared" si="86"/>
        <v>0</v>
      </c>
      <c r="C194" s="1">
        <f t="shared" si="79"/>
        <v>0</v>
      </c>
      <c r="D194" s="1">
        <f t="shared" si="84"/>
        <v>1.2592149877471481E-2</v>
      </c>
      <c r="E194">
        <v>164.67</v>
      </c>
      <c r="K194" s="1">
        <f>'Solar Availability and Gener GR'!F194</f>
        <v>0</v>
      </c>
      <c r="L194" s="1">
        <v>0.29596899224806206</v>
      </c>
      <c r="M194" s="1">
        <f t="shared" si="80"/>
        <v>-0.29596899224806206</v>
      </c>
      <c r="N194" s="1" t="str">
        <f t="shared" si="81"/>
        <v>Buy from Grid</v>
      </c>
      <c r="V194" s="1" t="str">
        <f t="shared" si="107"/>
        <v>buy from the Grid</v>
      </c>
      <c r="X194" s="1">
        <f t="shared" si="108"/>
        <v>-4.873721395348838E-2</v>
      </c>
      <c r="Y194" s="1">
        <f t="shared" ref="Y194:Y257" si="109">(L194*E194)/1000</f>
        <v>4.873721395348838E-2</v>
      </c>
      <c r="AA194" s="1">
        <f t="shared" si="82"/>
        <v>67.941149394887759</v>
      </c>
      <c r="AC194" s="1">
        <f t="shared" si="106"/>
        <v>0.29596899224806206</v>
      </c>
      <c r="AD194" s="1">
        <f t="shared" si="83"/>
        <v>0.29596899224806206</v>
      </c>
    </row>
    <row r="195" spans="1:30" ht="15">
      <c r="A195" s="1">
        <v>194</v>
      </c>
      <c r="B195" s="1">
        <f t="shared" si="86"/>
        <v>0</v>
      </c>
      <c r="C195" s="1">
        <f t="shared" ref="C195:C258" si="110">IF(V194="discharge",M194,0)</f>
        <v>0</v>
      </c>
      <c r="D195" s="1">
        <f t="shared" si="84"/>
        <v>1.2592149877471481E-2</v>
      </c>
      <c r="E195">
        <v>150</v>
      </c>
      <c r="K195" s="1">
        <f>'Solar Availability and Gener GR'!F195</f>
        <v>0</v>
      </c>
      <c r="L195" s="1">
        <v>0.29596899224806206</v>
      </c>
      <c r="M195" s="1">
        <f t="shared" ref="M195:M258" si="111">K195-L195</f>
        <v>-0.29596899224806206</v>
      </c>
      <c r="N195" s="1" t="str">
        <f t="shared" ref="N195:N258" si="112">IF(M195&lt;0,"Buy from Grid","sell the surplus or charge")</f>
        <v>Buy from Grid</v>
      </c>
      <c r="V195" s="1" t="str">
        <f t="shared" si="107"/>
        <v>buy from the Grid</v>
      </c>
      <c r="X195" s="1">
        <f t="shared" si="108"/>
        <v>-4.439534883720931E-2</v>
      </c>
      <c r="Y195" s="1">
        <f t="shared" si="109"/>
        <v>4.439534883720931E-2</v>
      </c>
      <c r="AA195" s="1">
        <f t="shared" ref="AA195:AA258" si="113">M195+AA194</f>
        <v>67.645180402639696</v>
      </c>
      <c r="AC195" s="1">
        <f t="shared" si="106"/>
        <v>0.29596899224806206</v>
      </c>
      <c r="AD195" s="1">
        <f t="shared" ref="AD195:AD258" si="114">AC195+O195</f>
        <v>0.29596899224806206</v>
      </c>
    </row>
    <row r="196" spans="1:30" ht="15">
      <c r="A196" s="1">
        <v>195</v>
      </c>
      <c r="B196" s="1">
        <f t="shared" si="86"/>
        <v>0</v>
      </c>
      <c r="C196" s="1">
        <f t="shared" si="110"/>
        <v>0</v>
      </c>
      <c r="D196" s="1">
        <f t="shared" ref="D196:D259" si="115">(D195)+(B196*0.8)+(C196/0.8)</f>
        <v>1.2592149877471481E-2</v>
      </c>
      <c r="E196">
        <v>151.04</v>
      </c>
      <c r="K196" s="1">
        <f>'Solar Availability and Gener GR'!F196</f>
        <v>0</v>
      </c>
      <c r="L196" s="1">
        <v>0.29596899224806206</v>
      </c>
      <c r="M196" s="1">
        <f t="shared" si="111"/>
        <v>-0.29596899224806206</v>
      </c>
      <c r="N196" s="1" t="str">
        <f t="shared" si="112"/>
        <v>Buy from Grid</v>
      </c>
      <c r="V196" s="1" t="str">
        <f t="shared" si="107"/>
        <v>buy from the Grid</v>
      </c>
      <c r="X196" s="1">
        <f t="shared" si="108"/>
        <v>-4.4703156589147294E-2</v>
      </c>
      <c r="Y196" s="1">
        <f t="shared" si="109"/>
        <v>4.4703156589147294E-2</v>
      </c>
      <c r="AA196" s="1">
        <f t="shared" si="113"/>
        <v>67.349211410391632</v>
      </c>
      <c r="AC196" s="1">
        <f t="shared" si="106"/>
        <v>0.29596899224806206</v>
      </c>
      <c r="AD196" s="1">
        <f t="shared" si="114"/>
        <v>0.29596899224806206</v>
      </c>
    </row>
    <row r="197" spans="1:30" ht="15">
      <c r="A197" s="1">
        <v>196</v>
      </c>
      <c r="B197" s="1">
        <f t="shared" si="86"/>
        <v>0</v>
      </c>
      <c r="C197" s="1">
        <f t="shared" si="110"/>
        <v>0</v>
      </c>
      <c r="D197" s="1">
        <f t="shared" si="115"/>
        <v>1.2592149877471481E-2</v>
      </c>
      <c r="E197">
        <v>100</v>
      </c>
      <c r="K197" s="1">
        <f>'Solar Availability and Gener GR'!F197</f>
        <v>0</v>
      </c>
      <c r="L197" s="1">
        <v>0.39891472868217059</v>
      </c>
      <c r="M197" s="1">
        <f t="shared" si="111"/>
        <v>-0.39891472868217059</v>
      </c>
      <c r="N197" s="1" t="str">
        <f t="shared" si="112"/>
        <v>Buy from Grid</v>
      </c>
      <c r="V197" s="1" t="str">
        <f t="shared" si="107"/>
        <v>buy from the Grid</v>
      </c>
      <c r="X197" s="1">
        <f t="shared" si="108"/>
        <v>-3.9891472868217058E-2</v>
      </c>
      <c r="Y197" s="1">
        <f t="shared" si="109"/>
        <v>3.9891472868217058E-2</v>
      </c>
      <c r="AA197" s="1">
        <f t="shared" si="113"/>
        <v>66.95029668170946</v>
      </c>
      <c r="AC197" s="1">
        <f t="shared" si="106"/>
        <v>0.39891472868217059</v>
      </c>
      <c r="AD197" s="1">
        <f t="shared" si="114"/>
        <v>0.39891472868217059</v>
      </c>
    </row>
    <row r="198" spans="1:30" ht="15">
      <c r="A198" s="1">
        <v>197</v>
      </c>
      <c r="B198" s="1">
        <f t="shared" si="86"/>
        <v>0</v>
      </c>
      <c r="C198" s="1">
        <f t="shared" si="110"/>
        <v>0</v>
      </c>
      <c r="D198" s="1">
        <f t="shared" si="115"/>
        <v>1.2592149877471481E-2</v>
      </c>
      <c r="E198">
        <v>152.37</v>
      </c>
      <c r="K198" s="1">
        <f>'Solar Availability and Gener GR'!F198</f>
        <v>0</v>
      </c>
      <c r="L198" s="1">
        <v>0.66914728682170543</v>
      </c>
      <c r="M198" s="1">
        <f t="shared" si="111"/>
        <v>-0.66914728682170543</v>
      </c>
      <c r="N198" s="1" t="str">
        <f t="shared" si="112"/>
        <v>Buy from Grid</v>
      </c>
      <c r="V198" s="1" t="str">
        <f t="shared" si="107"/>
        <v>buy from the Grid</v>
      </c>
      <c r="X198" s="1">
        <f t="shared" si="108"/>
        <v>-0.10195797209302326</v>
      </c>
      <c r="Y198" s="1">
        <f t="shared" si="109"/>
        <v>0.10195797209302326</v>
      </c>
      <c r="AA198" s="1">
        <f t="shared" si="113"/>
        <v>66.281149394887748</v>
      </c>
      <c r="AC198" s="1">
        <f t="shared" si="106"/>
        <v>0.66914728682170543</v>
      </c>
      <c r="AD198" s="1">
        <f t="shared" si="114"/>
        <v>0.66914728682170543</v>
      </c>
    </row>
    <row r="199" spans="1:30" ht="15">
      <c r="A199" s="1">
        <v>198</v>
      </c>
      <c r="B199" s="1">
        <f t="shared" si="86"/>
        <v>0</v>
      </c>
      <c r="C199" s="1">
        <f t="shared" si="110"/>
        <v>0</v>
      </c>
      <c r="D199" s="1">
        <f t="shared" si="115"/>
        <v>1.2592149877471481E-2</v>
      </c>
      <c r="E199">
        <v>276.68</v>
      </c>
      <c r="K199" s="1">
        <f>'Solar Availability and Gener GR'!F199</f>
        <v>0</v>
      </c>
      <c r="L199" s="1">
        <v>0.65627906976744199</v>
      </c>
      <c r="M199" s="1">
        <f t="shared" si="111"/>
        <v>-0.65627906976744199</v>
      </c>
      <c r="N199" s="1" t="str">
        <f t="shared" si="112"/>
        <v>Buy from Grid</v>
      </c>
      <c r="V199" s="1" t="str">
        <f t="shared" si="107"/>
        <v>buy from the Grid</v>
      </c>
      <c r="X199" s="1">
        <f t="shared" si="108"/>
        <v>-0.18157929302325584</v>
      </c>
      <c r="Y199" s="1">
        <f t="shared" si="109"/>
        <v>0.18157929302325584</v>
      </c>
      <c r="AA199" s="1">
        <f t="shared" si="113"/>
        <v>65.624870325120312</v>
      </c>
      <c r="AC199" s="1">
        <f t="shared" si="106"/>
        <v>0.65627906976744199</v>
      </c>
      <c r="AD199" s="1">
        <f t="shared" si="114"/>
        <v>0.65627906976744199</v>
      </c>
    </row>
    <row r="200" spans="1:30" ht="15">
      <c r="A200" s="1">
        <v>199</v>
      </c>
      <c r="B200" s="1">
        <f t="shared" si="86"/>
        <v>0</v>
      </c>
      <c r="C200" s="1">
        <f t="shared" si="110"/>
        <v>0</v>
      </c>
      <c r="D200" s="1">
        <f t="shared" si="115"/>
        <v>1.2592149877471481E-2</v>
      </c>
      <c r="E200">
        <v>351.1</v>
      </c>
      <c r="K200" s="1">
        <f>'Solar Availability and Gener GR'!F200</f>
        <v>1.6611768895219918E-2</v>
      </c>
      <c r="L200" s="1">
        <v>0.65627906976744199</v>
      </c>
      <c r="M200" s="1">
        <f t="shared" si="111"/>
        <v>-0.63966730087222212</v>
      </c>
      <c r="N200" s="1" t="str">
        <f t="shared" si="112"/>
        <v>Buy from Grid</v>
      </c>
      <c r="V200" s="1" t="str">
        <f t="shared" si="107"/>
        <v>buy from the Grid</v>
      </c>
      <c r="X200" s="1">
        <f t="shared" si="108"/>
        <v>-0.2245871893362372</v>
      </c>
      <c r="Y200" s="1">
        <f t="shared" si="109"/>
        <v>0.2304195813953489</v>
      </c>
      <c r="AA200" s="1">
        <f t="shared" si="113"/>
        <v>64.985203024248094</v>
      </c>
      <c r="AC200" s="1">
        <f t="shared" si="106"/>
        <v>0.65627906976744199</v>
      </c>
      <c r="AD200" s="1">
        <f t="shared" si="114"/>
        <v>0.65627906976744199</v>
      </c>
    </row>
    <row r="201" spans="1:30" ht="15">
      <c r="A201" s="1">
        <v>200</v>
      </c>
      <c r="B201" s="1">
        <f t="shared" si="86"/>
        <v>0</v>
      </c>
      <c r="C201" s="1">
        <f t="shared" si="110"/>
        <v>0</v>
      </c>
      <c r="D201" s="1">
        <f t="shared" si="115"/>
        <v>1.2592149877471481E-2</v>
      </c>
      <c r="E201">
        <v>351.25</v>
      </c>
      <c r="K201" s="1">
        <f>'Solar Availability and Gener GR'!F201</f>
        <v>7.3684679070595324E-2</v>
      </c>
      <c r="L201" s="1">
        <v>0.39891472868217059</v>
      </c>
      <c r="M201" s="1">
        <f t="shared" si="111"/>
        <v>-0.32523004961157526</v>
      </c>
      <c r="N201" s="1" t="str">
        <f t="shared" si="112"/>
        <v>Buy from Grid</v>
      </c>
      <c r="V201" s="1" t="str">
        <f t="shared" si="107"/>
        <v>buy from the Grid</v>
      </c>
      <c r="X201" s="1">
        <f t="shared" si="108"/>
        <v>-0.11423705492606581</v>
      </c>
      <c r="Y201" s="1">
        <f t="shared" si="109"/>
        <v>0.14011879844961242</v>
      </c>
      <c r="AA201" s="1">
        <f t="shared" si="113"/>
        <v>64.659972974636517</v>
      </c>
      <c r="AC201" s="1">
        <f t="shared" si="106"/>
        <v>0.39891472868217059</v>
      </c>
      <c r="AD201" s="1">
        <f t="shared" si="114"/>
        <v>0.39891472868217059</v>
      </c>
    </row>
    <row r="202" spans="1:30" ht="15">
      <c r="A202" s="1">
        <v>201</v>
      </c>
      <c r="B202" s="1">
        <f t="shared" si="86"/>
        <v>0</v>
      </c>
      <c r="C202" s="1">
        <f t="shared" si="110"/>
        <v>0</v>
      </c>
      <c r="D202" s="1">
        <f t="shared" si="115"/>
        <v>1.2592149877471481E-2</v>
      </c>
      <c r="E202">
        <v>283.37</v>
      </c>
      <c r="K202" s="1">
        <f>'Solar Availability and Gener GR'!F202</f>
        <v>0.29347013264488564</v>
      </c>
      <c r="L202" s="1">
        <v>0.39891472868217059</v>
      </c>
      <c r="M202" s="1">
        <f t="shared" si="111"/>
        <v>-0.10544459603728495</v>
      </c>
      <c r="N202" s="1" t="str">
        <f t="shared" si="112"/>
        <v>Buy from Grid</v>
      </c>
      <c r="V202" s="1" t="str">
        <f t="shared" si="107"/>
        <v>buy from the Grid</v>
      </c>
      <c r="X202" s="1">
        <f t="shared" si="108"/>
        <v>-2.9879835179085441E-2</v>
      </c>
      <c r="Y202" s="1">
        <f t="shared" si="109"/>
        <v>0.11304046666666669</v>
      </c>
      <c r="AA202" s="1">
        <f t="shared" si="113"/>
        <v>64.55452837859923</v>
      </c>
      <c r="AC202" s="1">
        <f t="shared" si="106"/>
        <v>0.39891472868217059</v>
      </c>
      <c r="AD202" s="1">
        <f t="shared" si="114"/>
        <v>0.39891472868217059</v>
      </c>
    </row>
    <row r="203" spans="1:30" ht="15">
      <c r="A203" s="1">
        <v>202</v>
      </c>
      <c r="B203" s="1">
        <f t="shared" si="86"/>
        <v>0</v>
      </c>
      <c r="C203" s="1">
        <f t="shared" si="110"/>
        <v>0</v>
      </c>
      <c r="D203" s="1">
        <f t="shared" si="115"/>
        <v>1.2592149877471481E-2</v>
      </c>
      <c r="E203">
        <v>193.39</v>
      </c>
      <c r="K203" s="1">
        <f>'Solar Availability and Gener GR'!F203</f>
        <v>0.74304282026172608</v>
      </c>
      <c r="L203" s="1">
        <v>0.39891472868217059</v>
      </c>
      <c r="M203" s="1">
        <f t="shared" si="111"/>
        <v>0.34412809157955548</v>
      </c>
      <c r="N203" s="1" t="str">
        <f t="shared" si="112"/>
        <v>sell the surplus or charge</v>
      </c>
      <c r="O203" s="1">
        <v>0.25</v>
      </c>
      <c r="P203" s="1">
        <f t="shared" ref="P203:P211" si="116">0.25/L203</f>
        <v>0.62670034978624167</v>
      </c>
      <c r="Q203" s="1">
        <f t="shared" ref="Q203:Q211" si="117">K203-P203*L203</f>
        <v>0.49304282026172608</v>
      </c>
      <c r="R203" s="1">
        <f t="shared" ref="R203:R211" si="118">((1/(E203+0.01))*LN(0.25))+(E203*(K203-0.25))</f>
        <v>95.342382994070221</v>
      </c>
      <c r="S203" s="1">
        <f t="shared" ref="S203:S211" si="119">((1/(E203+0.01))*LN(L203))+(E203*(K203-L203))</f>
        <v>66.546179781565542</v>
      </c>
      <c r="T203" s="1">
        <f t="shared" ref="T203:T211" si="120">(S203+((S203^2)-4*(K203-L203*P203)*LN(L203*P203))^(0.5))/(2*(K203-L203*P203))</f>
        <v>134.99121488401809</v>
      </c>
      <c r="U203" s="1" t="str">
        <f t="shared" ref="U203:U211" si="121">IF(E203&gt;=T203*1.05,"sell to the Grid","charge")</f>
        <v>sell to the Grid</v>
      </c>
      <c r="W203" s="1">
        <f t="shared" ref="W203:W211" si="122">(Q203*E203)/1000</f>
        <v>9.5349551010415201E-2</v>
      </c>
      <c r="Y203" s="1">
        <f t="shared" si="109"/>
        <v>7.714611937984496E-2</v>
      </c>
      <c r="AA203" s="1">
        <f t="shared" si="113"/>
        <v>64.898656470178778</v>
      </c>
      <c r="AD203" s="1">
        <f t="shared" si="114"/>
        <v>0.25</v>
      </c>
    </row>
    <row r="204" spans="1:30" ht="15">
      <c r="A204" s="1">
        <v>203</v>
      </c>
      <c r="B204" s="1">
        <f t="shared" si="86"/>
        <v>0</v>
      </c>
      <c r="C204" s="1">
        <f t="shared" si="110"/>
        <v>0</v>
      </c>
      <c r="D204" s="1">
        <f t="shared" si="115"/>
        <v>1.2592149877471481E-2</v>
      </c>
      <c r="E204">
        <v>180.8</v>
      </c>
      <c r="K204" s="1">
        <f>'Solar Availability and Gener GR'!F204</f>
        <v>1.7000890234131563</v>
      </c>
      <c r="L204" s="1">
        <v>0.39891472868217059</v>
      </c>
      <c r="M204" s="1">
        <f t="shared" si="111"/>
        <v>1.3011742947309857</v>
      </c>
      <c r="N204" s="1" t="str">
        <f t="shared" si="112"/>
        <v>sell the surplus or charge</v>
      </c>
      <c r="O204" s="1">
        <v>0.25</v>
      </c>
      <c r="P204" s="1">
        <f t="shared" si="116"/>
        <v>0.62670034978624167</v>
      </c>
      <c r="Q204" s="1">
        <f t="shared" si="117"/>
        <v>1.4500890234131563</v>
      </c>
      <c r="R204" s="1">
        <f t="shared" si="118"/>
        <v>262.1684282998587</v>
      </c>
      <c r="S204" s="1">
        <f t="shared" si="119"/>
        <v>235.24722976186303</v>
      </c>
      <c r="T204" s="1">
        <f t="shared" si="120"/>
        <v>162.23540135770193</v>
      </c>
      <c r="U204" s="1" t="str">
        <f t="shared" si="121"/>
        <v>sell to the Grid</v>
      </c>
      <c r="W204" s="1">
        <f t="shared" si="122"/>
        <v>0.26217609543309867</v>
      </c>
      <c r="Y204" s="1">
        <f t="shared" si="109"/>
        <v>7.2123782945736445E-2</v>
      </c>
      <c r="AA204" s="1">
        <f t="shared" si="113"/>
        <v>66.199830764909763</v>
      </c>
      <c r="AD204" s="1">
        <f t="shared" si="114"/>
        <v>0.25</v>
      </c>
    </row>
    <row r="205" spans="1:30" ht="15">
      <c r="A205" s="1">
        <v>204</v>
      </c>
      <c r="B205" s="1">
        <f t="shared" si="86"/>
        <v>0</v>
      </c>
      <c r="C205" s="1">
        <f t="shared" si="110"/>
        <v>0</v>
      </c>
      <c r="D205" s="1">
        <f t="shared" si="115"/>
        <v>1.2592149877471481E-2</v>
      </c>
      <c r="E205">
        <v>178.89</v>
      </c>
      <c r="K205" s="1">
        <f>'Solar Availability and Gener GR'!F205</f>
        <v>2.3315899581589932</v>
      </c>
      <c r="L205" s="1">
        <v>0.39891472868217059</v>
      </c>
      <c r="M205" s="1">
        <f t="shared" si="111"/>
        <v>1.9326752294768226</v>
      </c>
      <c r="N205" s="1" t="str">
        <f t="shared" si="112"/>
        <v>sell the surplus or charge</v>
      </c>
      <c r="O205" s="1">
        <v>0.25</v>
      </c>
      <c r="P205" s="1">
        <f t="shared" si="116"/>
        <v>0.62670034978624167</v>
      </c>
      <c r="Q205" s="1">
        <f t="shared" si="117"/>
        <v>2.0815899581589932</v>
      </c>
      <c r="R205" s="1">
        <f t="shared" si="118"/>
        <v>372.36787862478212</v>
      </c>
      <c r="S205" s="1">
        <f t="shared" si="119"/>
        <v>345.73113481062524</v>
      </c>
      <c r="T205" s="1">
        <f t="shared" si="120"/>
        <v>166.09394175012386</v>
      </c>
      <c r="U205" s="1" t="str">
        <f t="shared" si="121"/>
        <v>sell to the Grid</v>
      </c>
      <c r="W205" s="1">
        <f t="shared" si="122"/>
        <v>0.37237562761506227</v>
      </c>
      <c r="Y205" s="1">
        <f t="shared" si="109"/>
        <v>7.1361855813953504E-2</v>
      </c>
      <c r="AA205" s="1">
        <f t="shared" si="113"/>
        <v>68.132505994386591</v>
      </c>
      <c r="AD205" s="1">
        <f t="shared" si="114"/>
        <v>0.25</v>
      </c>
    </row>
    <row r="206" spans="1:30" ht="15">
      <c r="A206" s="1">
        <v>205</v>
      </c>
      <c r="B206" s="1">
        <f t="shared" si="86"/>
        <v>0</v>
      </c>
      <c r="C206" s="1">
        <f t="shared" si="110"/>
        <v>0</v>
      </c>
      <c r="D206" s="1">
        <f t="shared" si="115"/>
        <v>1.2592149877471481E-2</v>
      </c>
      <c r="E206">
        <v>173.16</v>
      </c>
      <c r="K206" s="1">
        <f>'Solar Availability and Gener GR'!F206</f>
        <v>2.5513754117332827</v>
      </c>
      <c r="L206" s="1">
        <v>0.39891472868217059</v>
      </c>
      <c r="M206" s="1">
        <f t="shared" si="111"/>
        <v>2.1524606830511122</v>
      </c>
      <c r="N206" s="1" t="str">
        <f t="shared" si="112"/>
        <v>sell the surplus or charge</v>
      </c>
      <c r="O206" s="1">
        <v>0.25</v>
      </c>
      <c r="P206" s="1">
        <f t="shared" si="116"/>
        <v>0.62670034978624167</v>
      </c>
      <c r="Q206" s="1">
        <f t="shared" si="117"/>
        <v>2.3013754117332827</v>
      </c>
      <c r="R206" s="1">
        <f t="shared" si="118"/>
        <v>398.49816090010597</v>
      </c>
      <c r="S206" s="1">
        <f t="shared" si="119"/>
        <v>372.71478490942542</v>
      </c>
      <c r="T206" s="1">
        <f t="shared" si="120"/>
        <v>161.956777093179</v>
      </c>
      <c r="U206" s="1" t="str">
        <f t="shared" si="121"/>
        <v>sell to the Grid</v>
      </c>
      <c r="W206" s="1">
        <f t="shared" si="122"/>
        <v>0.39850616629573521</v>
      </c>
      <c r="Y206" s="1">
        <f t="shared" si="109"/>
        <v>6.9076074418604666E-2</v>
      </c>
      <c r="AA206" s="1">
        <f t="shared" si="113"/>
        <v>70.284966677437708</v>
      </c>
      <c r="AD206" s="1">
        <f t="shared" si="114"/>
        <v>0.25</v>
      </c>
    </row>
    <row r="207" spans="1:30" ht="15">
      <c r="A207" s="1">
        <v>206</v>
      </c>
      <c r="B207" s="1">
        <f t="shared" si="86"/>
        <v>0</v>
      </c>
      <c r="C207" s="1">
        <f t="shared" si="110"/>
        <v>0</v>
      </c>
      <c r="D207" s="1">
        <f t="shared" si="115"/>
        <v>1.2592149877471481E-2</v>
      </c>
      <c r="E207">
        <v>173.77</v>
      </c>
      <c r="K207" s="1">
        <f>'Solar Availability and Gener GR'!F207</f>
        <v>2.598833793287632</v>
      </c>
      <c r="L207" s="1">
        <v>0.39891472868217059</v>
      </c>
      <c r="M207" s="1">
        <f t="shared" si="111"/>
        <v>2.1999190646054614</v>
      </c>
      <c r="N207" s="1" t="str">
        <f t="shared" si="112"/>
        <v>sell the surplus or charge</v>
      </c>
      <c r="O207" s="1">
        <v>0.25</v>
      </c>
      <c r="P207" s="1">
        <f t="shared" si="116"/>
        <v>0.62670034978624167</v>
      </c>
      <c r="Q207" s="1">
        <f t="shared" si="117"/>
        <v>2.348833793287632</v>
      </c>
      <c r="R207" s="1">
        <f t="shared" si="118"/>
        <v>408.14887096438451</v>
      </c>
      <c r="S207" s="1">
        <f t="shared" si="119"/>
        <v>382.27464751722579</v>
      </c>
      <c r="T207" s="1">
        <f t="shared" si="120"/>
        <v>162.75445555756636</v>
      </c>
      <c r="U207" s="1" t="str">
        <f t="shared" si="121"/>
        <v>sell to the Grid</v>
      </c>
      <c r="W207" s="1">
        <f t="shared" si="122"/>
        <v>0.40815684825959181</v>
      </c>
      <c r="Y207" s="1">
        <f t="shared" si="109"/>
        <v>6.9319412403100786E-2</v>
      </c>
      <c r="AA207" s="1">
        <f t="shared" si="113"/>
        <v>72.484885742043176</v>
      </c>
      <c r="AD207" s="1">
        <f t="shared" si="114"/>
        <v>0.25</v>
      </c>
    </row>
    <row r="208" spans="1:30" ht="15">
      <c r="A208" s="1">
        <v>207</v>
      </c>
      <c r="B208" s="1">
        <f t="shared" ref="B208:B271" si="123">IF(U208="charge",Q208,0)</f>
        <v>0</v>
      </c>
      <c r="C208" s="1">
        <f t="shared" si="110"/>
        <v>0</v>
      </c>
      <c r="D208" s="1">
        <f t="shared" si="115"/>
        <v>1.2592149877471481E-2</v>
      </c>
      <c r="E208">
        <v>178.79</v>
      </c>
      <c r="K208" s="1">
        <f>'Solar Availability and Gener GR'!F208</f>
        <v>2.5218374432475708</v>
      </c>
      <c r="L208" s="1">
        <v>0.39891472868217059</v>
      </c>
      <c r="M208" s="1">
        <f t="shared" si="111"/>
        <v>2.1229227145654002</v>
      </c>
      <c r="N208" s="1" t="str">
        <f t="shared" si="112"/>
        <v>sell the surplus or charge</v>
      </c>
      <c r="O208" s="1">
        <v>0.25</v>
      </c>
      <c r="P208" s="1">
        <f t="shared" si="116"/>
        <v>0.62670034978624167</v>
      </c>
      <c r="Q208" s="1">
        <f t="shared" si="117"/>
        <v>2.2718374432475708</v>
      </c>
      <c r="R208" s="1">
        <f t="shared" si="118"/>
        <v>406.17406315406583</v>
      </c>
      <c r="S208" s="1">
        <f t="shared" si="119"/>
        <v>379.55221227362711</v>
      </c>
      <c r="T208" s="1">
        <f t="shared" si="120"/>
        <v>167.07203721215072</v>
      </c>
      <c r="U208" s="1" t="str">
        <f t="shared" si="121"/>
        <v>sell to the Grid</v>
      </c>
      <c r="W208" s="1">
        <f t="shared" si="122"/>
        <v>0.40618181647823315</v>
      </c>
      <c r="Y208" s="1">
        <f t="shared" si="109"/>
        <v>7.1321964341085273E-2</v>
      </c>
      <c r="AA208" s="1">
        <f t="shared" si="113"/>
        <v>74.607808456608581</v>
      </c>
      <c r="AD208" s="1">
        <f t="shared" si="114"/>
        <v>0.25</v>
      </c>
    </row>
    <row r="209" spans="1:30" ht="15">
      <c r="A209" s="1">
        <v>208</v>
      </c>
      <c r="B209" s="1">
        <f t="shared" si="123"/>
        <v>0</v>
      </c>
      <c r="C209" s="1">
        <f t="shared" si="110"/>
        <v>0</v>
      </c>
      <c r="D209" s="1">
        <f t="shared" si="115"/>
        <v>1.2592149877471481E-2</v>
      </c>
      <c r="E209">
        <v>183.23</v>
      </c>
      <c r="K209" s="1">
        <f>'Solar Availability and Gener GR'!F209</f>
        <v>2.13843140746016</v>
      </c>
      <c r="L209" s="1">
        <v>0.65627906976744199</v>
      </c>
      <c r="M209" s="1">
        <f t="shared" si="111"/>
        <v>1.4821523376927179</v>
      </c>
      <c r="N209" s="1" t="str">
        <f t="shared" si="112"/>
        <v>sell the surplus or charge</v>
      </c>
      <c r="O209" s="1">
        <v>0.25</v>
      </c>
      <c r="P209" s="1">
        <f t="shared" si="116"/>
        <v>0.38093550673281351</v>
      </c>
      <c r="Q209" s="1">
        <f t="shared" si="117"/>
        <v>1.88843140746016</v>
      </c>
      <c r="R209" s="1">
        <f t="shared" si="118"/>
        <v>346.00972133181358</v>
      </c>
      <c r="S209" s="1">
        <f t="shared" si="119"/>
        <v>271.57247437893557</v>
      </c>
      <c r="T209" s="1">
        <f t="shared" si="120"/>
        <v>143.81359726821233</v>
      </c>
      <c r="U209" s="1" t="str">
        <f t="shared" si="121"/>
        <v>sell to the Grid</v>
      </c>
      <c r="W209" s="1">
        <f t="shared" si="122"/>
        <v>0.34601728678892513</v>
      </c>
      <c r="Y209" s="1">
        <f t="shared" si="109"/>
        <v>0.12025001395348839</v>
      </c>
      <c r="AA209" s="1">
        <f t="shared" si="113"/>
        <v>76.089960794301305</v>
      </c>
      <c r="AD209" s="1">
        <f t="shared" si="114"/>
        <v>0.25</v>
      </c>
    </row>
    <row r="210" spans="1:30" ht="15">
      <c r="A210" s="1">
        <v>209</v>
      </c>
      <c r="B210" s="1">
        <f t="shared" si="123"/>
        <v>0</v>
      </c>
      <c r="C210" s="1">
        <f t="shared" si="110"/>
        <v>0</v>
      </c>
      <c r="D210" s="1">
        <f t="shared" si="115"/>
        <v>1.2592149877471481E-2</v>
      </c>
      <c r="E210">
        <v>183.92</v>
      </c>
      <c r="K210" s="1">
        <f>'Solar Availability and Gener GR'!F210</f>
        <v>1.6784563340158452</v>
      </c>
      <c r="L210" s="1">
        <v>0.66914728682170543</v>
      </c>
      <c r="M210" s="1">
        <f t="shared" si="111"/>
        <v>1.0093090471941397</v>
      </c>
      <c r="N210" s="1" t="str">
        <f t="shared" si="112"/>
        <v>sell the surplus or charge</v>
      </c>
      <c r="O210" s="1">
        <v>0.25</v>
      </c>
      <c r="P210" s="1">
        <f t="shared" si="116"/>
        <v>0.3736098239110287</v>
      </c>
      <c r="Q210" s="1">
        <f t="shared" si="117"/>
        <v>1.4284563340158452</v>
      </c>
      <c r="R210" s="1">
        <f t="shared" si="118"/>
        <v>262.71415187634403</v>
      </c>
      <c r="S210" s="1">
        <f t="shared" si="119"/>
        <v>185.62993569917623</v>
      </c>
      <c r="T210" s="1">
        <f t="shared" si="120"/>
        <v>129.95889230520569</v>
      </c>
      <c r="U210" s="1" t="str">
        <f t="shared" si="121"/>
        <v>sell to the Grid</v>
      </c>
      <c r="W210" s="1">
        <f t="shared" si="122"/>
        <v>0.26272168895219422</v>
      </c>
      <c r="Y210" s="1">
        <f t="shared" si="109"/>
        <v>0.12306956899224805</v>
      </c>
      <c r="AA210" s="1">
        <f t="shared" si="113"/>
        <v>77.099269841495442</v>
      </c>
      <c r="AD210" s="1">
        <f t="shared" si="114"/>
        <v>0.25</v>
      </c>
    </row>
    <row r="211" spans="1:30" ht="15">
      <c r="A211" s="1">
        <v>210</v>
      </c>
      <c r="B211" s="1">
        <f t="shared" si="123"/>
        <v>0</v>
      </c>
      <c r="C211" s="1">
        <f t="shared" si="110"/>
        <v>0</v>
      </c>
      <c r="D211" s="1">
        <f t="shared" si="115"/>
        <v>1.2592149877471481E-2</v>
      </c>
      <c r="E211">
        <v>199.16</v>
      </c>
      <c r="K211" s="1">
        <f>'Solar Availability and Gener GR'!F211</f>
        <v>1.0269518383334808</v>
      </c>
      <c r="L211" s="1">
        <v>0.65627906976744199</v>
      </c>
      <c r="M211" s="1">
        <f t="shared" si="111"/>
        <v>0.37067276856603881</v>
      </c>
      <c r="N211" s="1" t="str">
        <f t="shared" si="112"/>
        <v>sell the surplus or charge</v>
      </c>
      <c r="O211" s="1">
        <v>0.25</v>
      </c>
      <c r="P211" s="1">
        <f t="shared" si="116"/>
        <v>0.38093550673281351</v>
      </c>
      <c r="Q211" s="1">
        <f t="shared" si="117"/>
        <v>0.7769518383334808</v>
      </c>
      <c r="R211" s="1">
        <f t="shared" si="118"/>
        <v>154.7307677652077</v>
      </c>
      <c r="S211" s="1">
        <f t="shared" si="119"/>
        <v>73.821073966086615</v>
      </c>
      <c r="T211" s="1">
        <f t="shared" si="120"/>
        <v>95.032481947613334</v>
      </c>
      <c r="U211" s="1" t="str">
        <f t="shared" si="121"/>
        <v>sell to the Grid</v>
      </c>
      <c r="W211" s="1">
        <f t="shared" si="122"/>
        <v>0.15473772812249603</v>
      </c>
      <c r="Y211" s="1">
        <f t="shared" si="109"/>
        <v>0.13070453953488373</v>
      </c>
      <c r="AA211" s="1">
        <f t="shared" si="113"/>
        <v>77.46994261006148</v>
      </c>
      <c r="AC211" s="1">
        <f t="shared" ref="AC211:AC226" si="124">L211</f>
        <v>0.65627906976744199</v>
      </c>
      <c r="AD211" s="1">
        <f t="shared" si="114"/>
        <v>0.90627906976744199</v>
      </c>
    </row>
    <row r="212" spans="1:30" ht="15">
      <c r="A212" s="1">
        <v>211</v>
      </c>
      <c r="B212" s="1">
        <f t="shared" si="123"/>
        <v>0</v>
      </c>
      <c r="C212" s="1">
        <f t="shared" si="110"/>
        <v>0</v>
      </c>
      <c r="D212" s="1">
        <f t="shared" si="115"/>
        <v>1.2592149877471481E-2</v>
      </c>
      <c r="E212">
        <v>182.18</v>
      </c>
      <c r="K212" s="1">
        <f>'Solar Availability and Gener GR'!F212</f>
        <v>0.35632511350485152</v>
      </c>
      <c r="L212" s="1">
        <v>0.66914728682170543</v>
      </c>
      <c r="M212" s="1">
        <f t="shared" si="111"/>
        <v>-0.31282217331685391</v>
      </c>
      <c r="N212" s="1" t="str">
        <f t="shared" si="112"/>
        <v>Buy from Grid</v>
      </c>
      <c r="V212" s="1" t="str">
        <f t="shared" ref="V212:V226" si="125">IF(D212+M212&gt;0,"discharge","buy from the Grid")</f>
        <v>buy from the Grid</v>
      </c>
      <c r="X212" s="1">
        <f t="shared" ref="X212:X226" si="126">(M212*E212)/1000</f>
        <v>-5.6989943534864446E-2</v>
      </c>
      <c r="Y212" s="1">
        <f t="shared" si="109"/>
        <v>0.1219052527131783</v>
      </c>
      <c r="AA212" s="1">
        <f t="shared" si="113"/>
        <v>77.15712043674462</v>
      </c>
      <c r="AC212" s="1">
        <f t="shared" si="124"/>
        <v>0.66914728682170543</v>
      </c>
      <c r="AD212" s="1">
        <f t="shared" si="114"/>
        <v>0.66914728682170543</v>
      </c>
    </row>
    <row r="213" spans="1:30" ht="15">
      <c r="A213" s="1">
        <v>212</v>
      </c>
      <c r="B213" s="1">
        <f t="shared" si="123"/>
        <v>0</v>
      </c>
      <c r="C213" s="1">
        <f t="shared" si="110"/>
        <v>0</v>
      </c>
      <c r="D213" s="1">
        <f t="shared" si="115"/>
        <v>1.2592149877471481E-2</v>
      </c>
      <c r="E213">
        <v>180.8</v>
      </c>
      <c r="K213" s="1">
        <f>'Solar Availability and Gener GR'!F213</f>
        <v>3.9953707825157996E-2</v>
      </c>
      <c r="L213" s="1">
        <v>0.39891472868217059</v>
      </c>
      <c r="M213" s="1">
        <f t="shared" si="111"/>
        <v>-0.35896102085701259</v>
      </c>
      <c r="N213" s="1" t="str">
        <f t="shared" si="112"/>
        <v>Buy from Grid</v>
      </c>
      <c r="V213" s="1" t="str">
        <f t="shared" si="125"/>
        <v>buy from the Grid</v>
      </c>
      <c r="X213" s="1">
        <f t="shared" si="126"/>
        <v>-6.4900152570947875E-2</v>
      </c>
      <c r="Y213" s="1">
        <f t="shared" si="109"/>
        <v>7.2123782945736445E-2</v>
      </c>
      <c r="AA213" s="1">
        <f t="shared" si="113"/>
        <v>76.798159415887611</v>
      </c>
      <c r="AC213" s="1">
        <f t="shared" si="124"/>
        <v>0.39891472868217059</v>
      </c>
      <c r="AD213" s="1">
        <f t="shared" si="114"/>
        <v>0.39891472868217059</v>
      </c>
    </row>
    <row r="214" spans="1:30" ht="15">
      <c r="A214" s="1">
        <v>213</v>
      </c>
      <c r="B214" s="1">
        <f t="shared" si="123"/>
        <v>0</v>
      </c>
      <c r="C214" s="1">
        <f t="shared" si="110"/>
        <v>0</v>
      </c>
      <c r="D214" s="1">
        <f t="shared" si="115"/>
        <v>1.2592149877471481E-2</v>
      </c>
      <c r="E214">
        <v>170</v>
      </c>
      <c r="K214" s="1">
        <f>'Solar Availability and Gener GR'!F214</f>
        <v>0</v>
      </c>
      <c r="L214" s="1">
        <v>0.39891472868217059</v>
      </c>
      <c r="M214" s="1">
        <f t="shared" si="111"/>
        <v>-0.39891472868217059</v>
      </c>
      <c r="N214" s="1" t="str">
        <f t="shared" si="112"/>
        <v>Buy from Grid</v>
      </c>
      <c r="V214" s="1" t="str">
        <f t="shared" si="125"/>
        <v>buy from the Grid</v>
      </c>
      <c r="X214" s="1">
        <f t="shared" si="126"/>
        <v>-6.7815503875969005E-2</v>
      </c>
      <c r="Y214" s="1">
        <f t="shared" si="109"/>
        <v>6.7815503875969005E-2</v>
      </c>
      <c r="AA214" s="1">
        <f t="shared" si="113"/>
        <v>76.399244687205439</v>
      </c>
      <c r="AC214" s="1">
        <f t="shared" si="124"/>
        <v>0.39891472868217059</v>
      </c>
      <c r="AD214" s="1">
        <f t="shared" si="114"/>
        <v>0.39891472868217059</v>
      </c>
    </row>
    <row r="215" spans="1:30" ht="15">
      <c r="A215" s="1">
        <v>214</v>
      </c>
      <c r="B215" s="1">
        <f t="shared" si="123"/>
        <v>0</v>
      </c>
      <c r="C215" s="1">
        <f t="shared" si="110"/>
        <v>0</v>
      </c>
      <c r="D215" s="1">
        <f t="shared" si="115"/>
        <v>1.2592149877471481E-2</v>
      </c>
      <c r="E215">
        <v>139.63</v>
      </c>
      <c r="K215" s="1">
        <f>'Solar Availability and Gener GR'!F215</f>
        <v>0</v>
      </c>
      <c r="L215" s="1">
        <v>0.39891472868217059</v>
      </c>
      <c r="M215" s="1">
        <f t="shared" si="111"/>
        <v>-0.39891472868217059</v>
      </c>
      <c r="N215" s="1" t="str">
        <f t="shared" si="112"/>
        <v>Buy from Grid</v>
      </c>
      <c r="V215" s="1" t="str">
        <f t="shared" si="125"/>
        <v>buy from the Grid</v>
      </c>
      <c r="X215" s="1">
        <f t="shared" si="126"/>
        <v>-5.5700463565891478E-2</v>
      </c>
      <c r="Y215" s="1">
        <f t="shared" si="109"/>
        <v>5.5700463565891478E-2</v>
      </c>
      <c r="AA215" s="1">
        <f t="shared" si="113"/>
        <v>76.000329958523267</v>
      </c>
      <c r="AC215" s="1">
        <f t="shared" si="124"/>
        <v>0.39891472868217059</v>
      </c>
      <c r="AD215" s="1">
        <f t="shared" si="114"/>
        <v>0.39891472868217059</v>
      </c>
    </row>
    <row r="216" spans="1:30" ht="15">
      <c r="A216" s="1">
        <v>215</v>
      </c>
      <c r="B216" s="1">
        <f t="shared" si="123"/>
        <v>0</v>
      </c>
      <c r="C216" s="1">
        <f t="shared" si="110"/>
        <v>0</v>
      </c>
      <c r="D216" s="1">
        <f t="shared" si="115"/>
        <v>1.2592149877471481E-2</v>
      </c>
      <c r="E216">
        <v>132</v>
      </c>
      <c r="K216" s="1">
        <f>'Solar Availability and Gener GR'!F216</f>
        <v>0</v>
      </c>
      <c r="L216" s="1">
        <v>0.29596899224806206</v>
      </c>
      <c r="M216" s="1">
        <f t="shared" si="111"/>
        <v>-0.29596899224806206</v>
      </c>
      <c r="N216" s="1" t="str">
        <f t="shared" si="112"/>
        <v>Buy from Grid</v>
      </c>
      <c r="V216" s="1" t="str">
        <f t="shared" si="125"/>
        <v>buy from the Grid</v>
      </c>
      <c r="X216" s="1">
        <f t="shared" si="126"/>
        <v>-3.9067906976744192E-2</v>
      </c>
      <c r="Y216" s="1">
        <f t="shared" si="109"/>
        <v>3.9067906976744192E-2</v>
      </c>
      <c r="AA216" s="1">
        <f t="shared" si="113"/>
        <v>75.704360966275203</v>
      </c>
      <c r="AC216" s="1">
        <f t="shared" si="124"/>
        <v>0.29596899224806206</v>
      </c>
      <c r="AD216" s="1">
        <f t="shared" si="114"/>
        <v>0.29596899224806206</v>
      </c>
    </row>
    <row r="217" spans="1:30" ht="15">
      <c r="A217" s="1">
        <v>216</v>
      </c>
      <c r="B217" s="1">
        <f t="shared" si="123"/>
        <v>0</v>
      </c>
      <c r="C217" s="1">
        <f t="shared" si="110"/>
        <v>0</v>
      </c>
      <c r="D217" s="1">
        <f t="shared" si="115"/>
        <v>1.2592149877471481E-2</v>
      </c>
      <c r="E217">
        <v>99.45</v>
      </c>
      <c r="K217" s="1">
        <f>'Solar Availability and Gener GR'!F217</f>
        <v>0</v>
      </c>
      <c r="L217" s="1">
        <v>0.29596899224806206</v>
      </c>
      <c r="M217" s="1">
        <f t="shared" si="111"/>
        <v>-0.29596899224806206</v>
      </c>
      <c r="N217" s="1" t="str">
        <f t="shared" si="112"/>
        <v>Buy from Grid</v>
      </c>
      <c r="V217" s="1" t="str">
        <f t="shared" si="125"/>
        <v>buy from the Grid</v>
      </c>
      <c r="X217" s="1">
        <f t="shared" si="126"/>
        <v>-2.9434116279069774E-2</v>
      </c>
      <c r="Y217" s="1">
        <f t="shared" si="109"/>
        <v>2.9434116279069774E-2</v>
      </c>
      <c r="AA217" s="1">
        <f t="shared" si="113"/>
        <v>75.40839197402714</v>
      </c>
      <c r="AC217" s="1">
        <f t="shared" si="124"/>
        <v>0.29596899224806206</v>
      </c>
      <c r="AD217" s="1">
        <f t="shared" si="114"/>
        <v>0.29596899224806206</v>
      </c>
    </row>
    <row r="218" spans="1:30" ht="15">
      <c r="A218" s="1">
        <v>217</v>
      </c>
      <c r="B218" s="1">
        <f t="shared" si="123"/>
        <v>0</v>
      </c>
      <c r="C218" s="1">
        <f t="shared" si="110"/>
        <v>0</v>
      </c>
      <c r="D218" s="1">
        <f t="shared" si="115"/>
        <v>1.2592149877471481E-2</v>
      </c>
      <c r="E218">
        <v>100</v>
      </c>
      <c r="K218" s="1">
        <f>'Solar Availability and Gener GR'!F218</f>
        <v>0</v>
      </c>
      <c r="L218" s="1">
        <v>0.29596899224806206</v>
      </c>
      <c r="M218" s="1">
        <f t="shared" si="111"/>
        <v>-0.29596899224806206</v>
      </c>
      <c r="N218" s="1" t="str">
        <f t="shared" si="112"/>
        <v>Buy from Grid</v>
      </c>
      <c r="V218" s="1" t="str">
        <f t="shared" si="125"/>
        <v>buy from the Grid</v>
      </c>
      <c r="X218" s="1">
        <f t="shared" si="126"/>
        <v>-2.9596899224806204E-2</v>
      </c>
      <c r="Y218" s="1">
        <f t="shared" si="109"/>
        <v>2.9596899224806204E-2</v>
      </c>
      <c r="AA218" s="1">
        <f t="shared" si="113"/>
        <v>75.112422981779076</v>
      </c>
      <c r="AC218" s="1">
        <f t="shared" si="124"/>
        <v>0.29596899224806206</v>
      </c>
      <c r="AD218" s="1">
        <f t="shared" si="114"/>
        <v>0.29596899224806206</v>
      </c>
    </row>
    <row r="219" spans="1:30" ht="15">
      <c r="A219" s="1">
        <v>218</v>
      </c>
      <c r="B219" s="1">
        <f t="shared" si="123"/>
        <v>0</v>
      </c>
      <c r="C219" s="1">
        <f t="shared" si="110"/>
        <v>0</v>
      </c>
      <c r="D219" s="1">
        <f t="shared" si="115"/>
        <v>1.2592149877471481E-2</v>
      </c>
      <c r="E219">
        <v>85.79</v>
      </c>
      <c r="K219" s="1">
        <f>'Solar Availability and Gener GR'!F219</f>
        <v>0</v>
      </c>
      <c r="L219" s="1">
        <v>0.29596899224806206</v>
      </c>
      <c r="M219" s="1">
        <f t="shared" si="111"/>
        <v>-0.29596899224806206</v>
      </c>
      <c r="N219" s="1" t="str">
        <f t="shared" si="112"/>
        <v>Buy from Grid</v>
      </c>
      <c r="V219" s="1" t="str">
        <f t="shared" si="125"/>
        <v>buy from the Grid</v>
      </c>
      <c r="X219" s="1">
        <f t="shared" si="126"/>
        <v>-2.5391179844961247E-2</v>
      </c>
      <c r="Y219" s="1">
        <f t="shared" si="109"/>
        <v>2.5391179844961247E-2</v>
      </c>
      <c r="AA219" s="1">
        <f t="shared" si="113"/>
        <v>74.816453989531013</v>
      </c>
      <c r="AC219" s="1">
        <f t="shared" si="124"/>
        <v>0.29596899224806206</v>
      </c>
      <c r="AD219" s="1">
        <f t="shared" si="114"/>
        <v>0.29596899224806206</v>
      </c>
    </row>
    <row r="220" spans="1:30" ht="15">
      <c r="A220" s="1">
        <v>219</v>
      </c>
      <c r="B220" s="1">
        <f t="shared" si="123"/>
        <v>0</v>
      </c>
      <c r="C220" s="1">
        <f t="shared" si="110"/>
        <v>0</v>
      </c>
      <c r="D220" s="1">
        <f t="shared" si="115"/>
        <v>1.2592149877471481E-2</v>
      </c>
      <c r="E220">
        <v>71.08</v>
      </c>
      <c r="K220" s="1">
        <f>'Solar Availability and Gener GR'!F220</f>
        <v>0</v>
      </c>
      <c r="L220" s="1">
        <v>0.29596899224806206</v>
      </c>
      <c r="M220" s="1">
        <f t="shared" si="111"/>
        <v>-0.29596899224806206</v>
      </c>
      <c r="N220" s="1" t="str">
        <f t="shared" si="112"/>
        <v>Buy from Grid</v>
      </c>
      <c r="V220" s="1" t="str">
        <f t="shared" si="125"/>
        <v>buy from the Grid</v>
      </c>
      <c r="X220" s="1">
        <f t="shared" si="126"/>
        <v>-2.1037475968992251E-2</v>
      </c>
      <c r="Y220" s="1">
        <f t="shared" si="109"/>
        <v>2.1037475968992251E-2</v>
      </c>
      <c r="AA220" s="1">
        <f t="shared" si="113"/>
        <v>74.520484997282949</v>
      </c>
      <c r="AC220" s="1">
        <f t="shared" si="124"/>
        <v>0.29596899224806206</v>
      </c>
      <c r="AD220" s="1">
        <f t="shared" si="114"/>
        <v>0.29596899224806206</v>
      </c>
    </row>
    <row r="221" spans="1:30" ht="15">
      <c r="A221" s="1">
        <v>220</v>
      </c>
      <c r="B221" s="1">
        <f t="shared" si="123"/>
        <v>0</v>
      </c>
      <c r="C221" s="1">
        <f t="shared" si="110"/>
        <v>0</v>
      </c>
      <c r="D221" s="1">
        <f t="shared" si="115"/>
        <v>1.2592149877471481E-2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111"/>
        <v>-0.39891472868217059</v>
      </c>
      <c r="N221" s="1" t="str">
        <f t="shared" si="112"/>
        <v>Buy from Grid</v>
      </c>
      <c r="V221" s="1" t="str">
        <f t="shared" si="125"/>
        <v>buy from the Grid</v>
      </c>
      <c r="X221" s="1">
        <f t="shared" si="126"/>
        <v>-2.364367596899225E-2</v>
      </c>
      <c r="Y221" s="1">
        <f t="shared" si="109"/>
        <v>2.364367596899225E-2</v>
      </c>
      <c r="AA221" s="1">
        <f t="shared" si="113"/>
        <v>74.121570268600777</v>
      </c>
      <c r="AC221" s="1">
        <f t="shared" si="124"/>
        <v>0.39891472868217059</v>
      </c>
      <c r="AD221" s="1">
        <f t="shared" si="114"/>
        <v>0.39891472868217059</v>
      </c>
    </row>
    <row r="222" spans="1:30" ht="15">
      <c r="A222" s="1">
        <v>221</v>
      </c>
      <c r="B222" s="1">
        <f t="shared" si="123"/>
        <v>0</v>
      </c>
      <c r="C222" s="1">
        <f t="shared" si="110"/>
        <v>0</v>
      </c>
      <c r="D222" s="1">
        <f t="shared" si="115"/>
        <v>1.2592149877471481E-2</v>
      </c>
      <c r="E222">
        <v>92.99</v>
      </c>
      <c r="K222" s="1">
        <f>'Solar Availability and Gener GR'!F222</f>
        <v>0</v>
      </c>
      <c r="L222" s="1">
        <v>0.51472868217054268</v>
      </c>
      <c r="M222" s="1">
        <f t="shared" si="111"/>
        <v>-0.51472868217054268</v>
      </c>
      <c r="N222" s="1" t="str">
        <f t="shared" si="112"/>
        <v>Buy from Grid</v>
      </c>
      <c r="V222" s="1" t="str">
        <f t="shared" si="125"/>
        <v>buy from the Grid</v>
      </c>
      <c r="X222" s="1">
        <f t="shared" si="126"/>
        <v>-4.7864620155038763E-2</v>
      </c>
      <c r="Y222" s="1">
        <f t="shared" si="109"/>
        <v>4.7864620155038763E-2</v>
      </c>
      <c r="AA222" s="1">
        <f t="shared" si="113"/>
        <v>73.606841586430235</v>
      </c>
      <c r="AC222" s="1">
        <f t="shared" si="124"/>
        <v>0.51472868217054268</v>
      </c>
      <c r="AD222" s="1">
        <f t="shared" si="114"/>
        <v>0.51472868217054268</v>
      </c>
    </row>
    <row r="223" spans="1:30" ht="15">
      <c r="A223" s="1">
        <v>222</v>
      </c>
      <c r="B223" s="1">
        <f t="shared" si="123"/>
        <v>0</v>
      </c>
      <c r="C223" s="1">
        <f t="shared" si="110"/>
        <v>0</v>
      </c>
      <c r="D223" s="1">
        <f t="shared" si="115"/>
        <v>1.2592149877471481E-2</v>
      </c>
      <c r="E223">
        <v>108.61</v>
      </c>
      <c r="K223" s="1">
        <f>'Solar Availability and Gener GR'!F223</f>
        <v>0</v>
      </c>
      <c r="L223" s="1">
        <v>0.65627906976744199</v>
      </c>
      <c r="M223" s="1">
        <f t="shared" si="111"/>
        <v>-0.65627906976744199</v>
      </c>
      <c r="N223" s="1" t="str">
        <f t="shared" si="112"/>
        <v>Buy from Grid</v>
      </c>
      <c r="V223" s="1" t="str">
        <f t="shared" si="125"/>
        <v>buy from the Grid</v>
      </c>
      <c r="X223" s="1">
        <f t="shared" si="126"/>
        <v>-7.1278469767441871E-2</v>
      </c>
      <c r="Y223" s="1">
        <f t="shared" si="109"/>
        <v>7.1278469767441871E-2</v>
      </c>
      <c r="AA223" s="1">
        <f t="shared" si="113"/>
        <v>72.950562516662799</v>
      </c>
      <c r="AC223" s="1">
        <f t="shared" si="124"/>
        <v>0.65627906976744199</v>
      </c>
      <c r="AD223" s="1">
        <f t="shared" si="114"/>
        <v>0.65627906976744199</v>
      </c>
    </row>
    <row r="224" spans="1:30" ht="15">
      <c r="A224" s="1">
        <v>223</v>
      </c>
      <c r="B224" s="1">
        <f t="shared" si="123"/>
        <v>0</v>
      </c>
      <c r="C224" s="1">
        <f t="shared" si="110"/>
        <v>0</v>
      </c>
      <c r="D224" s="1">
        <f t="shared" si="115"/>
        <v>1.2592149877471481E-2</v>
      </c>
      <c r="E224">
        <v>145.69</v>
      </c>
      <c r="K224" s="1">
        <f>'Solar Availability and Gener GR'!F224</f>
        <v>1.6611768895219918E-2</v>
      </c>
      <c r="L224" s="1">
        <v>0.65627906976744199</v>
      </c>
      <c r="M224" s="1">
        <f t="shared" si="111"/>
        <v>-0.63966730087222212</v>
      </c>
      <c r="N224" s="1" t="str">
        <f t="shared" si="112"/>
        <v>Buy from Grid</v>
      </c>
      <c r="V224" s="1" t="str">
        <f t="shared" si="125"/>
        <v>buy from the Grid</v>
      </c>
      <c r="X224" s="1">
        <f t="shared" si="126"/>
        <v>-9.3193129064074037E-2</v>
      </c>
      <c r="Y224" s="1">
        <f t="shared" si="109"/>
        <v>9.5613297674418618E-2</v>
      </c>
      <c r="AA224" s="1">
        <f t="shared" si="113"/>
        <v>72.31089521579058</v>
      </c>
      <c r="AC224" s="1">
        <f t="shared" si="124"/>
        <v>0.65627906976744199</v>
      </c>
      <c r="AD224" s="1">
        <f t="shared" si="114"/>
        <v>0.65627906976744199</v>
      </c>
    </row>
    <row r="225" spans="1:30" ht="15">
      <c r="A225" s="1">
        <v>224</v>
      </c>
      <c r="B225" s="1">
        <f t="shared" si="123"/>
        <v>0</v>
      </c>
      <c r="C225" s="1">
        <f t="shared" si="110"/>
        <v>0</v>
      </c>
      <c r="D225" s="1">
        <f t="shared" si="115"/>
        <v>1.2592149877471481E-2</v>
      </c>
      <c r="E225">
        <v>176.37</v>
      </c>
      <c r="K225" s="1">
        <f>'Solar Availability and Gener GR'!F225</f>
        <v>2.5785631621116648E-2</v>
      </c>
      <c r="L225" s="1">
        <v>0.39891472868217059</v>
      </c>
      <c r="M225" s="1">
        <f t="shared" si="111"/>
        <v>-0.37312909706105396</v>
      </c>
      <c r="N225" s="1" t="str">
        <f t="shared" si="112"/>
        <v>Buy from Grid</v>
      </c>
      <c r="V225" s="1" t="str">
        <f t="shared" si="125"/>
        <v>buy from the Grid</v>
      </c>
      <c r="X225" s="1">
        <f t="shared" si="126"/>
        <v>-6.5808778848658087E-2</v>
      </c>
      <c r="Y225" s="1">
        <f t="shared" si="109"/>
        <v>7.0356590697674429E-2</v>
      </c>
      <c r="AA225" s="1">
        <f t="shared" si="113"/>
        <v>71.937766118729527</v>
      </c>
      <c r="AC225" s="1">
        <f t="shared" si="124"/>
        <v>0.39891472868217059</v>
      </c>
      <c r="AD225" s="1">
        <f t="shared" si="114"/>
        <v>0.39891472868217059</v>
      </c>
    </row>
    <row r="226" spans="1:30" ht="15">
      <c r="A226" s="1">
        <v>225</v>
      </c>
      <c r="B226" s="1">
        <f t="shared" si="123"/>
        <v>0</v>
      </c>
      <c r="C226" s="1">
        <f t="shared" si="110"/>
        <v>0</v>
      </c>
      <c r="D226" s="1">
        <f t="shared" si="115"/>
        <v>1.2592149877471481E-2</v>
      </c>
      <c r="E226">
        <v>183.06</v>
      </c>
      <c r="K226" s="1">
        <f>'Solar Availability and Gener GR'!F226</f>
        <v>0.1881643372206887</v>
      </c>
      <c r="L226" s="1">
        <v>0.39891472868217059</v>
      </c>
      <c r="M226" s="1">
        <f t="shared" si="111"/>
        <v>-0.21075039146148189</v>
      </c>
      <c r="N226" s="1" t="str">
        <f t="shared" si="112"/>
        <v>Buy from Grid</v>
      </c>
      <c r="V226" s="1" t="str">
        <f t="shared" si="125"/>
        <v>buy from the Grid</v>
      </c>
      <c r="X226" s="1">
        <f t="shared" si="126"/>
        <v>-3.8579966660938873E-2</v>
      </c>
      <c r="Y226" s="1">
        <f t="shared" si="109"/>
        <v>7.3025330232558153E-2</v>
      </c>
      <c r="AA226" s="1">
        <f t="shared" si="113"/>
        <v>71.727015727268039</v>
      </c>
      <c r="AC226" s="1">
        <f t="shared" si="124"/>
        <v>0.39891472868217059</v>
      </c>
      <c r="AD226" s="1">
        <f t="shared" si="114"/>
        <v>0.39891472868217059</v>
      </c>
    </row>
    <row r="227" spans="1:30" ht="15">
      <c r="A227" s="1">
        <v>226</v>
      </c>
      <c r="B227" s="1">
        <f t="shared" si="123"/>
        <v>0</v>
      </c>
      <c r="C227" s="1">
        <f t="shared" si="110"/>
        <v>0</v>
      </c>
      <c r="D227" s="1">
        <f t="shared" si="115"/>
        <v>1.2592149877471481E-2</v>
      </c>
      <c r="E227">
        <v>169.51</v>
      </c>
      <c r="K227" s="1">
        <f>'Solar Availability and Gener GR'!F227</f>
        <v>0.6856093652630616</v>
      </c>
      <c r="L227" s="1">
        <v>0.39891472868217059</v>
      </c>
      <c r="M227" s="1">
        <f t="shared" si="111"/>
        <v>0.286694636580891</v>
      </c>
      <c r="N227" s="1" t="str">
        <f t="shared" si="112"/>
        <v>sell the surplus or charge</v>
      </c>
      <c r="O227" s="1">
        <v>0.25</v>
      </c>
      <c r="P227" s="1">
        <f t="shared" ref="P227:P234" si="127">0.25/L227</f>
        <v>0.62670034978624167</v>
      </c>
      <c r="Q227" s="1">
        <f t="shared" ref="Q227:Q234" si="128">K227-P227*L227</f>
        <v>0.4356093652630616</v>
      </c>
      <c r="R227" s="1">
        <f t="shared" ref="R227:R234" si="129">((1/(E227+0.01))*LN(0.25))+(E227*(K227-0.25))</f>
        <v>73.831965742875113</v>
      </c>
      <c r="S227" s="1">
        <f t="shared" ref="S227:S234" si="130">((1/(E227+0.01))*LN(L227))+(E227*(K227-L227))</f>
        <v>48.592186612768856</v>
      </c>
      <c r="T227" s="1">
        <f t="shared" ref="T227:T234" si="131">(S227+((S227^2)-4*(K227-L227*P227)*LN(L227*P227))^(0.5))/(2*(K227-L227*P227))</f>
        <v>111.57843444616124</v>
      </c>
      <c r="U227" s="1" t="str">
        <f t="shared" ref="U227:U234" si="132">IF(E227&gt;=T227*1.05,"sell to the Grid","charge")</f>
        <v>sell to the Grid</v>
      </c>
      <c r="W227" s="1">
        <f t="shared" ref="W227:W234" si="133">(Q227*E227)/1000</f>
        <v>7.3840143505741571E-2</v>
      </c>
      <c r="Y227" s="1">
        <f t="shared" si="109"/>
        <v>6.7620035658914737E-2</v>
      </c>
      <c r="AA227" s="1">
        <f t="shared" si="113"/>
        <v>72.013710363848929</v>
      </c>
      <c r="AD227" s="1">
        <f t="shared" si="114"/>
        <v>0.25</v>
      </c>
    </row>
    <row r="228" spans="1:30" ht="15">
      <c r="A228" s="1">
        <v>227</v>
      </c>
      <c r="B228" s="1">
        <f t="shared" si="123"/>
        <v>0</v>
      </c>
      <c r="C228" s="1">
        <f t="shared" si="110"/>
        <v>0</v>
      </c>
      <c r="D228" s="1">
        <f t="shared" si="115"/>
        <v>1.2592149877471481E-2</v>
      </c>
      <c r="E228">
        <v>162.44</v>
      </c>
      <c r="K228" s="1">
        <f>'Solar Availability and Gener GR'!F228</f>
        <v>1.3745571085195381</v>
      </c>
      <c r="L228" s="1">
        <v>0.39891472868217059</v>
      </c>
      <c r="M228" s="1">
        <f t="shared" si="111"/>
        <v>0.97564237983736746</v>
      </c>
      <c r="N228" s="1" t="str">
        <f t="shared" si="112"/>
        <v>sell the surplus or charge</v>
      </c>
      <c r="O228" s="1">
        <v>0.25</v>
      </c>
      <c r="P228" s="1">
        <f t="shared" si="127"/>
        <v>0.62670034978624167</v>
      </c>
      <c r="Q228" s="1">
        <f t="shared" si="128"/>
        <v>1.1245571085195381</v>
      </c>
      <c r="R228" s="1">
        <f t="shared" si="129"/>
        <v>182.66452303994748</v>
      </c>
      <c r="S228" s="1">
        <f t="shared" si="130"/>
        <v>158.47769100874439</v>
      </c>
      <c r="T228" s="1">
        <f t="shared" si="131"/>
        <v>140.9332850569958</v>
      </c>
      <c r="U228" s="1" t="str">
        <f t="shared" si="132"/>
        <v>sell to the Grid</v>
      </c>
      <c r="W228" s="1">
        <f t="shared" si="133"/>
        <v>0.18267305670791376</v>
      </c>
      <c r="Y228" s="1">
        <f t="shared" si="109"/>
        <v>6.479970852713178E-2</v>
      </c>
      <c r="AA228" s="1">
        <f t="shared" si="113"/>
        <v>72.989352743686297</v>
      </c>
      <c r="AD228" s="1">
        <f t="shared" si="114"/>
        <v>0.25</v>
      </c>
    </row>
    <row r="229" spans="1:30" ht="15">
      <c r="A229" s="1">
        <v>228</v>
      </c>
      <c r="B229" s="1">
        <f t="shared" si="123"/>
        <v>0</v>
      </c>
      <c r="C229" s="1">
        <f t="shared" si="110"/>
        <v>0</v>
      </c>
      <c r="D229" s="1">
        <f t="shared" si="115"/>
        <v>1.2592149877471481E-2</v>
      </c>
      <c r="E229">
        <v>159.97999999999999</v>
      </c>
      <c r="K229" s="1">
        <f>'Solar Availability and Gener GR'!F229</f>
        <v>1.7953930383690888</v>
      </c>
      <c r="L229" s="1">
        <v>0.39891472868217059</v>
      </c>
      <c r="M229" s="1">
        <f t="shared" si="111"/>
        <v>1.3964783096869182</v>
      </c>
      <c r="N229" s="1" t="str">
        <f t="shared" si="112"/>
        <v>sell the surplus or charge</v>
      </c>
      <c r="O229" s="1">
        <v>0.25</v>
      </c>
      <c r="P229" s="1">
        <f t="shared" si="127"/>
        <v>0.62670034978624167</v>
      </c>
      <c r="Q229" s="1">
        <f t="shared" si="128"/>
        <v>1.5453930383690888</v>
      </c>
      <c r="R229" s="1">
        <f t="shared" si="129"/>
        <v>247.22331339697473</v>
      </c>
      <c r="S229" s="1">
        <f t="shared" si="130"/>
        <v>223.40285582721896</v>
      </c>
      <c r="T229" s="1">
        <f t="shared" si="131"/>
        <v>144.56674747681279</v>
      </c>
      <c r="U229" s="1" t="str">
        <f t="shared" si="132"/>
        <v>sell to the Grid</v>
      </c>
      <c r="W229" s="1">
        <f t="shared" si="133"/>
        <v>0.24723197827828683</v>
      </c>
      <c r="Y229" s="1">
        <f t="shared" si="109"/>
        <v>6.3818378294573652E-2</v>
      </c>
      <c r="AA229" s="1">
        <f t="shared" si="113"/>
        <v>74.385831053373209</v>
      </c>
      <c r="AD229" s="1">
        <f t="shared" si="114"/>
        <v>0.25</v>
      </c>
    </row>
    <row r="230" spans="1:30" ht="15">
      <c r="A230" s="1">
        <v>229</v>
      </c>
      <c r="B230" s="1">
        <f t="shared" si="123"/>
        <v>0</v>
      </c>
      <c r="C230" s="1">
        <f t="shared" si="110"/>
        <v>0</v>
      </c>
      <c r="D230" s="1">
        <f t="shared" si="115"/>
        <v>1.2592149877471481E-2</v>
      </c>
      <c r="E230">
        <v>146.19</v>
      </c>
      <c r="K230" s="1">
        <f>'Solar Availability and Gener GR'!F230</f>
        <v>1.9768939731149291</v>
      </c>
      <c r="L230" s="1">
        <v>0.39891472868217059</v>
      </c>
      <c r="M230" s="1">
        <f t="shared" si="111"/>
        <v>1.5779792444327585</v>
      </c>
      <c r="N230" s="1" t="str">
        <f t="shared" si="112"/>
        <v>sell the surplus or charge</v>
      </c>
      <c r="O230" s="1">
        <v>0.25</v>
      </c>
      <c r="P230" s="1">
        <f t="shared" si="127"/>
        <v>0.62670034978624167</v>
      </c>
      <c r="Q230" s="1">
        <f t="shared" si="128"/>
        <v>1.7268939731149291</v>
      </c>
      <c r="R230" s="1">
        <f t="shared" si="129"/>
        <v>252.44514775209885</v>
      </c>
      <c r="S230" s="1">
        <f t="shared" si="130"/>
        <v>230.6784997819457</v>
      </c>
      <c r="T230" s="1">
        <f t="shared" si="131"/>
        <v>133.58601102026228</v>
      </c>
      <c r="U230" s="1" t="str">
        <f t="shared" si="132"/>
        <v>sell to the Grid</v>
      </c>
      <c r="W230" s="1">
        <f t="shared" si="133"/>
        <v>0.25245462992967149</v>
      </c>
      <c r="Y230" s="1">
        <f t="shared" si="109"/>
        <v>5.8317344186046519E-2</v>
      </c>
      <c r="AA230" s="1">
        <f t="shared" si="113"/>
        <v>75.963810297805964</v>
      </c>
      <c r="AD230" s="1">
        <f t="shared" si="114"/>
        <v>0.25</v>
      </c>
    </row>
    <row r="231" spans="1:30" ht="15">
      <c r="A231" s="1">
        <v>230</v>
      </c>
      <c r="B231" s="1">
        <f t="shared" si="123"/>
        <v>0</v>
      </c>
      <c r="C231" s="1">
        <f t="shared" si="110"/>
        <v>0</v>
      </c>
      <c r="D231" s="1">
        <f t="shared" si="115"/>
        <v>1.2592149877471481E-2</v>
      </c>
      <c r="E231">
        <v>145.13</v>
      </c>
      <c r="K231" s="1">
        <f>'Solar Availability and Gener GR'!F231</f>
        <v>1.9956423039259323</v>
      </c>
      <c r="L231" s="1">
        <v>0.39891472868217059</v>
      </c>
      <c r="M231" s="1">
        <f t="shared" si="111"/>
        <v>1.5967275752437617</v>
      </c>
      <c r="N231" s="1" t="str">
        <f t="shared" si="112"/>
        <v>sell the surplus or charge</v>
      </c>
      <c r="O231" s="1">
        <v>0.25</v>
      </c>
      <c r="P231" s="1">
        <f t="shared" si="127"/>
        <v>0.62670034978624167</v>
      </c>
      <c r="Q231" s="1">
        <f t="shared" si="128"/>
        <v>1.7456423039259323</v>
      </c>
      <c r="R231" s="1">
        <f t="shared" si="129"/>
        <v>253.33551614007331</v>
      </c>
      <c r="S231" s="1">
        <f t="shared" si="130"/>
        <v>231.7267411252256</v>
      </c>
      <c r="T231" s="1">
        <f t="shared" si="131"/>
        <v>132.75181482292444</v>
      </c>
      <c r="U231" s="1" t="str">
        <f t="shared" si="132"/>
        <v>sell to the Grid</v>
      </c>
      <c r="W231" s="1">
        <f t="shared" si="133"/>
        <v>0.25334506756877057</v>
      </c>
      <c r="Y231" s="1">
        <f t="shared" si="109"/>
        <v>5.7894494573643415E-2</v>
      </c>
      <c r="AA231" s="1">
        <f t="shared" si="113"/>
        <v>77.560537873049725</v>
      </c>
      <c r="AD231" s="1">
        <f t="shared" si="114"/>
        <v>0.25</v>
      </c>
    </row>
    <row r="232" spans="1:30" ht="15">
      <c r="A232" s="1">
        <v>231</v>
      </c>
      <c r="B232" s="1">
        <f t="shared" si="123"/>
        <v>0</v>
      </c>
      <c r="C232" s="1">
        <f t="shared" si="110"/>
        <v>0</v>
      </c>
      <c r="D232" s="1">
        <f t="shared" si="115"/>
        <v>1.2592149877471481E-2</v>
      </c>
      <c r="E232">
        <v>162.46</v>
      </c>
      <c r="K232" s="1">
        <f>'Solar Availability and Gener GR'!F232</f>
        <v>1.8611857918632597</v>
      </c>
      <c r="L232" s="1">
        <v>0.4117829457364342</v>
      </c>
      <c r="M232" s="1">
        <f t="shared" si="111"/>
        <v>1.4494028461268256</v>
      </c>
      <c r="N232" s="1" t="str">
        <f t="shared" si="112"/>
        <v>sell the surplus or charge</v>
      </c>
      <c r="O232" s="1">
        <v>0.25</v>
      </c>
      <c r="P232" s="1">
        <f t="shared" si="127"/>
        <v>0.60711596385542155</v>
      </c>
      <c r="Q232" s="1">
        <f t="shared" si="128"/>
        <v>1.6111857918632597</v>
      </c>
      <c r="R232" s="1">
        <f t="shared" si="129"/>
        <v>261.74471112863046</v>
      </c>
      <c r="S232" s="1">
        <f t="shared" si="130"/>
        <v>235.4645253188036</v>
      </c>
      <c r="T232" s="1">
        <f t="shared" si="131"/>
        <v>146.14950799682887</v>
      </c>
      <c r="U232" s="1" t="str">
        <f t="shared" si="132"/>
        <v>sell to the Grid</v>
      </c>
      <c r="W232" s="1">
        <f t="shared" si="133"/>
        <v>0.26175324374610515</v>
      </c>
      <c r="Y232" s="1">
        <f t="shared" si="109"/>
        <v>6.6898257364341102E-2</v>
      </c>
      <c r="AA232" s="1">
        <f t="shared" si="113"/>
        <v>79.009940719176555</v>
      </c>
      <c r="AD232" s="1">
        <f t="shared" si="114"/>
        <v>0.25</v>
      </c>
    </row>
    <row r="233" spans="1:30" ht="15">
      <c r="A233" s="1">
        <v>232</v>
      </c>
      <c r="B233" s="1">
        <f t="shared" si="123"/>
        <v>0</v>
      </c>
      <c r="C233" s="1">
        <f t="shared" si="110"/>
        <v>0</v>
      </c>
      <c r="D233" s="1">
        <f t="shared" si="115"/>
        <v>1.2592149877471481E-2</v>
      </c>
      <c r="E233">
        <v>168.92</v>
      </c>
      <c r="K233" s="1">
        <f>'Solar Availability and Gener GR'!F233</f>
        <v>1.5639633223537788</v>
      </c>
      <c r="L233" s="1">
        <v>0.66914728682170543</v>
      </c>
      <c r="M233" s="1">
        <f t="shared" si="111"/>
        <v>0.89481603553207334</v>
      </c>
      <c r="N233" s="1" t="str">
        <f t="shared" si="112"/>
        <v>sell the surplus or charge</v>
      </c>
      <c r="O233" s="1">
        <v>0.25</v>
      </c>
      <c r="P233" s="1">
        <f t="shared" si="127"/>
        <v>0.3736098239110287</v>
      </c>
      <c r="Q233" s="1">
        <f t="shared" si="128"/>
        <v>1.3139633223537788</v>
      </c>
      <c r="R233" s="1">
        <f t="shared" si="129"/>
        <v>221.94647808771734</v>
      </c>
      <c r="S233" s="1">
        <f t="shared" si="130"/>
        <v>151.14994651167461</v>
      </c>
      <c r="T233" s="1">
        <f t="shared" si="131"/>
        <v>115.04278254244166</v>
      </c>
      <c r="U233" s="1" t="str">
        <f t="shared" si="132"/>
        <v>sell to the Grid</v>
      </c>
      <c r="W233" s="1">
        <f t="shared" si="133"/>
        <v>0.22195468441200028</v>
      </c>
      <c r="Y233" s="1">
        <f t="shared" si="109"/>
        <v>0.11303235968992248</v>
      </c>
      <c r="AA233" s="1">
        <f t="shared" si="113"/>
        <v>79.904756754708629</v>
      </c>
      <c r="AD233" s="1">
        <f t="shared" si="114"/>
        <v>0.25</v>
      </c>
    </row>
    <row r="234" spans="1:30" ht="15">
      <c r="A234" s="1">
        <v>233</v>
      </c>
      <c r="B234" s="1">
        <f t="shared" si="123"/>
        <v>0</v>
      </c>
      <c r="C234" s="1">
        <f t="shared" si="110"/>
        <v>0</v>
      </c>
      <c r="D234" s="1">
        <f t="shared" si="115"/>
        <v>1.2592149877471481E-2</v>
      </c>
      <c r="E234">
        <v>166.2</v>
      </c>
      <c r="K234" s="1">
        <f>'Solar Availability and Gener GR'!F234</f>
        <v>1.065690376569036</v>
      </c>
      <c r="L234" s="1">
        <v>0.65627906976744199</v>
      </c>
      <c r="M234" s="1">
        <f t="shared" si="111"/>
        <v>0.40941130680159399</v>
      </c>
      <c r="N234" s="1" t="str">
        <f t="shared" si="112"/>
        <v>sell the surplus or charge</v>
      </c>
      <c r="O234" s="1">
        <v>0.25</v>
      </c>
      <c r="P234" s="1">
        <f t="shared" si="127"/>
        <v>0.38093550673281351</v>
      </c>
      <c r="Q234" s="1">
        <f t="shared" si="128"/>
        <v>0.81569037656903598</v>
      </c>
      <c r="R234" s="1">
        <f t="shared" si="129"/>
        <v>135.55939996630971</v>
      </c>
      <c r="S234" s="1">
        <f t="shared" si="130"/>
        <v>68.041625232364225</v>
      </c>
      <c r="T234" s="1">
        <f t="shared" si="131"/>
        <v>83.436365289077031</v>
      </c>
      <c r="U234" s="1" t="str">
        <f t="shared" si="132"/>
        <v>sell to the Grid</v>
      </c>
      <c r="W234" s="1">
        <f t="shared" si="133"/>
        <v>0.13556774058577378</v>
      </c>
      <c r="Y234" s="1">
        <f t="shared" si="109"/>
        <v>0.10907358139534885</v>
      </c>
      <c r="AA234" s="1">
        <f t="shared" si="113"/>
        <v>80.314168061510216</v>
      </c>
      <c r="AD234" s="1">
        <f t="shared" si="114"/>
        <v>0.25</v>
      </c>
    </row>
    <row r="235" spans="1:30" ht="15">
      <c r="A235" s="1">
        <v>234</v>
      </c>
      <c r="B235" s="1">
        <f t="shared" si="123"/>
        <v>0</v>
      </c>
      <c r="C235" s="1">
        <f t="shared" si="110"/>
        <v>0</v>
      </c>
      <c r="D235" s="1">
        <f t="shared" si="115"/>
        <v>1.2592149877471481E-2</v>
      </c>
      <c r="E235">
        <v>170.71</v>
      </c>
      <c r="K235" s="1">
        <f>'Solar Availability and Gener GR'!F235</f>
        <v>0.46207157482417677</v>
      </c>
      <c r="L235" s="1">
        <v>0.66914728682170543</v>
      </c>
      <c r="M235" s="1">
        <f t="shared" si="111"/>
        <v>-0.20707571199752867</v>
      </c>
      <c r="N235" s="1" t="str">
        <f t="shared" si="112"/>
        <v>Buy from Grid</v>
      </c>
      <c r="V235" s="1" t="str">
        <f t="shared" ref="V235:V251" si="134">IF(D235+M235&gt;0,"discharge","buy from the Grid")</f>
        <v>buy from the Grid</v>
      </c>
      <c r="X235" s="1">
        <f t="shared" ref="X235:X251" si="135">(M235*E235)/1000</f>
        <v>-3.5349894795098126E-2</v>
      </c>
      <c r="Y235" s="1">
        <f t="shared" si="109"/>
        <v>0.11423013333333334</v>
      </c>
      <c r="AA235" s="1">
        <f t="shared" si="113"/>
        <v>80.107092349512683</v>
      </c>
      <c r="AC235" s="1">
        <f t="shared" ref="AC235:AC251" si="136">L235</f>
        <v>0.66914728682170543</v>
      </c>
      <c r="AD235" s="1">
        <f t="shared" si="114"/>
        <v>0.66914728682170543</v>
      </c>
    </row>
    <row r="236" spans="1:30" ht="15">
      <c r="A236" s="1">
        <v>235</v>
      </c>
      <c r="B236" s="1">
        <f t="shared" si="123"/>
        <v>0</v>
      </c>
      <c r="C236" s="1">
        <f t="shared" si="110"/>
        <v>0</v>
      </c>
      <c r="D236" s="1">
        <f t="shared" si="115"/>
        <v>1.2592149877471481E-2</v>
      </c>
      <c r="E236">
        <v>167.74</v>
      </c>
      <c r="K236" s="1">
        <f>'Solar Availability and Gener GR'!F236</f>
        <v>5.9503249354580651E-2</v>
      </c>
      <c r="L236" s="1">
        <v>0.66914728682170543</v>
      </c>
      <c r="M236" s="1">
        <f t="shared" si="111"/>
        <v>-0.60964403746712481</v>
      </c>
      <c r="N236" s="1" t="str">
        <f t="shared" si="112"/>
        <v>Buy from Grid</v>
      </c>
      <c r="V236" s="1" t="str">
        <f t="shared" si="134"/>
        <v>buy from the Grid</v>
      </c>
      <c r="X236" s="1">
        <f t="shared" si="135"/>
        <v>-0.10226169084473552</v>
      </c>
      <c r="Y236" s="1">
        <f t="shared" si="109"/>
        <v>0.11224276589147288</v>
      </c>
      <c r="AA236" s="1">
        <f t="shared" si="113"/>
        <v>79.497448312045563</v>
      </c>
      <c r="AC236" s="1">
        <f t="shared" si="136"/>
        <v>0.66914728682170543</v>
      </c>
      <c r="AD236" s="1">
        <f t="shared" si="114"/>
        <v>0.66914728682170543</v>
      </c>
    </row>
    <row r="237" spans="1:30" ht="15">
      <c r="A237" s="1">
        <v>236</v>
      </c>
      <c r="B237" s="1">
        <f t="shared" si="123"/>
        <v>0</v>
      </c>
      <c r="C237" s="1">
        <f t="shared" si="110"/>
        <v>0</v>
      </c>
      <c r="D237" s="1">
        <f t="shared" si="115"/>
        <v>1.2592149877471481E-2</v>
      </c>
      <c r="E237">
        <v>216.28</v>
      </c>
      <c r="K237" s="1">
        <f>'Solar Availability and Gener GR'!F237</f>
        <v>0</v>
      </c>
      <c r="L237" s="1">
        <v>0.39891472868217059</v>
      </c>
      <c r="M237" s="1">
        <f t="shared" si="111"/>
        <v>-0.39891472868217059</v>
      </c>
      <c r="N237" s="1" t="str">
        <f t="shared" si="112"/>
        <v>Buy from Grid</v>
      </c>
      <c r="V237" s="1" t="str">
        <f t="shared" si="134"/>
        <v>buy from the Grid</v>
      </c>
      <c r="X237" s="1">
        <f t="shared" si="135"/>
        <v>-8.6277277519379844E-2</v>
      </c>
      <c r="Y237" s="1">
        <f t="shared" si="109"/>
        <v>8.6277277519379844E-2</v>
      </c>
      <c r="AA237" s="1">
        <f t="shared" si="113"/>
        <v>79.098533583363391</v>
      </c>
      <c r="AC237" s="1">
        <f t="shared" si="136"/>
        <v>0.39891472868217059</v>
      </c>
      <c r="AD237" s="1">
        <f t="shared" si="114"/>
        <v>0.39891472868217059</v>
      </c>
    </row>
    <row r="238" spans="1:30" ht="15">
      <c r="A238" s="1">
        <v>237</v>
      </c>
      <c r="B238" s="1">
        <f t="shared" si="123"/>
        <v>0</v>
      </c>
      <c r="C238" s="1">
        <f t="shared" si="110"/>
        <v>0</v>
      </c>
      <c r="D238" s="1">
        <f t="shared" si="115"/>
        <v>1.2592149877471481E-2</v>
      </c>
      <c r="E238">
        <v>228.74</v>
      </c>
      <c r="K238" s="1">
        <f>'Solar Availability and Gener GR'!F238</f>
        <v>0</v>
      </c>
      <c r="L238" s="1">
        <v>0.39891472868217059</v>
      </c>
      <c r="M238" s="1">
        <f t="shared" si="111"/>
        <v>-0.39891472868217059</v>
      </c>
      <c r="N238" s="1" t="str">
        <f t="shared" si="112"/>
        <v>Buy from Grid</v>
      </c>
      <c r="V238" s="1" t="str">
        <f t="shared" si="134"/>
        <v>buy from the Grid</v>
      </c>
      <c r="X238" s="1">
        <f t="shared" si="135"/>
        <v>-9.1247755038759704E-2</v>
      </c>
      <c r="Y238" s="1">
        <f t="shared" si="109"/>
        <v>9.1247755038759704E-2</v>
      </c>
      <c r="AA238" s="1">
        <f t="shared" si="113"/>
        <v>78.699618854681219</v>
      </c>
      <c r="AC238" s="1">
        <f t="shared" si="136"/>
        <v>0.39891472868217059</v>
      </c>
      <c r="AD238" s="1">
        <f t="shared" si="114"/>
        <v>0.39891472868217059</v>
      </c>
    </row>
    <row r="239" spans="1:30" ht="15">
      <c r="A239" s="1">
        <v>238</v>
      </c>
      <c r="B239" s="1">
        <f t="shared" si="123"/>
        <v>0</v>
      </c>
      <c r="C239" s="1">
        <f t="shared" si="110"/>
        <v>0</v>
      </c>
      <c r="D239" s="1">
        <f t="shared" si="115"/>
        <v>1.2592149877471481E-2</v>
      </c>
      <c r="E239">
        <v>165</v>
      </c>
      <c r="K239" s="1">
        <f>'Solar Availability and Gener GR'!F239</f>
        <v>0</v>
      </c>
      <c r="L239" s="1">
        <v>0.25736434108527134</v>
      </c>
      <c r="M239" s="1">
        <f t="shared" si="111"/>
        <v>-0.25736434108527134</v>
      </c>
      <c r="N239" s="1" t="str">
        <f t="shared" si="112"/>
        <v>Buy from Grid</v>
      </c>
      <c r="V239" s="1" t="str">
        <f t="shared" si="134"/>
        <v>buy from the Grid</v>
      </c>
      <c r="X239" s="1">
        <f t="shared" si="135"/>
        <v>-4.2465116279069771E-2</v>
      </c>
      <c r="Y239" s="1">
        <f t="shared" si="109"/>
        <v>4.2465116279069771E-2</v>
      </c>
      <c r="AA239" s="1">
        <f t="shared" si="113"/>
        <v>78.442254513595941</v>
      </c>
      <c r="AC239" s="1">
        <f t="shared" si="136"/>
        <v>0.25736434108527134</v>
      </c>
      <c r="AD239" s="1">
        <f t="shared" si="114"/>
        <v>0.25736434108527134</v>
      </c>
    </row>
    <row r="240" spans="1:30" ht="15">
      <c r="A240" s="1">
        <v>239</v>
      </c>
      <c r="B240" s="1">
        <f t="shared" si="123"/>
        <v>0</v>
      </c>
      <c r="C240" s="1">
        <f t="shared" si="110"/>
        <v>0</v>
      </c>
      <c r="D240" s="1">
        <f t="shared" si="115"/>
        <v>1.2592149877471481E-2</v>
      </c>
      <c r="E240">
        <v>155</v>
      </c>
      <c r="K240" s="1">
        <f>'Solar Availability and Gener GR'!F240</f>
        <v>0</v>
      </c>
      <c r="L240" s="1">
        <v>0.25736434108527134</v>
      </c>
      <c r="M240" s="1">
        <f t="shared" si="111"/>
        <v>-0.25736434108527134</v>
      </c>
      <c r="N240" s="1" t="str">
        <f t="shared" si="112"/>
        <v>Buy from Grid</v>
      </c>
      <c r="V240" s="1" t="str">
        <f t="shared" si="134"/>
        <v>buy from the Grid</v>
      </c>
      <c r="X240" s="1">
        <f t="shared" si="135"/>
        <v>-3.9891472868217058E-2</v>
      </c>
      <c r="Y240" s="1">
        <f t="shared" si="109"/>
        <v>3.9891472868217058E-2</v>
      </c>
      <c r="AA240" s="1">
        <f t="shared" si="113"/>
        <v>78.184890172510663</v>
      </c>
      <c r="AC240" s="1">
        <f t="shared" si="136"/>
        <v>0.25736434108527134</v>
      </c>
      <c r="AD240" s="1">
        <f t="shared" si="114"/>
        <v>0.25736434108527134</v>
      </c>
    </row>
    <row r="241" spans="1:30" ht="15">
      <c r="A241" s="1">
        <v>240</v>
      </c>
      <c r="B241" s="1">
        <f t="shared" si="123"/>
        <v>0</v>
      </c>
      <c r="C241" s="1">
        <f t="shared" si="110"/>
        <v>0</v>
      </c>
      <c r="D241" s="1">
        <f t="shared" si="115"/>
        <v>1.2592149877471481E-2</v>
      </c>
      <c r="E241">
        <v>228.5</v>
      </c>
      <c r="K241" s="1">
        <f>'Solar Availability and Gener GR'!F241</f>
        <v>0</v>
      </c>
      <c r="L241" s="1">
        <v>0.19302325581395352</v>
      </c>
      <c r="M241" s="1">
        <f t="shared" si="111"/>
        <v>-0.19302325581395352</v>
      </c>
      <c r="N241" s="1" t="str">
        <f t="shared" si="112"/>
        <v>Buy from Grid</v>
      </c>
      <c r="V241" s="1" t="str">
        <f t="shared" si="134"/>
        <v>buy from the Grid</v>
      </c>
      <c r="X241" s="1">
        <f t="shared" si="135"/>
        <v>-4.4105813953488379E-2</v>
      </c>
      <c r="Y241" s="1">
        <f t="shared" si="109"/>
        <v>4.4105813953488379E-2</v>
      </c>
      <c r="AA241" s="1">
        <f t="shared" si="113"/>
        <v>77.991866916696708</v>
      </c>
      <c r="AC241" s="1">
        <f t="shared" si="136"/>
        <v>0.19302325581395352</v>
      </c>
      <c r="AD241" s="1">
        <f t="shared" si="114"/>
        <v>0.19302325581395352</v>
      </c>
    </row>
    <row r="242" spans="1:30" ht="15">
      <c r="A242" s="1">
        <v>241</v>
      </c>
      <c r="B242" s="1">
        <f t="shared" si="123"/>
        <v>0</v>
      </c>
      <c r="C242" s="1">
        <f t="shared" si="110"/>
        <v>0</v>
      </c>
      <c r="D242" s="1">
        <f t="shared" si="115"/>
        <v>1.2592149877471481E-2</v>
      </c>
      <c r="E242">
        <v>269.12</v>
      </c>
      <c r="K242" s="1">
        <f>'Solar Availability and Gener GR'!F242</f>
        <v>0</v>
      </c>
      <c r="L242" s="1">
        <v>0.19302325581395352</v>
      </c>
      <c r="M242" s="1">
        <f t="shared" si="111"/>
        <v>-0.19302325581395352</v>
      </c>
      <c r="N242" s="1" t="str">
        <f t="shared" si="112"/>
        <v>Buy from Grid</v>
      </c>
      <c r="V242" s="1" t="str">
        <f t="shared" si="134"/>
        <v>buy from the Grid</v>
      </c>
      <c r="X242" s="1">
        <f t="shared" si="135"/>
        <v>-5.1946418604651171E-2</v>
      </c>
      <c r="Y242" s="1">
        <f t="shared" si="109"/>
        <v>5.1946418604651171E-2</v>
      </c>
      <c r="AA242" s="1">
        <f t="shared" si="113"/>
        <v>77.798843660882753</v>
      </c>
      <c r="AC242" s="1">
        <f t="shared" si="136"/>
        <v>0.19302325581395352</v>
      </c>
      <c r="AD242" s="1">
        <f t="shared" si="114"/>
        <v>0.19302325581395352</v>
      </c>
    </row>
    <row r="243" spans="1:30" ht="15">
      <c r="A243" s="1">
        <v>242</v>
      </c>
      <c r="B243" s="1">
        <f t="shared" si="123"/>
        <v>0</v>
      </c>
      <c r="C243" s="1">
        <f t="shared" si="110"/>
        <v>0</v>
      </c>
      <c r="D243" s="1">
        <f t="shared" si="115"/>
        <v>1.2592149877471481E-2</v>
      </c>
      <c r="E243">
        <v>251</v>
      </c>
      <c r="K243" s="1">
        <f>'Solar Availability and Gener GR'!F243</f>
        <v>0</v>
      </c>
      <c r="L243" s="1">
        <v>0.19302325581395352</v>
      </c>
      <c r="M243" s="1">
        <f t="shared" si="111"/>
        <v>-0.19302325581395352</v>
      </c>
      <c r="N243" s="1" t="str">
        <f t="shared" si="112"/>
        <v>Buy from Grid</v>
      </c>
      <c r="V243" s="1" t="str">
        <f t="shared" si="134"/>
        <v>buy from the Grid</v>
      </c>
      <c r="X243" s="1">
        <f t="shared" si="135"/>
        <v>-4.8448837209302334E-2</v>
      </c>
      <c r="Y243" s="1">
        <f t="shared" si="109"/>
        <v>4.8448837209302334E-2</v>
      </c>
      <c r="AA243" s="1">
        <f t="shared" si="113"/>
        <v>77.605820405068798</v>
      </c>
      <c r="AC243" s="1">
        <f t="shared" si="136"/>
        <v>0.19302325581395352</v>
      </c>
      <c r="AD243" s="1">
        <f t="shared" si="114"/>
        <v>0.19302325581395352</v>
      </c>
    </row>
    <row r="244" spans="1:30" ht="15">
      <c r="A244" s="1">
        <v>243</v>
      </c>
      <c r="B244" s="1">
        <f t="shared" si="123"/>
        <v>0</v>
      </c>
      <c r="C244" s="1">
        <f t="shared" si="110"/>
        <v>0</v>
      </c>
      <c r="D244" s="1">
        <f t="shared" si="115"/>
        <v>1.2592149877471481E-2</v>
      </c>
      <c r="E244">
        <v>251</v>
      </c>
      <c r="K244" s="1">
        <f>'Solar Availability and Gener GR'!F244</f>
        <v>0</v>
      </c>
      <c r="L244" s="1">
        <v>0.19302325581395352</v>
      </c>
      <c r="M244" s="1">
        <f t="shared" si="111"/>
        <v>-0.19302325581395352</v>
      </c>
      <c r="N244" s="1" t="str">
        <f t="shared" si="112"/>
        <v>Buy from Grid</v>
      </c>
      <c r="V244" s="1" t="str">
        <f t="shared" si="134"/>
        <v>buy from the Grid</v>
      </c>
      <c r="X244" s="1">
        <f t="shared" si="135"/>
        <v>-4.8448837209302334E-2</v>
      </c>
      <c r="Y244" s="1">
        <f t="shared" si="109"/>
        <v>4.8448837209302334E-2</v>
      </c>
      <c r="AA244" s="1">
        <f t="shared" si="113"/>
        <v>77.412797149254843</v>
      </c>
      <c r="AC244" s="1">
        <f t="shared" si="136"/>
        <v>0.19302325581395352</v>
      </c>
      <c r="AD244" s="1">
        <f t="shared" si="114"/>
        <v>0.19302325581395352</v>
      </c>
    </row>
    <row r="245" spans="1:30" ht="15">
      <c r="A245" s="1">
        <v>244</v>
      </c>
      <c r="B245" s="1">
        <f t="shared" si="123"/>
        <v>0</v>
      </c>
      <c r="C245" s="1">
        <f t="shared" si="110"/>
        <v>0</v>
      </c>
      <c r="D245" s="1">
        <f t="shared" si="115"/>
        <v>1.2592149877471481E-2</v>
      </c>
      <c r="E245">
        <v>133.94999999999999</v>
      </c>
      <c r="K245" s="1">
        <f>'Solar Availability and Gener GR'!F245</f>
        <v>0</v>
      </c>
      <c r="L245" s="1">
        <v>0.19302325581395352</v>
      </c>
      <c r="M245" s="1">
        <f t="shared" si="111"/>
        <v>-0.19302325581395352</v>
      </c>
      <c r="N245" s="1" t="str">
        <f t="shared" si="112"/>
        <v>Buy from Grid</v>
      </c>
      <c r="V245" s="1" t="str">
        <f t="shared" si="134"/>
        <v>buy from the Grid</v>
      </c>
      <c r="X245" s="1">
        <f t="shared" si="135"/>
        <v>-2.5855465116279071E-2</v>
      </c>
      <c r="Y245" s="1">
        <f t="shared" si="109"/>
        <v>2.5855465116279071E-2</v>
      </c>
      <c r="AA245" s="1">
        <f t="shared" si="113"/>
        <v>77.219773893440887</v>
      </c>
      <c r="AC245" s="1">
        <f t="shared" si="136"/>
        <v>0.19302325581395352</v>
      </c>
      <c r="AD245" s="1">
        <f t="shared" si="114"/>
        <v>0.19302325581395352</v>
      </c>
    </row>
    <row r="246" spans="1:30" ht="15">
      <c r="A246" s="1">
        <v>245</v>
      </c>
      <c r="B246" s="1">
        <f t="shared" si="123"/>
        <v>0</v>
      </c>
      <c r="C246" s="1">
        <f t="shared" si="110"/>
        <v>0</v>
      </c>
      <c r="D246" s="1">
        <f t="shared" si="115"/>
        <v>1.2592149877471481E-2</v>
      </c>
      <c r="E246">
        <v>270.58</v>
      </c>
      <c r="K246" s="1">
        <f>'Solar Availability and Gener GR'!F246</f>
        <v>0</v>
      </c>
      <c r="L246" s="1">
        <v>0.19302325581395352</v>
      </c>
      <c r="M246" s="1">
        <f t="shared" si="111"/>
        <v>-0.19302325581395352</v>
      </c>
      <c r="N246" s="1" t="str">
        <f t="shared" si="112"/>
        <v>Buy from Grid</v>
      </c>
      <c r="V246" s="1" t="str">
        <f t="shared" si="134"/>
        <v>buy from the Grid</v>
      </c>
      <c r="X246" s="1">
        <f t="shared" si="135"/>
        <v>-5.2228232558139541E-2</v>
      </c>
      <c r="Y246" s="1">
        <f t="shared" si="109"/>
        <v>5.2228232558139541E-2</v>
      </c>
      <c r="AA246" s="1">
        <f t="shared" si="113"/>
        <v>77.026750637626932</v>
      </c>
      <c r="AC246" s="1">
        <f t="shared" si="136"/>
        <v>0.19302325581395352</v>
      </c>
      <c r="AD246" s="1">
        <f t="shared" si="114"/>
        <v>0.19302325581395352</v>
      </c>
    </row>
    <row r="247" spans="1:30" ht="15">
      <c r="A247" s="1">
        <v>246</v>
      </c>
      <c r="B247" s="1">
        <f t="shared" si="123"/>
        <v>0</v>
      </c>
      <c r="C247" s="1">
        <f t="shared" si="110"/>
        <v>0</v>
      </c>
      <c r="D247" s="1">
        <f t="shared" si="115"/>
        <v>1.2592149877471481E-2</v>
      </c>
      <c r="E247">
        <v>270.29000000000002</v>
      </c>
      <c r="K247" s="1">
        <f>'Solar Availability and Gener GR'!F247</f>
        <v>0</v>
      </c>
      <c r="L247" s="1">
        <v>0.25736434108527134</v>
      </c>
      <c r="M247" s="1">
        <f t="shared" si="111"/>
        <v>-0.25736434108527134</v>
      </c>
      <c r="N247" s="1" t="str">
        <f t="shared" si="112"/>
        <v>Buy from Grid</v>
      </c>
      <c r="V247" s="1" t="str">
        <f t="shared" si="134"/>
        <v>buy from the Grid</v>
      </c>
      <c r="X247" s="1">
        <f t="shared" si="135"/>
        <v>-6.9563007751938008E-2</v>
      </c>
      <c r="Y247" s="1">
        <f t="shared" si="109"/>
        <v>6.9563007751938008E-2</v>
      </c>
      <c r="AA247" s="1">
        <f t="shared" si="113"/>
        <v>76.769386296541654</v>
      </c>
      <c r="AC247" s="1">
        <f t="shared" si="136"/>
        <v>0.25736434108527134</v>
      </c>
      <c r="AD247" s="1">
        <f t="shared" si="114"/>
        <v>0.25736434108527134</v>
      </c>
    </row>
    <row r="248" spans="1:30" ht="15">
      <c r="A248" s="1">
        <v>247</v>
      </c>
      <c r="B248" s="1">
        <f t="shared" si="123"/>
        <v>0</v>
      </c>
      <c r="C248" s="1">
        <f t="shared" si="110"/>
        <v>0</v>
      </c>
      <c r="D248" s="1">
        <f t="shared" si="115"/>
        <v>1.2592149877471481E-2</v>
      </c>
      <c r="E248">
        <v>270.12</v>
      </c>
      <c r="K248" s="1">
        <f>'Solar Availability and Gener GR'!F248</f>
        <v>1.6611768895219918E-2</v>
      </c>
      <c r="L248" s="1">
        <v>0.66914728682170543</v>
      </c>
      <c r="M248" s="1">
        <f t="shared" si="111"/>
        <v>-0.65253551792648556</v>
      </c>
      <c r="N248" s="1" t="str">
        <f t="shared" si="112"/>
        <v>Buy from Grid</v>
      </c>
      <c r="V248" s="1" t="str">
        <f t="shared" si="134"/>
        <v>buy from the Grid</v>
      </c>
      <c r="X248" s="1">
        <f t="shared" si="135"/>
        <v>-0.17626289410230228</v>
      </c>
      <c r="Y248" s="1">
        <f t="shared" si="109"/>
        <v>0.18075006511627909</v>
      </c>
      <c r="AA248" s="1">
        <f t="shared" si="113"/>
        <v>76.116850778615174</v>
      </c>
      <c r="AC248" s="1">
        <f t="shared" si="136"/>
        <v>0.66914728682170543</v>
      </c>
      <c r="AD248" s="1">
        <f t="shared" si="114"/>
        <v>0.66914728682170543</v>
      </c>
    </row>
    <row r="249" spans="1:30" ht="15">
      <c r="A249" s="1">
        <v>248</v>
      </c>
      <c r="B249" s="1">
        <f t="shared" si="123"/>
        <v>0</v>
      </c>
      <c r="C249" s="1">
        <f t="shared" si="110"/>
        <v>0</v>
      </c>
      <c r="D249" s="1">
        <f t="shared" si="115"/>
        <v>1.2592149877471481E-2</v>
      </c>
      <c r="E249">
        <v>271.98</v>
      </c>
      <c r="K249" s="1">
        <f>'Solar Availability and Gener GR'!F249</f>
        <v>2.5785631621116648E-2</v>
      </c>
      <c r="L249" s="1">
        <v>0.39891472868217059</v>
      </c>
      <c r="M249" s="1">
        <f t="shared" si="111"/>
        <v>-0.37312909706105396</v>
      </c>
      <c r="N249" s="1" t="str">
        <f t="shared" si="112"/>
        <v>Buy from Grid</v>
      </c>
      <c r="V249" s="1" t="str">
        <f t="shared" si="134"/>
        <v>buy from the Grid</v>
      </c>
      <c r="X249" s="1">
        <f t="shared" si="135"/>
        <v>-0.10148365181866546</v>
      </c>
      <c r="Y249" s="1">
        <f t="shared" si="109"/>
        <v>0.10849682790697676</v>
      </c>
      <c r="AA249" s="1">
        <f t="shared" si="113"/>
        <v>75.743721681554121</v>
      </c>
      <c r="AC249" s="1">
        <f t="shared" si="136"/>
        <v>0.39891472868217059</v>
      </c>
      <c r="AD249" s="1">
        <f t="shared" si="114"/>
        <v>0.39891472868217059</v>
      </c>
    </row>
    <row r="250" spans="1:30" ht="15">
      <c r="A250" s="1">
        <v>249</v>
      </c>
      <c r="B250" s="1">
        <f t="shared" si="123"/>
        <v>0</v>
      </c>
      <c r="C250" s="1">
        <f t="shared" si="110"/>
        <v>0</v>
      </c>
      <c r="D250" s="1">
        <f t="shared" si="115"/>
        <v>1.2592149877471481E-2</v>
      </c>
      <c r="E250">
        <v>271.92</v>
      </c>
      <c r="K250" s="1">
        <f>'Solar Availability and Gener GR'!F250</f>
        <v>7.3257366687438957E-2</v>
      </c>
      <c r="L250" s="1">
        <v>0.39891472868217059</v>
      </c>
      <c r="M250" s="1">
        <f t="shared" si="111"/>
        <v>-0.32565736199473161</v>
      </c>
      <c r="N250" s="1" t="str">
        <f t="shared" si="112"/>
        <v>Buy from Grid</v>
      </c>
      <c r="V250" s="1" t="str">
        <f t="shared" si="134"/>
        <v>buy from the Grid</v>
      </c>
      <c r="X250" s="1">
        <f t="shared" si="135"/>
        <v>-8.8552749873607423E-2</v>
      </c>
      <c r="Y250" s="1">
        <f t="shared" si="109"/>
        <v>0.10847289302325583</v>
      </c>
      <c r="AA250" s="1">
        <f t="shared" si="113"/>
        <v>75.418064319559392</v>
      </c>
      <c r="AC250" s="1">
        <f t="shared" si="136"/>
        <v>0.39891472868217059</v>
      </c>
      <c r="AD250" s="1">
        <f t="shared" si="114"/>
        <v>0.39891472868217059</v>
      </c>
    </row>
    <row r="251" spans="1:30" ht="15">
      <c r="A251" s="1">
        <v>250</v>
      </c>
      <c r="B251" s="1">
        <f t="shared" si="123"/>
        <v>0</v>
      </c>
      <c r="C251" s="1">
        <f t="shared" si="110"/>
        <v>0</v>
      </c>
      <c r="D251" s="1">
        <f t="shared" si="115"/>
        <v>1.2592149877471481E-2</v>
      </c>
      <c r="E251">
        <v>254.22</v>
      </c>
      <c r="K251" s="1">
        <f>'Solar Availability and Gener GR'!F251</f>
        <v>0.36966527196652443</v>
      </c>
      <c r="L251" s="1">
        <v>0.39891472868217059</v>
      </c>
      <c r="M251" s="1">
        <f t="shared" si="111"/>
        <v>-2.924945671564616E-2</v>
      </c>
      <c r="N251" s="1" t="str">
        <f t="shared" si="112"/>
        <v>Buy from Grid</v>
      </c>
      <c r="V251" s="1" t="str">
        <f t="shared" si="134"/>
        <v>buy from the Grid</v>
      </c>
      <c r="X251" s="1">
        <f t="shared" si="135"/>
        <v>-7.4357968862515675E-3</v>
      </c>
      <c r="Y251" s="1">
        <f t="shared" si="109"/>
        <v>0.1014121023255814</v>
      </c>
      <c r="AA251" s="1">
        <f t="shared" si="113"/>
        <v>75.388814862843745</v>
      </c>
      <c r="AC251" s="1">
        <f t="shared" si="136"/>
        <v>0.39891472868217059</v>
      </c>
      <c r="AD251" s="1">
        <f t="shared" si="114"/>
        <v>0.39891472868217059</v>
      </c>
    </row>
    <row r="252" spans="1:30" ht="15">
      <c r="A252" s="1">
        <v>251</v>
      </c>
      <c r="B252" s="1">
        <f t="shared" si="123"/>
        <v>0</v>
      </c>
      <c r="C252" s="1">
        <f t="shared" si="110"/>
        <v>0</v>
      </c>
      <c r="D252" s="1">
        <f t="shared" si="115"/>
        <v>1.2592149877471481E-2</v>
      </c>
      <c r="E252">
        <v>186.71</v>
      </c>
      <c r="K252" s="1">
        <f>'Solar Availability and Gener GR'!F252</f>
        <v>0.79054126235199706</v>
      </c>
      <c r="L252" s="1">
        <v>0.39891472868217059</v>
      </c>
      <c r="M252" s="1">
        <f t="shared" si="111"/>
        <v>0.39162653366982647</v>
      </c>
      <c r="N252" s="1" t="str">
        <f t="shared" si="112"/>
        <v>sell the surplus or charge</v>
      </c>
      <c r="O252" s="1">
        <v>0.25</v>
      </c>
      <c r="P252" s="1">
        <f t="shared" ref="P252:P257" si="137">0.25/L252</f>
        <v>0.62670034978624167</v>
      </c>
      <c r="Q252" s="1">
        <f t="shared" ref="Q252:Q257" si="138">K252-P252*L252</f>
        <v>0.54054126235199706</v>
      </c>
      <c r="R252" s="1">
        <f t="shared" ref="R252:R257" si="139">((1/(E252+0.01))*LN(0.25))+(E252*(K252-0.25))</f>
        <v>100.91703463807985</v>
      </c>
      <c r="S252" s="1">
        <f t="shared" ref="S252:S257" si="140">((1/(E252+0.01))*LN(L252))+(E252*(K252-L252))</f>
        <v>73.11566825274916</v>
      </c>
      <c r="T252" s="1">
        <f t="shared" ref="T252:T257" si="141">(S252+((S252^2)-4*(K252-L252*P252)*LN(L252*P252))^(0.5))/(2*(K252-L252*P252))</f>
        <v>135.28276327712811</v>
      </c>
      <c r="U252" s="1" t="str">
        <f t="shared" ref="U252:U257" si="142">IF(E252&gt;=T252*1.05,"sell to the Grid","charge")</f>
        <v>sell to the Grid</v>
      </c>
      <c r="W252" s="1">
        <f t="shared" ref="W252:W257" si="143">(Q252*E252)/1000</f>
        <v>0.10092445909374137</v>
      </c>
      <c r="Y252" s="1">
        <f t="shared" si="109"/>
        <v>7.4481368992248081E-2</v>
      </c>
      <c r="AA252" s="1">
        <f t="shared" si="113"/>
        <v>75.780441396513567</v>
      </c>
      <c r="AD252" s="1">
        <f t="shared" si="114"/>
        <v>0.25</v>
      </c>
    </row>
    <row r="253" spans="1:30" ht="15">
      <c r="A253" s="1">
        <v>252</v>
      </c>
      <c r="B253" s="1">
        <f t="shared" si="123"/>
        <v>0</v>
      </c>
      <c r="C253" s="1">
        <f t="shared" si="110"/>
        <v>0</v>
      </c>
      <c r="D253" s="1">
        <f t="shared" si="115"/>
        <v>1.2592149877471481E-2</v>
      </c>
      <c r="E253">
        <v>174.43</v>
      </c>
      <c r="K253" s="1">
        <f>'Solar Availability and Gener GR'!F253</f>
        <v>1.3741431496483572</v>
      </c>
      <c r="L253" s="1">
        <v>0.39891472868217059</v>
      </c>
      <c r="M253" s="1">
        <f t="shared" si="111"/>
        <v>0.97522842096618656</v>
      </c>
      <c r="N253" s="1" t="str">
        <f t="shared" si="112"/>
        <v>sell the surplus or charge</v>
      </c>
      <c r="O253" s="1">
        <v>0.25</v>
      </c>
      <c r="P253" s="1">
        <f t="shared" si="137"/>
        <v>0.62670034978624167</v>
      </c>
      <c r="Q253" s="1">
        <f t="shared" si="138"/>
        <v>1.1241431496483572</v>
      </c>
      <c r="R253" s="1">
        <f t="shared" si="139"/>
        <v>196.07634248033835</v>
      </c>
      <c r="S253" s="1">
        <f t="shared" si="140"/>
        <v>170.10382513848811</v>
      </c>
      <c r="T253" s="1">
        <f t="shared" si="141"/>
        <v>151.32680043693233</v>
      </c>
      <c r="U253" s="1" t="str">
        <f t="shared" si="142"/>
        <v>sell to the Grid</v>
      </c>
      <c r="W253" s="1">
        <f t="shared" si="143"/>
        <v>0.19608428959316293</v>
      </c>
      <c r="Y253" s="1">
        <f t="shared" si="109"/>
        <v>6.9582696124031021E-2</v>
      </c>
      <c r="AA253" s="1">
        <f t="shared" si="113"/>
        <v>76.755669817479756</v>
      </c>
      <c r="AD253" s="1">
        <f t="shared" si="114"/>
        <v>0.25</v>
      </c>
    </row>
    <row r="254" spans="1:30" ht="15">
      <c r="A254" s="1">
        <v>253</v>
      </c>
      <c r="B254" s="1">
        <f t="shared" si="123"/>
        <v>0</v>
      </c>
      <c r="C254" s="1">
        <f t="shared" si="110"/>
        <v>0</v>
      </c>
      <c r="D254" s="1">
        <f t="shared" si="115"/>
        <v>1.2592149877471481E-2</v>
      </c>
      <c r="E254">
        <v>177.45</v>
      </c>
      <c r="K254" s="1">
        <f>'Solar Availability and Gener GR'!F254</f>
        <v>1.5444</v>
      </c>
      <c r="L254" s="1">
        <v>0.39891472868217059</v>
      </c>
      <c r="M254" s="1">
        <f t="shared" si="111"/>
        <v>1.1454852713178294</v>
      </c>
      <c r="N254" s="1" t="str">
        <f t="shared" si="112"/>
        <v>sell the surplus or charge</v>
      </c>
      <c r="O254" s="1">
        <v>0.25</v>
      </c>
      <c r="P254" s="1">
        <f t="shared" si="137"/>
        <v>0.62670034978624167</v>
      </c>
      <c r="Q254" s="1">
        <f t="shared" si="138"/>
        <v>1.2944</v>
      </c>
      <c r="R254" s="1">
        <f t="shared" si="139"/>
        <v>229.68346813050195</v>
      </c>
      <c r="S254" s="1">
        <f t="shared" si="140"/>
        <v>203.26118272073194</v>
      </c>
      <c r="T254" s="1">
        <f t="shared" si="141"/>
        <v>157.03801798783519</v>
      </c>
      <c r="U254" s="1" t="str">
        <f t="shared" si="142"/>
        <v>sell to the Grid</v>
      </c>
      <c r="W254" s="1">
        <f t="shared" si="143"/>
        <v>0.22969127999999997</v>
      </c>
      <c r="Y254" s="1">
        <f t="shared" si="109"/>
        <v>7.0787418604651167E-2</v>
      </c>
      <c r="AA254" s="1">
        <f t="shared" si="113"/>
        <v>77.90115508879758</v>
      </c>
      <c r="AD254" s="1">
        <f t="shared" si="114"/>
        <v>0.25</v>
      </c>
    </row>
    <row r="255" spans="1:30" ht="15">
      <c r="A255" s="1">
        <v>254</v>
      </c>
      <c r="B255" s="1">
        <f t="shared" si="123"/>
        <v>0</v>
      </c>
      <c r="C255" s="1">
        <f t="shared" si="110"/>
        <v>0</v>
      </c>
      <c r="D255" s="1">
        <f t="shared" si="115"/>
        <v>1.2592149877471481E-2</v>
      </c>
      <c r="E255">
        <v>179.18</v>
      </c>
      <c r="K255" s="1">
        <f>'Solar Availability and Gener GR'!F255</f>
        <v>1.5456423039259319</v>
      </c>
      <c r="L255" s="1">
        <v>0.39891472868217059</v>
      </c>
      <c r="M255" s="1">
        <f t="shared" si="111"/>
        <v>1.1467275752437613</v>
      </c>
      <c r="N255" s="1" t="str">
        <f t="shared" si="112"/>
        <v>sell the surplus or charge</v>
      </c>
      <c r="O255" s="1">
        <v>0.25</v>
      </c>
      <c r="P255" s="1">
        <f t="shared" si="137"/>
        <v>0.62670034978624167</v>
      </c>
      <c r="Q255" s="1">
        <f t="shared" si="138"/>
        <v>1.2956423039259319</v>
      </c>
      <c r="R255" s="1">
        <f t="shared" si="139"/>
        <v>232.1454515680868</v>
      </c>
      <c r="S255" s="1">
        <f t="shared" si="140"/>
        <v>205.46551825536758</v>
      </c>
      <c r="T255" s="1">
        <f t="shared" si="141"/>
        <v>158.58872396818251</v>
      </c>
      <c r="U255" s="1" t="str">
        <f t="shared" si="142"/>
        <v>sell to the Grid</v>
      </c>
      <c r="W255" s="1">
        <f t="shared" si="143"/>
        <v>0.2321531880174485</v>
      </c>
      <c r="Y255" s="1">
        <f t="shared" si="109"/>
        <v>7.1477541085271323E-2</v>
      </c>
      <c r="AA255" s="1">
        <f t="shared" si="113"/>
        <v>79.047882664041339</v>
      </c>
      <c r="AD255" s="1">
        <f t="shared" si="114"/>
        <v>0.25</v>
      </c>
    </row>
    <row r="256" spans="1:30" ht="15">
      <c r="A256" s="1">
        <v>255</v>
      </c>
      <c r="B256" s="1">
        <f t="shared" si="123"/>
        <v>0</v>
      </c>
      <c r="C256" s="1">
        <f t="shared" si="110"/>
        <v>0</v>
      </c>
      <c r="D256" s="1">
        <f t="shared" si="115"/>
        <v>1.2592149877471481E-2</v>
      </c>
      <c r="E256">
        <v>211</v>
      </c>
      <c r="K256" s="1">
        <f>'Solar Availability and Gener GR'!F256</f>
        <v>1.4303347280334719</v>
      </c>
      <c r="L256" s="1">
        <v>0.39891472868217059</v>
      </c>
      <c r="M256" s="1">
        <f t="shared" si="111"/>
        <v>1.0314199993513014</v>
      </c>
      <c r="N256" s="1" t="str">
        <f t="shared" si="112"/>
        <v>sell the surplus or charge</v>
      </c>
      <c r="O256" s="1">
        <v>0.25</v>
      </c>
      <c r="P256" s="1">
        <f t="shared" si="137"/>
        <v>0.62670034978624167</v>
      </c>
      <c r="Q256" s="1">
        <f t="shared" si="138"/>
        <v>1.1803347280334719</v>
      </c>
      <c r="R256" s="1">
        <f t="shared" si="139"/>
        <v>249.04405781097216</v>
      </c>
      <c r="S256" s="1">
        <f t="shared" si="140"/>
        <v>217.62526458329185</v>
      </c>
      <c r="T256" s="1">
        <f t="shared" si="141"/>
        <v>184.38225869584844</v>
      </c>
      <c r="U256" s="1" t="str">
        <f t="shared" si="142"/>
        <v>sell to the Grid</v>
      </c>
      <c r="W256" s="1">
        <f t="shared" si="143"/>
        <v>0.24905062761506258</v>
      </c>
      <c r="Y256" s="1">
        <f t="shared" si="109"/>
        <v>8.417100775193799E-2</v>
      </c>
      <c r="AA256" s="1">
        <f t="shared" si="113"/>
        <v>80.079302663392639</v>
      </c>
      <c r="AD256" s="1">
        <f t="shared" si="114"/>
        <v>0.25</v>
      </c>
    </row>
    <row r="257" spans="1:30" ht="15">
      <c r="A257" s="1">
        <v>256</v>
      </c>
      <c r="B257" s="1">
        <f t="shared" si="123"/>
        <v>0</v>
      </c>
      <c r="C257" s="1">
        <f t="shared" si="110"/>
        <v>0</v>
      </c>
      <c r="D257" s="1">
        <f t="shared" si="115"/>
        <v>1.2592149877471481E-2</v>
      </c>
      <c r="E257">
        <v>269.47000000000003</v>
      </c>
      <c r="K257" s="1">
        <f>'Solar Availability and Gener GR'!F257</f>
        <v>1.1235244369269095</v>
      </c>
      <c r="L257" s="1">
        <v>0.66914728682170543</v>
      </c>
      <c r="M257" s="1">
        <f t="shared" si="111"/>
        <v>0.45437715010520408</v>
      </c>
      <c r="N257" s="1" t="str">
        <f t="shared" si="112"/>
        <v>sell the surplus or charge</v>
      </c>
      <c r="O257" s="1">
        <v>0.25</v>
      </c>
      <c r="P257" s="1">
        <f t="shared" si="137"/>
        <v>0.3736098239110287</v>
      </c>
      <c r="Q257" s="1">
        <f t="shared" si="138"/>
        <v>0.87352443692690951</v>
      </c>
      <c r="R257" s="1">
        <f t="shared" si="139"/>
        <v>235.38348568753386</v>
      </c>
      <c r="S257" s="1">
        <f t="shared" si="140"/>
        <v>122.43951980062977</v>
      </c>
      <c r="T257" s="1">
        <f t="shared" si="141"/>
        <v>140.17857327462639</v>
      </c>
      <c r="U257" s="1" t="str">
        <f t="shared" si="142"/>
        <v>sell to the Grid</v>
      </c>
      <c r="W257" s="1">
        <f t="shared" si="143"/>
        <v>0.23538863001869434</v>
      </c>
      <c r="Y257" s="1">
        <f t="shared" si="109"/>
        <v>0.18031511937984498</v>
      </c>
      <c r="AA257" s="1">
        <f t="shared" si="113"/>
        <v>80.533679813497841</v>
      </c>
      <c r="AD257" s="1">
        <f t="shared" si="114"/>
        <v>0.25</v>
      </c>
    </row>
    <row r="258" spans="1:30" ht="15">
      <c r="A258" s="1">
        <v>257</v>
      </c>
      <c r="B258" s="1">
        <f t="shared" si="123"/>
        <v>0</v>
      </c>
      <c r="C258" s="1">
        <f t="shared" si="110"/>
        <v>0</v>
      </c>
      <c r="D258" s="1">
        <f t="shared" si="115"/>
        <v>1.2592149877471481E-2</v>
      </c>
      <c r="E258">
        <v>268.56</v>
      </c>
      <c r="K258" s="1">
        <f>'Solar Availability and Gener GR'!F258</f>
        <v>0.64438707380040716</v>
      </c>
      <c r="L258" s="1">
        <v>0.66914728682170543</v>
      </c>
      <c r="M258" s="1">
        <f t="shared" si="111"/>
        <v>-2.4760213021298272E-2</v>
      </c>
      <c r="N258" s="1" t="str">
        <f t="shared" si="112"/>
        <v>Buy from Grid</v>
      </c>
      <c r="V258" s="1" t="str">
        <f t="shared" ref="V258:V275" si="144">IF(D258+M258&gt;0,"discharge","buy from the Grid")</f>
        <v>buy from the Grid</v>
      </c>
      <c r="X258" s="1">
        <f t="shared" ref="X258:X275" si="145">(M258*E258)/1000</f>
        <v>-6.6496028089998646E-3</v>
      </c>
      <c r="Y258" s="1">
        <f t="shared" ref="Y258:Y289" si="146">(L258*E258)/1000</f>
        <v>0.17970619534883722</v>
      </c>
      <c r="AA258" s="1">
        <f t="shared" si="113"/>
        <v>80.508919600476545</v>
      </c>
      <c r="AC258" s="1">
        <f t="shared" ref="AC258:AC289" si="147">L258</f>
        <v>0.66914728682170543</v>
      </c>
      <c r="AD258" s="1">
        <f t="shared" si="114"/>
        <v>0.66914728682170543</v>
      </c>
    </row>
    <row r="259" spans="1:30" ht="15">
      <c r="A259" s="1">
        <v>258</v>
      </c>
      <c r="B259" s="1">
        <f t="shared" si="123"/>
        <v>0</v>
      </c>
      <c r="C259" s="1">
        <f t="shared" ref="C259:C289" si="148">IF(V258="discharge",M258,0)</f>
        <v>0</v>
      </c>
      <c r="D259" s="1">
        <f t="shared" si="115"/>
        <v>1.2592149877471481E-2</v>
      </c>
      <c r="E259">
        <v>280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49">K259-L259</f>
        <v>-0.4655997038073727</v>
      </c>
      <c r="N259" s="1" t="str">
        <f t="shared" ref="N259:N289" si="150">IF(M259&lt;0,"Buy from Grid","sell the surplus or charge")</f>
        <v>Buy from Grid</v>
      </c>
      <c r="V259" s="1" t="str">
        <f t="shared" si="144"/>
        <v>buy from the Grid</v>
      </c>
      <c r="X259" s="1">
        <f t="shared" si="145"/>
        <v>-0.13036791706606438</v>
      </c>
      <c r="Y259" s="1">
        <f t="shared" si="146"/>
        <v>0.18736124031007753</v>
      </c>
      <c r="AA259" s="1">
        <f t="shared" ref="AA259:AA289" si="151">M259+AA258</f>
        <v>80.043319896669175</v>
      </c>
      <c r="AC259" s="1">
        <f t="shared" si="147"/>
        <v>0.66914728682170543</v>
      </c>
      <c r="AD259" s="1">
        <f t="shared" ref="AD259:AD289" si="152">AC259+O259</f>
        <v>0.66914728682170543</v>
      </c>
    </row>
    <row r="260" spans="1:30" ht="15">
      <c r="A260" s="1">
        <v>259</v>
      </c>
      <c r="B260" s="1">
        <f t="shared" si="123"/>
        <v>0</v>
      </c>
      <c r="C260" s="1">
        <f t="shared" si="148"/>
        <v>0</v>
      </c>
      <c r="D260" s="1">
        <f t="shared" ref="D260:D289" si="153">(D259)+(B260*0.8)+(C260/0.8)</f>
        <v>1.2592149877471481E-2</v>
      </c>
      <c r="E260">
        <v>280</v>
      </c>
      <c r="K260" s="1">
        <f>'Solar Availability and Gener GR'!F260</f>
        <v>2.1205377014155053E-2</v>
      </c>
      <c r="L260" s="1">
        <v>0.66914728682170543</v>
      </c>
      <c r="M260" s="1">
        <f t="shared" si="149"/>
        <v>-0.6479419098075504</v>
      </c>
      <c r="N260" s="1" t="str">
        <f t="shared" si="150"/>
        <v>Buy from Grid</v>
      </c>
      <c r="V260" s="1" t="str">
        <f t="shared" si="144"/>
        <v>buy from the Grid</v>
      </c>
      <c r="X260" s="1">
        <f t="shared" si="145"/>
        <v>-0.18142373474611412</v>
      </c>
      <c r="Y260" s="1">
        <f t="shared" si="146"/>
        <v>0.18736124031007753</v>
      </c>
      <c r="AA260" s="1">
        <f t="shared" si="151"/>
        <v>79.395377986861618</v>
      </c>
      <c r="AC260" s="1">
        <f t="shared" si="147"/>
        <v>0.66914728682170543</v>
      </c>
      <c r="AD260" s="1">
        <f t="shared" si="152"/>
        <v>0.66914728682170543</v>
      </c>
    </row>
    <row r="261" spans="1:30" ht="15">
      <c r="A261" s="1">
        <v>260</v>
      </c>
      <c r="B261" s="1">
        <f t="shared" si="123"/>
        <v>0</v>
      </c>
      <c r="C261" s="1">
        <f t="shared" si="148"/>
        <v>0</v>
      </c>
      <c r="D261" s="1">
        <f t="shared" si="153"/>
        <v>1.2592149877471481E-2</v>
      </c>
      <c r="E261">
        <v>270.06</v>
      </c>
      <c r="K261" s="1">
        <f>'Solar Availability and Gener GR'!F261</f>
        <v>0</v>
      </c>
      <c r="L261" s="1">
        <v>0.39891472868217059</v>
      </c>
      <c r="M261" s="1">
        <f t="shared" si="149"/>
        <v>-0.39891472868217059</v>
      </c>
      <c r="N261" s="1" t="str">
        <f t="shared" si="150"/>
        <v>Buy from Grid</v>
      </c>
      <c r="V261" s="1" t="str">
        <f t="shared" si="144"/>
        <v>buy from the Grid</v>
      </c>
      <c r="X261" s="1">
        <f t="shared" si="145"/>
        <v>-0.10773091162790699</v>
      </c>
      <c r="Y261" s="1">
        <f t="shared" si="146"/>
        <v>0.10773091162790699</v>
      </c>
      <c r="AA261" s="1">
        <f t="shared" si="151"/>
        <v>78.996463258179446</v>
      </c>
      <c r="AC261" s="1">
        <f t="shared" si="147"/>
        <v>0.39891472868217059</v>
      </c>
      <c r="AD261" s="1">
        <f t="shared" si="152"/>
        <v>0.39891472868217059</v>
      </c>
    </row>
    <row r="262" spans="1:30" ht="15">
      <c r="A262" s="1">
        <v>261</v>
      </c>
      <c r="B262" s="1">
        <f t="shared" si="123"/>
        <v>0</v>
      </c>
      <c r="C262" s="1">
        <f t="shared" si="148"/>
        <v>0</v>
      </c>
      <c r="D262" s="1">
        <f t="shared" si="153"/>
        <v>1.2592149877471481E-2</v>
      </c>
      <c r="E262">
        <v>246.1</v>
      </c>
      <c r="K262" s="1">
        <f>'Solar Availability and Gener GR'!F262</f>
        <v>0</v>
      </c>
      <c r="L262" s="1">
        <v>0.39891472868217059</v>
      </c>
      <c r="M262" s="1">
        <f t="shared" si="149"/>
        <v>-0.39891472868217059</v>
      </c>
      <c r="N262" s="1" t="str">
        <f t="shared" si="150"/>
        <v>Buy from Grid</v>
      </c>
      <c r="V262" s="1" t="str">
        <f t="shared" si="144"/>
        <v>buy from the Grid</v>
      </c>
      <c r="X262" s="1">
        <f t="shared" si="145"/>
        <v>-9.8172914728682184E-2</v>
      </c>
      <c r="Y262" s="1">
        <f t="shared" si="146"/>
        <v>9.8172914728682184E-2</v>
      </c>
      <c r="AA262" s="1">
        <f t="shared" si="151"/>
        <v>78.597548529497274</v>
      </c>
      <c r="AC262" s="1">
        <f t="shared" si="147"/>
        <v>0.39891472868217059</v>
      </c>
      <c r="AD262" s="1">
        <f t="shared" si="152"/>
        <v>0.39891472868217059</v>
      </c>
    </row>
    <row r="263" spans="1:30" ht="15">
      <c r="A263" s="1">
        <v>262</v>
      </c>
      <c r="B263" s="1">
        <f t="shared" si="123"/>
        <v>0</v>
      </c>
      <c r="C263" s="1">
        <f t="shared" si="148"/>
        <v>0</v>
      </c>
      <c r="D263" s="1">
        <f t="shared" si="153"/>
        <v>1.2592149877471481E-2</v>
      </c>
      <c r="E263">
        <v>205</v>
      </c>
      <c r="K263" s="1">
        <f>'Solar Availability and Gener GR'!F263</f>
        <v>0</v>
      </c>
      <c r="L263" s="1">
        <v>0.39891472868217059</v>
      </c>
      <c r="M263" s="1">
        <f t="shared" si="149"/>
        <v>-0.39891472868217059</v>
      </c>
      <c r="N263" s="1" t="str">
        <f t="shared" si="150"/>
        <v>Buy from Grid</v>
      </c>
      <c r="V263" s="1" t="str">
        <f t="shared" si="144"/>
        <v>buy from the Grid</v>
      </c>
      <c r="X263" s="1">
        <f t="shared" si="145"/>
        <v>-8.1777519379844982E-2</v>
      </c>
      <c r="Y263" s="1">
        <f t="shared" si="146"/>
        <v>8.1777519379844982E-2</v>
      </c>
      <c r="AA263" s="1">
        <f t="shared" si="151"/>
        <v>78.198633800815102</v>
      </c>
      <c r="AC263" s="1">
        <f t="shared" si="147"/>
        <v>0.39891472868217059</v>
      </c>
      <c r="AD263" s="1">
        <f t="shared" si="152"/>
        <v>0.39891472868217059</v>
      </c>
    </row>
    <row r="264" spans="1:30" ht="15">
      <c r="A264" s="1">
        <v>263</v>
      </c>
      <c r="B264" s="1">
        <f t="shared" si="123"/>
        <v>0</v>
      </c>
      <c r="C264" s="1">
        <f t="shared" si="148"/>
        <v>0</v>
      </c>
      <c r="D264" s="1">
        <f t="shared" si="153"/>
        <v>1.2592149877471481E-2</v>
      </c>
      <c r="E264">
        <v>269.02</v>
      </c>
      <c r="K264" s="1">
        <f>'Solar Availability and Gener GR'!F264</f>
        <v>0</v>
      </c>
      <c r="L264" s="1">
        <v>0.2831007751937985</v>
      </c>
      <c r="M264" s="1">
        <f t="shared" si="149"/>
        <v>-0.2831007751937985</v>
      </c>
      <c r="N264" s="1" t="str">
        <f t="shared" si="150"/>
        <v>Buy from Grid</v>
      </c>
      <c r="V264" s="1" t="str">
        <f t="shared" si="144"/>
        <v>buy from the Grid</v>
      </c>
      <c r="X264" s="1">
        <f t="shared" si="145"/>
        <v>-7.6159770542635674E-2</v>
      </c>
      <c r="Y264" s="1">
        <f t="shared" si="146"/>
        <v>7.6159770542635674E-2</v>
      </c>
      <c r="AA264" s="1">
        <f t="shared" si="151"/>
        <v>77.915533025621301</v>
      </c>
      <c r="AC264" s="1">
        <f t="shared" si="147"/>
        <v>0.2831007751937985</v>
      </c>
      <c r="AD264" s="1">
        <f t="shared" si="152"/>
        <v>0.2831007751937985</v>
      </c>
    </row>
    <row r="265" spans="1:30" ht="15">
      <c r="A265" s="1">
        <v>264</v>
      </c>
      <c r="B265" s="1">
        <f t="shared" si="123"/>
        <v>0</v>
      </c>
      <c r="C265" s="1">
        <f t="shared" si="148"/>
        <v>0</v>
      </c>
      <c r="D265" s="1">
        <f t="shared" si="153"/>
        <v>1.2592149877471481E-2</v>
      </c>
      <c r="E265">
        <v>186.54</v>
      </c>
      <c r="K265" s="1">
        <f>'Solar Availability and Gener GR'!F265</f>
        <v>0</v>
      </c>
      <c r="L265" s="1">
        <v>0.29596899224806206</v>
      </c>
      <c r="M265" s="1">
        <f t="shared" si="149"/>
        <v>-0.29596899224806206</v>
      </c>
      <c r="N265" s="1" t="str">
        <f t="shared" si="150"/>
        <v>Buy from Grid</v>
      </c>
      <c r="V265" s="1" t="str">
        <f t="shared" si="144"/>
        <v>buy from the Grid</v>
      </c>
      <c r="X265" s="1">
        <f t="shared" si="145"/>
        <v>-5.5210055813953496E-2</v>
      </c>
      <c r="Y265" s="1">
        <f t="shared" si="146"/>
        <v>5.5210055813953496E-2</v>
      </c>
      <c r="AA265" s="1">
        <f t="shared" si="151"/>
        <v>77.619564033373237</v>
      </c>
      <c r="AC265" s="1">
        <f t="shared" si="147"/>
        <v>0.29596899224806206</v>
      </c>
      <c r="AD265" s="1">
        <f t="shared" si="152"/>
        <v>0.29596899224806206</v>
      </c>
    </row>
    <row r="266" spans="1:30" ht="15">
      <c r="A266" s="1">
        <v>265</v>
      </c>
      <c r="B266" s="1">
        <f t="shared" si="123"/>
        <v>0</v>
      </c>
      <c r="C266" s="1">
        <f t="shared" si="148"/>
        <v>0</v>
      </c>
      <c r="D266" s="1">
        <f t="shared" si="153"/>
        <v>1.2592149877471481E-2</v>
      </c>
      <c r="E266">
        <v>160.72</v>
      </c>
      <c r="K266" s="1">
        <f>'Solar Availability and Gener GR'!F266</f>
        <v>0</v>
      </c>
      <c r="L266" s="1">
        <v>0.2831007751937985</v>
      </c>
      <c r="M266" s="1">
        <f t="shared" si="149"/>
        <v>-0.2831007751937985</v>
      </c>
      <c r="N266" s="1" t="str">
        <f t="shared" si="150"/>
        <v>Buy from Grid</v>
      </c>
      <c r="V266" s="1" t="str">
        <f t="shared" si="144"/>
        <v>buy from the Grid</v>
      </c>
      <c r="X266" s="1">
        <f t="shared" si="145"/>
        <v>-4.5499956589147295E-2</v>
      </c>
      <c r="Y266" s="1">
        <f t="shared" si="146"/>
        <v>4.5499956589147295E-2</v>
      </c>
      <c r="AA266" s="1">
        <f t="shared" si="151"/>
        <v>77.336463258179435</v>
      </c>
      <c r="AC266" s="1">
        <f t="shared" si="147"/>
        <v>0.2831007751937985</v>
      </c>
      <c r="AD266" s="1">
        <f t="shared" si="152"/>
        <v>0.2831007751937985</v>
      </c>
    </row>
    <row r="267" spans="1:30" ht="15">
      <c r="A267" s="1">
        <v>266</v>
      </c>
      <c r="B267" s="1">
        <f t="shared" si="123"/>
        <v>0</v>
      </c>
      <c r="C267" s="1">
        <f t="shared" si="148"/>
        <v>0</v>
      </c>
      <c r="D267" s="1">
        <f t="shared" si="153"/>
        <v>1.2592149877471481E-2</v>
      </c>
      <c r="E267">
        <v>150.08000000000001</v>
      </c>
      <c r="K267" s="1">
        <f>'Solar Availability and Gener GR'!F267</f>
        <v>0</v>
      </c>
      <c r="L267" s="1">
        <v>0.19302325581395352</v>
      </c>
      <c r="M267" s="1">
        <f t="shared" si="149"/>
        <v>-0.19302325581395352</v>
      </c>
      <c r="N267" s="1" t="str">
        <f t="shared" si="150"/>
        <v>Buy from Grid</v>
      </c>
      <c r="V267" s="1" t="str">
        <f t="shared" si="144"/>
        <v>buy from the Grid</v>
      </c>
      <c r="X267" s="1">
        <f t="shared" si="145"/>
        <v>-2.8968930232558147E-2</v>
      </c>
      <c r="Y267" s="1">
        <f t="shared" si="146"/>
        <v>2.8968930232558147E-2</v>
      </c>
      <c r="AA267" s="1">
        <f t="shared" si="151"/>
        <v>77.14344000236548</v>
      </c>
      <c r="AC267" s="1">
        <f t="shared" si="147"/>
        <v>0.19302325581395352</v>
      </c>
      <c r="AD267" s="1">
        <f t="shared" si="152"/>
        <v>0.19302325581395352</v>
      </c>
    </row>
    <row r="268" spans="1:30" ht="15">
      <c r="A268" s="1">
        <v>267</v>
      </c>
      <c r="B268" s="1">
        <f t="shared" si="123"/>
        <v>0</v>
      </c>
      <c r="C268" s="1">
        <f t="shared" si="148"/>
        <v>0</v>
      </c>
      <c r="D268" s="1">
        <f t="shared" si="153"/>
        <v>1.2592149877471481E-2</v>
      </c>
      <c r="E268">
        <v>131</v>
      </c>
      <c r="K268" s="1">
        <f>'Solar Availability and Gener GR'!F268</f>
        <v>0</v>
      </c>
      <c r="L268" s="1">
        <v>0.19302325581395352</v>
      </c>
      <c r="M268" s="1">
        <f t="shared" si="149"/>
        <v>-0.19302325581395352</v>
      </c>
      <c r="N268" s="1" t="str">
        <f t="shared" si="150"/>
        <v>Buy from Grid</v>
      </c>
      <c r="V268" s="1" t="str">
        <f t="shared" si="144"/>
        <v>buy from the Grid</v>
      </c>
      <c r="X268" s="1">
        <f t="shared" si="145"/>
        <v>-2.5286046511627913E-2</v>
      </c>
      <c r="Y268" s="1">
        <f t="shared" si="146"/>
        <v>2.5286046511627913E-2</v>
      </c>
      <c r="AA268" s="1">
        <f t="shared" si="151"/>
        <v>76.950416746551525</v>
      </c>
      <c r="AC268" s="1">
        <f t="shared" si="147"/>
        <v>0.19302325581395352</v>
      </c>
      <c r="AD268" s="1">
        <f t="shared" si="152"/>
        <v>0.19302325581395352</v>
      </c>
    </row>
    <row r="269" spans="1:30" ht="15">
      <c r="A269" s="1">
        <v>268</v>
      </c>
      <c r="B269" s="1">
        <f t="shared" si="123"/>
        <v>0</v>
      </c>
      <c r="C269" s="1">
        <f t="shared" si="148"/>
        <v>0</v>
      </c>
      <c r="D269" s="1">
        <f t="shared" si="153"/>
        <v>1.2592149877471481E-2</v>
      </c>
      <c r="E269">
        <v>129.19999999999999</v>
      </c>
      <c r="K269" s="1">
        <f>'Solar Availability and Gener GR'!F269</f>
        <v>0</v>
      </c>
      <c r="L269" s="1">
        <v>0.19302325581395352</v>
      </c>
      <c r="M269" s="1">
        <f t="shared" si="149"/>
        <v>-0.19302325581395352</v>
      </c>
      <c r="N269" s="1" t="str">
        <f t="shared" si="150"/>
        <v>Buy from Grid</v>
      </c>
      <c r="V269" s="1" t="str">
        <f t="shared" si="144"/>
        <v>buy from the Grid</v>
      </c>
      <c r="X269" s="1">
        <f t="shared" si="145"/>
        <v>-2.493860465116279E-2</v>
      </c>
      <c r="Y269" s="1">
        <f t="shared" si="146"/>
        <v>2.493860465116279E-2</v>
      </c>
      <c r="AA269" s="1">
        <f t="shared" si="151"/>
        <v>76.75739349073757</v>
      </c>
      <c r="AC269" s="1">
        <f t="shared" si="147"/>
        <v>0.19302325581395352</v>
      </c>
      <c r="AD269" s="1">
        <f t="shared" si="152"/>
        <v>0.19302325581395352</v>
      </c>
    </row>
    <row r="270" spans="1:30" ht="15">
      <c r="A270" s="1">
        <v>269</v>
      </c>
      <c r="B270" s="1">
        <f t="shared" si="123"/>
        <v>0</v>
      </c>
      <c r="C270" s="1">
        <f t="shared" si="148"/>
        <v>0</v>
      </c>
      <c r="D270" s="1">
        <f t="shared" si="153"/>
        <v>1.2592149877471481E-2</v>
      </c>
      <c r="E270">
        <v>133.5</v>
      </c>
      <c r="K270" s="1">
        <f>'Solar Availability and Gener GR'!F270</f>
        <v>0</v>
      </c>
      <c r="L270" s="1">
        <v>0.19302325581395352</v>
      </c>
      <c r="M270" s="1">
        <f t="shared" si="149"/>
        <v>-0.19302325581395352</v>
      </c>
      <c r="N270" s="1" t="str">
        <f t="shared" si="150"/>
        <v>Buy from Grid</v>
      </c>
      <c r="V270" s="1" t="str">
        <f t="shared" si="144"/>
        <v>buy from the Grid</v>
      </c>
      <c r="X270" s="1">
        <f t="shared" si="145"/>
        <v>-2.5768604651162798E-2</v>
      </c>
      <c r="Y270" s="1">
        <f t="shared" si="146"/>
        <v>2.5768604651162798E-2</v>
      </c>
      <c r="AA270" s="1">
        <f t="shared" si="151"/>
        <v>76.564370234923615</v>
      </c>
      <c r="AC270" s="1">
        <f t="shared" si="147"/>
        <v>0.19302325581395352</v>
      </c>
      <c r="AD270" s="1">
        <f t="shared" si="152"/>
        <v>0.19302325581395352</v>
      </c>
    </row>
    <row r="271" spans="1:30" ht="15">
      <c r="A271" s="1">
        <v>270</v>
      </c>
      <c r="B271" s="1">
        <f t="shared" si="123"/>
        <v>0</v>
      </c>
      <c r="C271" s="1">
        <f t="shared" si="148"/>
        <v>0</v>
      </c>
      <c r="D271" s="1">
        <f t="shared" si="153"/>
        <v>1.2592149877471481E-2</v>
      </c>
      <c r="E271">
        <v>162.82</v>
      </c>
      <c r="K271" s="1">
        <f>'Solar Availability and Gener GR'!F271</f>
        <v>0</v>
      </c>
      <c r="L271" s="1">
        <v>0.64341085271317833</v>
      </c>
      <c r="M271" s="1">
        <f t="shared" si="149"/>
        <v>-0.64341085271317833</v>
      </c>
      <c r="N271" s="1" t="str">
        <f t="shared" si="150"/>
        <v>Buy from Grid</v>
      </c>
      <c r="V271" s="1" t="str">
        <f t="shared" si="144"/>
        <v>buy from the Grid</v>
      </c>
      <c r="X271" s="1">
        <f t="shared" si="145"/>
        <v>-0.1047601550387597</v>
      </c>
      <c r="Y271" s="1">
        <f t="shared" si="146"/>
        <v>0.1047601550387597</v>
      </c>
      <c r="AA271" s="1">
        <f t="shared" si="151"/>
        <v>75.920959382210441</v>
      </c>
      <c r="AC271" s="1">
        <f t="shared" si="147"/>
        <v>0.64341085271317833</v>
      </c>
      <c r="AD271" s="1">
        <f t="shared" si="152"/>
        <v>0.64341085271317833</v>
      </c>
    </row>
    <row r="272" spans="1:30" ht="15">
      <c r="A272" s="1">
        <v>271</v>
      </c>
      <c r="B272" s="1">
        <f t="shared" ref="B272:B289" si="154">IF(U272="charge",Q272,0)</f>
        <v>0</v>
      </c>
      <c r="C272" s="1">
        <f t="shared" si="148"/>
        <v>0</v>
      </c>
      <c r="D272" s="1">
        <f t="shared" si="153"/>
        <v>1.2592149877471481E-2</v>
      </c>
      <c r="E272">
        <v>333</v>
      </c>
      <c r="K272" s="1">
        <f>'Solar Availability and Gener GR'!F272</f>
        <v>3.5999999999999997E-2</v>
      </c>
      <c r="L272" s="1">
        <v>0.64341085271317833</v>
      </c>
      <c r="M272" s="1">
        <f t="shared" si="149"/>
        <v>-0.6074108527131783</v>
      </c>
      <c r="N272" s="1" t="str">
        <f t="shared" si="150"/>
        <v>Buy from Grid</v>
      </c>
      <c r="V272" s="1" t="str">
        <f t="shared" si="144"/>
        <v>buy from the Grid</v>
      </c>
      <c r="X272" s="1">
        <f t="shared" si="145"/>
        <v>-0.20226781395348836</v>
      </c>
      <c r="Y272" s="1">
        <f t="shared" si="146"/>
        <v>0.21425581395348836</v>
      </c>
      <c r="AA272" s="1">
        <f t="shared" si="151"/>
        <v>75.313548529497268</v>
      </c>
      <c r="AC272" s="1">
        <f t="shared" si="147"/>
        <v>0.64341085271317833</v>
      </c>
      <c r="AD272" s="1">
        <f t="shared" si="152"/>
        <v>0.64341085271317833</v>
      </c>
    </row>
    <row r="273" spans="1:30" ht="15">
      <c r="A273" s="1">
        <v>272</v>
      </c>
      <c r="B273" s="1">
        <f t="shared" si="154"/>
        <v>0</v>
      </c>
      <c r="C273" s="1">
        <f t="shared" si="148"/>
        <v>0</v>
      </c>
      <c r="D273" s="1">
        <f t="shared" si="153"/>
        <v>1.2592149877471481E-2</v>
      </c>
      <c r="E273">
        <v>333</v>
      </c>
      <c r="K273" s="1">
        <f>'Solar Availability and Gener GR'!F273</f>
        <v>7.1999999999999995E-2</v>
      </c>
      <c r="L273" s="1">
        <v>0.38604651162790704</v>
      </c>
      <c r="M273" s="1">
        <f t="shared" si="149"/>
        <v>-0.31404651162790703</v>
      </c>
      <c r="N273" s="1" t="str">
        <f t="shared" si="150"/>
        <v>Buy from Grid</v>
      </c>
      <c r="V273" s="1" t="str">
        <f t="shared" si="144"/>
        <v>buy from the Grid</v>
      </c>
      <c r="X273" s="1">
        <f t="shared" si="145"/>
        <v>-0.10457748837209305</v>
      </c>
      <c r="Y273" s="1">
        <f t="shared" si="146"/>
        <v>0.12855348837209304</v>
      </c>
      <c r="AA273" s="1">
        <f t="shared" si="151"/>
        <v>74.999502017869361</v>
      </c>
      <c r="AC273" s="1">
        <f t="shared" si="147"/>
        <v>0.38604651162790704</v>
      </c>
      <c r="AD273" s="1">
        <f t="shared" si="152"/>
        <v>0.38604651162790704</v>
      </c>
    </row>
    <row r="274" spans="1:30" ht="15">
      <c r="A274" s="1">
        <v>273</v>
      </c>
      <c r="B274" s="1">
        <f t="shared" si="154"/>
        <v>0</v>
      </c>
      <c r="C274" s="1">
        <f t="shared" si="148"/>
        <v>0</v>
      </c>
      <c r="D274" s="1">
        <f t="shared" si="153"/>
        <v>1.2592149877471481E-2</v>
      </c>
      <c r="E274">
        <v>223.51</v>
      </c>
      <c r="K274" s="1">
        <f>'Solar Availability and Gener GR'!F274</f>
        <v>0.108</v>
      </c>
      <c r="L274" s="1">
        <v>0.38604651162790704</v>
      </c>
      <c r="M274" s="1">
        <f t="shared" si="149"/>
        <v>-0.27804651162790706</v>
      </c>
      <c r="N274" s="1" t="str">
        <f t="shared" si="150"/>
        <v>Buy from Grid</v>
      </c>
      <c r="V274" s="1" t="str">
        <f t="shared" si="144"/>
        <v>buy from the Grid</v>
      </c>
      <c r="X274" s="1">
        <f t="shared" si="145"/>
        <v>-6.2146175813953507E-2</v>
      </c>
      <c r="Y274" s="1">
        <f t="shared" si="146"/>
        <v>8.6285255813953493E-2</v>
      </c>
      <c r="AA274" s="1">
        <f t="shared" si="151"/>
        <v>74.721455506241455</v>
      </c>
      <c r="AC274" s="1">
        <f t="shared" si="147"/>
        <v>0.38604651162790704</v>
      </c>
      <c r="AD274" s="1">
        <f t="shared" si="152"/>
        <v>0.38604651162790704</v>
      </c>
    </row>
    <row r="275" spans="1:30" ht="15">
      <c r="A275" s="1">
        <v>274</v>
      </c>
      <c r="B275" s="1">
        <f t="shared" si="154"/>
        <v>0</v>
      </c>
      <c r="C275" s="1">
        <f t="shared" si="148"/>
        <v>0</v>
      </c>
      <c r="D275" s="1">
        <f t="shared" si="153"/>
        <v>1.2592149877471481E-2</v>
      </c>
      <c r="E275">
        <v>207.96</v>
      </c>
      <c r="K275" s="1">
        <f>'Solar Availability and Gener GR'!F275</f>
        <v>0.17817591026439972</v>
      </c>
      <c r="L275" s="1">
        <v>0.38604651162790704</v>
      </c>
      <c r="M275" s="1">
        <f t="shared" si="149"/>
        <v>-0.20787060136350732</v>
      </c>
      <c r="N275" s="1" t="str">
        <f t="shared" si="150"/>
        <v>Buy from Grid</v>
      </c>
      <c r="V275" s="1" t="str">
        <f t="shared" si="144"/>
        <v>buy from the Grid</v>
      </c>
      <c r="X275" s="1">
        <f t="shared" si="145"/>
        <v>-4.3228770259554981E-2</v>
      </c>
      <c r="Y275" s="1">
        <f t="shared" si="146"/>
        <v>8.0282232558139557E-2</v>
      </c>
      <c r="AA275" s="1">
        <f t="shared" si="151"/>
        <v>74.513584904877945</v>
      </c>
      <c r="AC275" s="1">
        <f t="shared" si="147"/>
        <v>0.38604651162790704</v>
      </c>
      <c r="AD275" s="1">
        <f t="shared" si="152"/>
        <v>0.38604651162790704</v>
      </c>
    </row>
    <row r="276" spans="1:30" ht="15">
      <c r="A276" s="1">
        <v>275</v>
      </c>
      <c r="B276" s="1">
        <f t="shared" si="154"/>
        <v>0</v>
      </c>
      <c r="C276" s="1">
        <f t="shared" si="148"/>
        <v>0</v>
      </c>
      <c r="D276" s="1">
        <f t="shared" si="153"/>
        <v>1.2592149877471481E-2</v>
      </c>
      <c r="E276">
        <v>195.07</v>
      </c>
      <c r="K276" s="1">
        <f>'Solar Availability and Gener GR'!F276</f>
        <v>0.60861301522300082</v>
      </c>
      <c r="L276" s="1">
        <v>0.38604651162790704</v>
      </c>
      <c r="M276" s="1">
        <f t="shared" si="149"/>
        <v>0.22256650359509378</v>
      </c>
      <c r="N276" s="1" t="str">
        <f t="shared" si="150"/>
        <v>sell the surplus or charge</v>
      </c>
      <c r="O276" s="1">
        <v>0.25</v>
      </c>
      <c r="P276" s="1">
        <f t="shared" ref="P276:P281" si="155">0.25/L276</f>
        <v>0.64759036144578308</v>
      </c>
      <c r="Q276" s="1">
        <f t="shared" ref="Q276:Q281" si="156">K276-P276*L276</f>
        <v>0.35861301522300082</v>
      </c>
      <c r="R276" s="1">
        <f t="shared" ref="R276:R281" si="157">((1/(E276+0.01))*LN(0.25))+(E276*(K276-0.25))</f>
        <v>69.947534593098439</v>
      </c>
      <c r="S276" s="1">
        <f t="shared" ref="S276:S281" si="158">((1/(E276+0.01))*LN(L276))+(E276*(K276-L276))</f>
        <v>43.411168845528437</v>
      </c>
      <c r="T276" s="1">
        <f t="shared" ref="T276:T281" si="159">(S276+((S276^2)-4*(K276-L276*P276)*LN(L276*P276))^(0.5))/(2*(K276-L276*P276))</f>
        <v>121.08489081022624</v>
      </c>
      <c r="U276" s="1" t="str">
        <f t="shared" ref="U276:U281" si="160">IF(E276&gt;=T276*1.05,"sell to the Grid","charge")</f>
        <v>sell to the Grid</v>
      </c>
      <c r="W276" s="1">
        <f t="shared" ref="W276:W281" si="161">(Q276*E276)/1000</f>
        <v>6.9954640879550764E-2</v>
      </c>
      <c r="Y276" s="1">
        <f t="shared" si="146"/>
        <v>7.5306093023255832E-2</v>
      </c>
      <c r="AA276" s="1">
        <f t="shared" si="151"/>
        <v>74.736151408473035</v>
      </c>
      <c r="AC276" s="1">
        <f t="shared" si="147"/>
        <v>0.38604651162790704</v>
      </c>
      <c r="AD276" s="1">
        <f t="shared" si="152"/>
        <v>0.63604651162790704</v>
      </c>
    </row>
    <row r="277" spans="1:30" ht="15">
      <c r="A277" s="1">
        <v>276</v>
      </c>
      <c r="B277" s="1">
        <f t="shared" si="154"/>
        <v>0</v>
      </c>
      <c r="C277" s="1">
        <f t="shared" si="148"/>
        <v>0</v>
      </c>
      <c r="D277" s="1">
        <f t="shared" si="153"/>
        <v>1.2592149877471481E-2</v>
      </c>
      <c r="E277">
        <v>181.27</v>
      </c>
      <c r="K277" s="1">
        <f>'Solar Availability and Gener GR'!F277</f>
        <v>1.0103000089023395</v>
      </c>
      <c r="L277" s="1">
        <v>0.38604651162790704</v>
      </c>
      <c r="M277" s="1">
        <f t="shared" si="149"/>
        <v>0.62425349727443247</v>
      </c>
      <c r="N277" s="1" t="str">
        <f t="shared" si="150"/>
        <v>sell the surplus or charge</v>
      </c>
      <c r="O277" s="1">
        <v>0.25</v>
      </c>
      <c r="P277" s="1">
        <f t="shared" si="155"/>
        <v>0.64759036144578308</v>
      </c>
      <c r="Q277" s="1">
        <f t="shared" si="156"/>
        <v>0.76030000890233951</v>
      </c>
      <c r="R277" s="1">
        <f t="shared" si="157"/>
        <v>137.81193535886652</v>
      </c>
      <c r="S277" s="1">
        <f t="shared" si="158"/>
        <v>113.15318102386041</v>
      </c>
      <c r="T277" s="1">
        <f t="shared" si="159"/>
        <v>148.83926573114942</v>
      </c>
      <c r="U277" s="1" t="str">
        <f t="shared" si="160"/>
        <v>sell to the Grid</v>
      </c>
      <c r="W277" s="1">
        <f t="shared" si="161"/>
        <v>0.13781958261372707</v>
      </c>
      <c r="Y277" s="1">
        <f t="shared" si="146"/>
        <v>6.9978651162790714E-2</v>
      </c>
      <c r="AA277" s="1">
        <f t="shared" si="151"/>
        <v>75.360404905747473</v>
      </c>
      <c r="AC277" s="1">
        <f t="shared" si="147"/>
        <v>0.38604651162790704</v>
      </c>
      <c r="AD277" s="1">
        <f t="shared" si="152"/>
        <v>0.63604651162790704</v>
      </c>
    </row>
    <row r="278" spans="1:30" ht="15">
      <c r="A278" s="1">
        <v>277</v>
      </c>
      <c r="B278" s="1">
        <f t="shared" si="154"/>
        <v>0</v>
      </c>
      <c r="C278" s="1">
        <f t="shared" si="148"/>
        <v>0</v>
      </c>
      <c r="D278" s="1">
        <f t="shared" si="153"/>
        <v>1.2592149877471481E-2</v>
      </c>
      <c r="E278">
        <v>174.94</v>
      </c>
      <c r="K278" s="1">
        <f>'Solar Availability and Gener GR'!F278</f>
        <v>1.2588222202439221</v>
      </c>
      <c r="L278" s="1">
        <v>0.38604651162790704</v>
      </c>
      <c r="M278" s="1">
        <f t="shared" si="149"/>
        <v>0.87277570861601506</v>
      </c>
      <c r="N278" s="1" t="str">
        <f t="shared" si="150"/>
        <v>sell the surplus or charge</v>
      </c>
      <c r="O278" s="1">
        <v>0.25</v>
      </c>
      <c r="P278" s="1">
        <f t="shared" si="155"/>
        <v>0.64759036144578308</v>
      </c>
      <c r="Q278" s="1">
        <f t="shared" si="156"/>
        <v>1.0088222202439221</v>
      </c>
      <c r="R278" s="1">
        <f t="shared" si="157"/>
        <v>176.47543526342361</v>
      </c>
      <c r="S278" s="1">
        <f t="shared" si="158"/>
        <v>152.6779420684847</v>
      </c>
      <c r="T278" s="1">
        <f t="shared" si="159"/>
        <v>151.35184219747637</v>
      </c>
      <c r="U278" s="1" t="str">
        <f t="shared" si="160"/>
        <v>sell to the Grid</v>
      </c>
      <c r="W278" s="1">
        <f t="shared" si="161"/>
        <v>0.17648335920947172</v>
      </c>
      <c r="Y278" s="1">
        <f t="shared" si="146"/>
        <v>6.7534976744186057E-2</v>
      </c>
      <c r="AA278" s="1">
        <f t="shared" si="151"/>
        <v>76.233180614363491</v>
      </c>
      <c r="AC278" s="1">
        <f t="shared" si="147"/>
        <v>0.38604651162790704</v>
      </c>
      <c r="AD278" s="1">
        <f t="shared" si="152"/>
        <v>0.63604651162790704</v>
      </c>
    </row>
    <row r="279" spans="1:30" ht="15">
      <c r="A279" s="1">
        <v>278</v>
      </c>
      <c r="B279" s="1">
        <f t="shared" si="154"/>
        <v>0</v>
      </c>
      <c r="C279" s="1">
        <f t="shared" si="148"/>
        <v>0</v>
      </c>
      <c r="D279" s="1">
        <f t="shared" si="153"/>
        <v>1.2592149877471481E-2</v>
      </c>
      <c r="E279">
        <v>188.37</v>
      </c>
      <c r="K279" s="1">
        <f>'Solar Availability and Gener GR'!F279</f>
        <v>1.2775571975429532</v>
      </c>
      <c r="L279" s="1">
        <v>0.38604651162790704</v>
      </c>
      <c r="M279" s="1">
        <f t="shared" si="149"/>
        <v>0.89151068591504612</v>
      </c>
      <c r="N279" s="1" t="str">
        <f t="shared" si="150"/>
        <v>sell the surplus or charge</v>
      </c>
      <c r="O279" s="1">
        <v>0.25</v>
      </c>
      <c r="P279" s="1">
        <f t="shared" si="155"/>
        <v>0.64759036144578308</v>
      </c>
      <c r="Q279" s="1">
        <f t="shared" si="156"/>
        <v>1.0275571975429532</v>
      </c>
      <c r="R279" s="1">
        <f t="shared" si="157"/>
        <v>193.55359026962813</v>
      </c>
      <c r="S279" s="1">
        <f t="shared" si="158"/>
        <v>167.92881536616159</v>
      </c>
      <c r="T279" s="1">
        <f t="shared" si="159"/>
        <v>163.43352767211073</v>
      </c>
      <c r="U279" s="1" t="str">
        <f t="shared" si="160"/>
        <v>sell to the Grid</v>
      </c>
      <c r="W279" s="1">
        <f t="shared" si="161"/>
        <v>0.1935609493011661</v>
      </c>
      <c r="Y279" s="1">
        <f t="shared" si="146"/>
        <v>7.2719581395348856E-2</v>
      </c>
      <c r="AA279" s="1">
        <f t="shared" si="151"/>
        <v>77.124691300278542</v>
      </c>
      <c r="AC279" s="1">
        <f t="shared" si="147"/>
        <v>0.38604651162790704</v>
      </c>
      <c r="AD279" s="1">
        <f t="shared" si="152"/>
        <v>0.63604651162790704</v>
      </c>
    </row>
    <row r="280" spans="1:30" ht="15">
      <c r="A280" s="1">
        <v>279</v>
      </c>
      <c r="B280" s="1">
        <f t="shared" si="154"/>
        <v>0</v>
      </c>
      <c r="C280" s="1">
        <f t="shared" si="148"/>
        <v>0</v>
      </c>
      <c r="D280" s="1">
        <f t="shared" si="153"/>
        <v>1.2592149877471481E-2</v>
      </c>
      <c r="E280">
        <v>206.46</v>
      </c>
      <c r="K280" s="1">
        <f>'Solar Availability and Gener GR'!F280</f>
        <v>1.1909730259058111</v>
      </c>
      <c r="L280" s="1">
        <v>0.38604651162790704</v>
      </c>
      <c r="M280" s="1">
        <f t="shared" si="149"/>
        <v>0.80492651427790407</v>
      </c>
      <c r="N280" s="1" t="str">
        <f t="shared" si="150"/>
        <v>sell the surplus or charge</v>
      </c>
      <c r="O280" s="1">
        <v>0.25</v>
      </c>
      <c r="P280" s="1">
        <f t="shared" si="155"/>
        <v>0.64759036144578308</v>
      </c>
      <c r="Q280" s="1">
        <f t="shared" si="156"/>
        <v>0.94097302590581111</v>
      </c>
      <c r="R280" s="1">
        <f t="shared" si="157"/>
        <v>194.26657666319136</v>
      </c>
      <c r="S280" s="1">
        <f t="shared" si="158"/>
        <v>166.18051827962685</v>
      </c>
      <c r="T280" s="1">
        <f t="shared" si="159"/>
        <v>176.6133173043728</v>
      </c>
      <c r="U280" s="1" t="str">
        <f t="shared" si="160"/>
        <v>sell to the Grid</v>
      </c>
      <c r="W280" s="1">
        <f t="shared" si="161"/>
        <v>0.19427329092851378</v>
      </c>
      <c r="Y280" s="1">
        <f t="shared" si="146"/>
        <v>7.9703162790697696E-2</v>
      </c>
      <c r="AA280" s="1">
        <f t="shared" si="151"/>
        <v>77.929617814556451</v>
      </c>
      <c r="AC280" s="1">
        <f t="shared" si="147"/>
        <v>0.38604651162790704</v>
      </c>
      <c r="AD280" s="1">
        <f t="shared" si="152"/>
        <v>0.63604651162790704</v>
      </c>
    </row>
    <row r="281" spans="1:30" ht="15">
      <c r="A281" s="1">
        <v>280</v>
      </c>
      <c r="B281" s="1">
        <f t="shared" si="154"/>
        <v>0</v>
      </c>
      <c r="C281" s="1">
        <f t="shared" si="148"/>
        <v>0</v>
      </c>
      <c r="D281" s="1">
        <f t="shared" si="153"/>
        <v>1.2592149877471481E-2</v>
      </c>
      <c r="E281">
        <v>272.01</v>
      </c>
      <c r="K281" s="1">
        <f>'Solar Availability and Gener GR'!F281</f>
        <v>0.92246060713967637</v>
      </c>
      <c r="L281" s="1">
        <v>0.64341085271317833</v>
      </c>
      <c r="M281" s="1">
        <f t="shared" si="149"/>
        <v>0.27904975442649804</v>
      </c>
      <c r="N281" s="1" t="str">
        <f t="shared" si="150"/>
        <v>sell the surplus or charge</v>
      </c>
      <c r="O281" s="1">
        <v>0.25</v>
      </c>
      <c r="P281" s="1">
        <f t="shared" si="155"/>
        <v>0.38855421686746988</v>
      </c>
      <c r="Q281" s="1">
        <f t="shared" si="156"/>
        <v>0.67246060713967637</v>
      </c>
      <c r="R281" s="1">
        <f t="shared" si="157"/>
        <v>182.91091345234571</v>
      </c>
      <c r="S281" s="1">
        <f t="shared" si="158"/>
        <v>75.90270260090999</v>
      </c>
      <c r="T281" s="1">
        <f t="shared" si="159"/>
        <v>112.89134514988436</v>
      </c>
      <c r="U281" s="1" t="str">
        <f t="shared" si="160"/>
        <v>sell to the Grid</v>
      </c>
      <c r="W281" s="1">
        <f t="shared" si="161"/>
        <v>0.18291600974806338</v>
      </c>
      <c r="Y281" s="1">
        <f t="shared" si="146"/>
        <v>0.17501418604651164</v>
      </c>
      <c r="AA281" s="1">
        <f t="shared" si="151"/>
        <v>78.208667568982946</v>
      </c>
      <c r="AC281" s="1">
        <f t="shared" si="147"/>
        <v>0.64341085271317833</v>
      </c>
      <c r="AD281" s="1">
        <f t="shared" si="152"/>
        <v>0.89341085271317833</v>
      </c>
    </row>
    <row r="282" spans="1:30" ht="15">
      <c r="A282" s="1">
        <v>281</v>
      </c>
      <c r="B282" s="1">
        <f t="shared" si="154"/>
        <v>0</v>
      </c>
      <c r="C282" s="1">
        <f t="shared" si="148"/>
        <v>0</v>
      </c>
      <c r="D282" s="1">
        <f t="shared" si="153"/>
        <v>1.2592149877471481E-2</v>
      </c>
      <c r="E282">
        <v>297</v>
      </c>
      <c r="K282" s="1">
        <f>'Solar Availability and Gener GR'!F282</f>
        <v>0.54864239294934358</v>
      </c>
      <c r="L282" s="1">
        <v>0.64341085271317833</v>
      </c>
      <c r="M282" s="1">
        <f t="shared" si="149"/>
        <v>-9.4768459763834745E-2</v>
      </c>
      <c r="N282" s="1" t="str">
        <f t="shared" si="150"/>
        <v>Buy from Grid</v>
      </c>
      <c r="V282" s="1" t="str">
        <f t="shared" ref="V282:V289" si="162">IF(D282+M282&gt;0,"discharge","buy from the Grid")</f>
        <v>buy from the Grid</v>
      </c>
      <c r="X282" s="1">
        <f t="shared" ref="X282:X289" si="163">(M282*E282)/1000</f>
        <v>-2.8146232549858919E-2</v>
      </c>
      <c r="Y282" s="1">
        <f t="shared" si="146"/>
        <v>0.19109302325581395</v>
      </c>
      <c r="AA282" s="1">
        <f t="shared" si="151"/>
        <v>78.113899109219105</v>
      </c>
      <c r="AC282" s="1">
        <f t="shared" si="147"/>
        <v>0.64341085271317833</v>
      </c>
      <c r="AD282" s="1">
        <f t="shared" si="152"/>
        <v>0.64341085271317833</v>
      </c>
    </row>
    <row r="283" spans="1:30" ht="15">
      <c r="A283" s="1">
        <v>282</v>
      </c>
      <c r="B283" s="1">
        <f t="shared" si="154"/>
        <v>0</v>
      </c>
      <c r="C283" s="1">
        <f t="shared" si="148"/>
        <v>0</v>
      </c>
      <c r="D283" s="1">
        <f t="shared" si="153"/>
        <v>1.2592149877471481E-2</v>
      </c>
      <c r="E283">
        <v>285.3</v>
      </c>
      <c r="K283" s="1">
        <f>'Solar Availability and Gener GR'!F283</f>
        <v>0.13652630641858823</v>
      </c>
      <c r="L283" s="1">
        <v>0.64341085271317833</v>
      </c>
      <c r="M283" s="1">
        <f t="shared" si="149"/>
        <v>-0.50688454629459012</v>
      </c>
      <c r="N283" s="1" t="str">
        <f t="shared" si="150"/>
        <v>Buy from Grid</v>
      </c>
      <c r="V283" s="1" t="str">
        <f t="shared" si="162"/>
        <v>buy from the Grid</v>
      </c>
      <c r="X283" s="1">
        <f t="shared" si="163"/>
        <v>-0.14461416105784655</v>
      </c>
      <c r="Y283" s="1">
        <f t="shared" si="146"/>
        <v>0.1835651162790698</v>
      </c>
      <c r="AA283" s="1">
        <f t="shared" si="151"/>
        <v>77.607014562924519</v>
      </c>
      <c r="AC283" s="1">
        <f t="shared" si="147"/>
        <v>0.64341085271317833</v>
      </c>
      <c r="AD283" s="1">
        <f t="shared" si="152"/>
        <v>0.64341085271317833</v>
      </c>
    </row>
    <row r="284" spans="1:30" ht="15">
      <c r="A284" s="1">
        <v>283</v>
      </c>
      <c r="B284" s="1">
        <f t="shared" si="154"/>
        <v>0</v>
      </c>
      <c r="C284" s="1">
        <f t="shared" si="148"/>
        <v>0</v>
      </c>
      <c r="D284" s="1">
        <f t="shared" si="153"/>
        <v>1.2592149877471481E-2</v>
      </c>
      <c r="E284">
        <v>257.5</v>
      </c>
      <c r="K284" s="1">
        <f>'Solar Availability and Gener GR'!F284</f>
        <v>0</v>
      </c>
      <c r="L284" s="1">
        <v>0.64341085271317833</v>
      </c>
      <c r="M284" s="1">
        <f t="shared" si="149"/>
        <v>-0.64341085271317833</v>
      </c>
      <c r="N284" s="1" t="str">
        <f t="shared" si="150"/>
        <v>Buy from Grid</v>
      </c>
      <c r="V284" s="1" t="str">
        <f t="shared" si="162"/>
        <v>buy from the Grid</v>
      </c>
      <c r="X284" s="1">
        <f t="shared" si="163"/>
        <v>-0.16567829457364341</v>
      </c>
      <c r="Y284" s="1">
        <f t="shared" si="146"/>
        <v>0.16567829457364341</v>
      </c>
      <c r="AA284" s="1">
        <f t="shared" si="151"/>
        <v>76.963603710211345</v>
      </c>
      <c r="AC284" s="1">
        <f t="shared" si="147"/>
        <v>0.64341085271317833</v>
      </c>
      <c r="AD284" s="1">
        <f t="shared" si="152"/>
        <v>0.64341085271317833</v>
      </c>
    </row>
    <row r="285" spans="1:30" ht="15">
      <c r="A285" s="1">
        <v>284</v>
      </c>
      <c r="B285" s="1">
        <f t="shared" si="154"/>
        <v>0</v>
      </c>
      <c r="C285" s="1">
        <f t="shared" si="148"/>
        <v>0</v>
      </c>
      <c r="D285" s="1">
        <f t="shared" si="153"/>
        <v>1.2592149877471481E-2</v>
      </c>
      <c r="E285">
        <v>277.69</v>
      </c>
      <c r="K285" s="1">
        <f>'Solar Availability and Gener GR'!F285</f>
        <v>0</v>
      </c>
      <c r="L285" s="1">
        <v>0.64341085271317833</v>
      </c>
      <c r="M285" s="1">
        <f t="shared" si="149"/>
        <v>-0.64341085271317833</v>
      </c>
      <c r="N285" s="1" t="str">
        <f t="shared" si="150"/>
        <v>Buy from Grid</v>
      </c>
      <c r="V285" s="1" t="str">
        <f t="shared" si="162"/>
        <v>buy from the Grid</v>
      </c>
      <c r="X285" s="1">
        <f t="shared" si="163"/>
        <v>-0.17866875968992249</v>
      </c>
      <c r="Y285" s="1">
        <f t="shared" si="146"/>
        <v>0.17866875968992249</v>
      </c>
      <c r="AA285" s="1">
        <f t="shared" si="151"/>
        <v>76.320192857498171</v>
      </c>
      <c r="AC285" s="1">
        <f t="shared" si="147"/>
        <v>0.64341085271317833</v>
      </c>
      <c r="AD285" s="1">
        <f t="shared" si="152"/>
        <v>0.64341085271317833</v>
      </c>
    </row>
    <row r="286" spans="1:30" ht="15">
      <c r="A286" s="1">
        <v>285</v>
      </c>
      <c r="B286" s="1">
        <f t="shared" si="154"/>
        <v>0</v>
      </c>
      <c r="C286" s="1">
        <f t="shared" si="148"/>
        <v>0</v>
      </c>
      <c r="D286" s="1">
        <f t="shared" si="153"/>
        <v>1.2592149877471481E-2</v>
      </c>
      <c r="E286">
        <v>269.25</v>
      </c>
      <c r="K286" s="1">
        <f>'Solar Availability and Gener GR'!F286</f>
        <v>0</v>
      </c>
      <c r="L286" s="1">
        <v>0.64341085271317833</v>
      </c>
      <c r="M286" s="1">
        <f t="shared" si="149"/>
        <v>-0.64341085271317833</v>
      </c>
      <c r="N286" s="1" t="str">
        <f t="shared" si="150"/>
        <v>Buy from Grid</v>
      </c>
      <c r="V286" s="1" t="str">
        <f t="shared" si="162"/>
        <v>buy from the Grid</v>
      </c>
      <c r="X286" s="1">
        <f t="shared" si="163"/>
        <v>-0.17323837209302326</v>
      </c>
      <c r="Y286" s="1">
        <f t="shared" si="146"/>
        <v>0.17323837209302326</v>
      </c>
      <c r="AA286" s="1">
        <f t="shared" si="151"/>
        <v>75.676782004784997</v>
      </c>
      <c r="AC286" s="1">
        <f t="shared" si="147"/>
        <v>0.64341085271317833</v>
      </c>
      <c r="AD286" s="1">
        <f t="shared" si="152"/>
        <v>0.64341085271317833</v>
      </c>
    </row>
    <row r="287" spans="1:30" ht="15">
      <c r="A287" s="1">
        <v>286</v>
      </c>
      <c r="B287" s="1">
        <f t="shared" si="154"/>
        <v>0</v>
      </c>
      <c r="C287" s="1">
        <f t="shared" si="148"/>
        <v>0</v>
      </c>
      <c r="D287" s="1">
        <f t="shared" si="153"/>
        <v>1.2592149877471481E-2</v>
      </c>
      <c r="E287">
        <v>181.38</v>
      </c>
      <c r="K287" s="1">
        <f>'Solar Availability and Gener GR'!F287</f>
        <v>0</v>
      </c>
      <c r="L287" s="1">
        <v>0.64341085271317833</v>
      </c>
      <c r="M287" s="1">
        <f t="shared" si="149"/>
        <v>-0.64341085271317833</v>
      </c>
      <c r="N287" s="1" t="str">
        <f t="shared" si="150"/>
        <v>Buy from Grid</v>
      </c>
      <c r="V287" s="1" t="str">
        <f t="shared" si="162"/>
        <v>buy from the Grid</v>
      </c>
      <c r="X287" s="1">
        <f t="shared" si="163"/>
        <v>-0.11670186046511628</v>
      </c>
      <c r="Y287" s="1">
        <f t="shared" si="146"/>
        <v>0.11670186046511628</v>
      </c>
      <c r="AA287" s="1">
        <f t="shared" si="151"/>
        <v>75.033371152071823</v>
      </c>
      <c r="AC287" s="1">
        <f t="shared" si="147"/>
        <v>0.64341085271317833</v>
      </c>
      <c r="AD287" s="1">
        <f t="shared" si="152"/>
        <v>0.64341085271317833</v>
      </c>
    </row>
    <row r="288" spans="1:30" ht="15">
      <c r="A288" s="1">
        <v>287</v>
      </c>
      <c r="B288" s="1">
        <f t="shared" si="154"/>
        <v>0</v>
      </c>
      <c r="C288" s="1">
        <f t="shared" si="148"/>
        <v>0</v>
      </c>
      <c r="D288" s="1">
        <f t="shared" si="153"/>
        <v>1.2592149877471481E-2</v>
      </c>
      <c r="E288">
        <v>213</v>
      </c>
      <c r="K288" s="1">
        <f>'Solar Availability and Gener GR'!F288</f>
        <v>0</v>
      </c>
      <c r="L288" s="1">
        <v>0.25736434108527134</v>
      </c>
      <c r="M288" s="1">
        <f t="shared" si="149"/>
        <v>-0.25736434108527134</v>
      </c>
      <c r="N288" s="1" t="str">
        <f t="shared" si="150"/>
        <v>Buy from Grid</v>
      </c>
      <c r="V288" s="1" t="str">
        <f t="shared" si="162"/>
        <v>buy from the Grid</v>
      </c>
      <c r="X288" s="1">
        <f t="shared" si="163"/>
        <v>-5.481860465116279E-2</v>
      </c>
      <c r="Y288" s="1">
        <f t="shared" si="146"/>
        <v>5.481860465116279E-2</v>
      </c>
      <c r="AA288" s="1">
        <f t="shared" si="151"/>
        <v>74.776006810986544</v>
      </c>
      <c r="AC288" s="1">
        <f t="shared" si="147"/>
        <v>0.25736434108527134</v>
      </c>
      <c r="AD288" s="1">
        <f t="shared" si="152"/>
        <v>0.25736434108527134</v>
      </c>
    </row>
    <row r="289" spans="1:31" ht="15">
      <c r="A289" s="1">
        <v>288</v>
      </c>
      <c r="B289" s="1">
        <f t="shared" si="154"/>
        <v>0</v>
      </c>
      <c r="C289" s="1">
        <f t="shared" si="148"/>
        <v>0</v>
      </c>
      <c r="D289" s="1">
        <f t="shared" si="153"/>
        <v>1.2592149877471481E-2</v>
      </c>
      <c r="E289">
        <v>172.5</v>
      </c>
      <c r="K289" s="1">
        <f>'Solar Availability and Gener GR'!F289</f>
        <v>0</v>
      </c>
      <c r="L289" s="1">
        <v>0.25736434108527134</v>
      </c>
      <c r="M289" s="1">
        <f t="shared" si="149"/>
        <v>-0.25736434108527134</v>
      </c>
      <c r="N289" s="1" t="str">
        <f t="shared" si="150"/>
        <v>Buy from Grid</v>
      </c>
      <c r="V289" s="1" t="str">
        <f t="shared" si="162"/>
        <v>buy from the Grid</v>
      </c>
      <c r="X289" s="1">
        <f t="shared" si="163"/>
        <v>-4.4395348837209303E-2</v>
      </c>
      <c r="Y289" s="1">
        <f t="shared" si="146"/>
        <v>4.4395348837209303E-2</v>
      </c>
      <c r="AA289" s="1">
        <f t="shared" si="151"/>
        <v>74.518642469901266</v>
      </c>
      <c r="AC289" s="1">
        <f t="shared" si="147"/>
        <v>0.25736434108527134</v>
      </c>
      <c r="AD289" s="1">
        <f t="shared" si="152"/>
        <v>0.25736434108527134</v>
      </c>
    </row>
    <row r="290" spans="1:31">
      <c r="W290" s="1">
        <f>SUM(W2:W289)</f>
        <v>33.525738331783124</v>
      </c>
      <c r="X290" s="1">
        <f>SUM(X2:X289)</f>
        <v>-14.993796529567799</v>
      </c>
      <c r="Y290" s="1">
        <f>SUM(Y2:Y289)</f>
        <v>29.742582720294571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555.95825406645974</v>
      </c>
      <c r="Y291" s="1">
        <f>Y290*30</f>
        <v>892.27748160883709</v>
      </c>
      <c r="AD291" s="1">
        <f>SUM(AD2:AD290)*30</f>
        <v>3198.0837209302372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892.27748160883709</v>
      </c>
    </row>
    <row r="295" spans="1:31" ht="30">
      <c r="V295" s="1" t="s">
        <v>354</v>
      </c>
      <c r="W295" s="1">
        <f>W291+W293</f>
        <v>1448.2357356752968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1245482732.6807554</v>
      </c>
      <c r="Y297" s="3">
        <f>($L$291-$AD$291)*W297/1000000</f>
        <v>569.6802040000033</v>
      </c>
      <c r="AA297" s="11">
        <f>$W$291*W297</f>
        <v>478124098.49715537</v>
      </c>
    </row>
    <row r="298" spans="1:31">
      <c r="V298" s="1">
        <v>2035</v>
      </c>
      <c r="W298" s="1">
        <v>1720000</v>
      </c>
      <c r="X298" s="11">
        <f t="shared" ref="X298:X301" si="164">$W$295*W298</f>
        <v>2490965465.3615108</v>
      </c>
      <c r="Y298" s="3">
        <f>($L$291-$AD$291)*W298/1000000</f>
        <v>1139.3604080000066</v>
      </c>
      <c r="AA298" s="11">
        <f t="shared" ref="AA298:AA301" si="165">$W$291*W298</f>
        <v>956248196.99431074</v>
      </c>
    </row>
    <row r="299" spans="1:31">
      <c r="V299" s="1">
        <v>2040</v>
      </c>
      <c r="W299" s="1">
        <v>2580000</v>
      </c>
      <c r="X299" s="11">
        <f t="shared" si="164"/>
        <v>3736448198.0422659</v>
      </c>
      <c r="Y299" s="3">
        <f>($L$291-$AD$291)*W299/1000000</f>
        <v>1709.04061200001</v>
      </c>
      <c r="AA299" s="11">
        <f t="shared" si="165"/>
        <v>1434372295.491466</v>
      </c>
    </row>
    <row r="300" spans="1:31">
      <c r="V300" s="1">
        <v>2045</v>
      </c>
      <c r="W300" s="1">
        <v>3440000</v>
      </c>
      <c r="X300" s="11">
        <f t="shared" si="164"/>
        <v>4981930930.7230215</v>
      </c>
      <c r="Y300" s="3">
        <f>($L$291-$AD$291)*W300/1000000</f>
        <v>2278.7208160000132</v>
      </c>
      <c r="AA300" s="11">
        <f t="shared" si="165"/>
        <v>1912496393.9886215</v>
      </c>
    </row>
    <row r="301" spans="1:31">
      <c r="V301" s="1">
        <v>2050</v>
      </c>
      <c r="W301" s="1">
        <v>4300000</v>
      </c>
      <c r="X301" s="11">
        <f t="shared" si="164"/>
        <v>6227413663.4037762</v>
      </c>
      <c r="Y301" s="3">
        <f>($L$291-$AD$291)*W301/1000000</f>
        <v>2848.4010200000166</v>
      </c>
      <c r="AA301" s="11">
        <f t="shared" si="165"/>
        <v>2390620492.4857769</v>
      </c>
    </row>
  </sheetData>
  <autoFilter ref="A1:V289" xr:uid="{341E820E-40E6-49AC-8FF5-E40C9CA07058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ED21-87EE-1F40-8EE3-5976FACF0913}">
  <dimension ref="A1:AE301"/>
  <sheetViews>
    <sheetView topLeftCell="N282" workbookViewId="0">
      <selection activeCell="Z79" sqref="Z79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59.27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1.7616063995348843E-2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4" si="2">IF(U3="charge",Q3,0)</f>
        <v>0</v>
      </c>
      <c r="C3" s="1">
        <f t="shared" ref="C3:C66" si="3">IF(V2="discharge",M3,0)</f>
        <v>-0.29596899224806206</v>
      </c>
      <c r="D3" s="1">
        <f>(D2)+(B3*0.8)+(C3/0.8)</f>
        <v>0.83003875968992258</v>
      </c>
      <c r="E3">
        <v>59.27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1.754208217054264E-2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0.46007751937984503</v>
      </c>
      <c r="E4">
        <v>59.27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1.754208217054264E-2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9.0116279069767491E-2</v>
      </c>
      <c r="E5">
        <v>59.27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-1.754208217054264E-2</v>
      </c>
      <c r="Y5" s="1">
        <f t="shared" si="1"/>
        <v>1.754208217054264E-2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9.0116279069767491E-2</v>
      </c>
      <c r="E6">
        <v>59.27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-1.754208217054264E-2</v>
      </c>
      <c r="Y6" s="1">
        <f t="shared" si="1"/>
        <v>1.754208217054264E-2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9.0116279069767491E-2</v>
      </c>
      <c r="E7">
        <v>59.27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-2.364367596899225E-2</v>
      </c>
      <c r="Y7" s="1">
        <f t="shared" si="1"/>
        <v>2.364367596899225E-2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9.0116279069767491E-2</v>
      </c>
      <c r="E8">
        <v>59.27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-3.7526639689922481E-2</v>
      </c>
      <c r="Y8" s="1">
        <f t="shared" si="1"/>
        <v>3.9660359689922479E-2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9.0116279069767491E-2</v>
      </c>
      <c r="E9">
        <v>59.27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-3.5392919689922489E-2</v>
      </c>
      <c r="Y9" s="1">
        <f t="shared" si="1"/>
        <v>3.9660359689922479E-2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9.0116279069767491E-2</v>
      </c>
      <c r="E10">
        <v>59.27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-3.249650046511629E-2</v>
      </c>
      <c r="Y10" s="1">
        <f t="shared" si="1"/>
        <v>3.8897660465116286E-2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9.0116279069767491E-2</v>
      </c>
      <c r="E11">
        <v>59.27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-1.3083189767621281E-2</v>
      </c>
      <c r="Y11" s="1">
        <f t="shared" si="1"/>
        <v>2.364367596899225E-2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8"/>
        <v>9.0116279069767491E-2</v>
      </c>
      <c r="E12">
        <v>59.27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0.62670034978624167</v>
      </c>
      <c r="Q12" s="1">
        <f t="shared" ref="Q12:Q18" si="12">K12-P12*L12</f>
        <v>0.35861301522300082</v>
      </c>
      <c r="R12" s="1">
        <f t="shared" ref="R12:R18" si="13">((1/(E12+0.01))*LN(0.25))+(E12*(K12-0.25))</f>
        <v>21.231607879859705</v>
      </c>
      <c r="S12" s="1">
        <f t="shared" ref="S12:S18" si="14">((1/(E12+0.01))*LN(L12))+(E12*(K12-L12))</f>
        <v>12.413314616056587</v>
      </c>
      <c r="T12" s="1">
        <f t="shared" ref="T12:T18" si="15">(S12+((S12^2)-4*(K12-L12*P12)*LN(L12*P12))^(0.5))/(2*(K12-L12*P12))</f>
        <v>34.726111138912799</v>
      </c>
      <c r="U12" s="1" t="str">
        <f t="shared" ref="U12:U18" si="16">IF(E12&gt;=T12*1.2,"sell to the Grid","charge")</f>
        <v>sell to the Grid</v>
      </c>
      <c r="W12" s="1">
        <f>(Q12*E12)/1000</f>
        <v>2.1254993412267262E-2</v>
      </c>
      <c r="Y12" s="1">
        <f t="shared" si="1"/>
        <v>2.364367596899225E-2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9.0116279069767491E-2</v>
      </c>
      <c r="E13">
        <v>59.27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1"/>
        <v>0.62670034978624167</v>
      </c>
      <c r="Q13" s="1">
        <f t="shared" si="12"/>
        <v>0.8263999999999998</v>
      </c>
      <c r="R13" s="1">
        <f t="shared" si="13"/>
        <v>48.95734246759244</v>
      </c>
      <c r="S13" s="1">
        <f t="shared" si="14"/>
        <v>40.13904920378932</v>
      </c>
      <c r="T13" s="1">
        <f t="shared" si="15"/>
        <v>48.605482286774539</v>
      </c>
      <c r="U13" s="1" t="str">
        <f t="shared" si="16"/>
        <v>sell to the Grid</v>
      </c>
      <c r="W13" s="1">
        <f>(Q13*E13)/1000</f>
        <v>4.8980727999999994E-2</v>
      </c>
      <c r="Y13" s="1">
        <f t="shared" si="1"/>
        <v>2.364367596899225E-2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2"/>
        <v>1.1215999999999999</v>
      </c>
      <c r="C14" s="1">
        <f t="shared" si="3"/>
        <v>0</v>
      </c>
      <c r="D14" s="1">
        <f t="shared" si="8"/>
        <v>0.98739627906976746</v>
      </c>
      <c r="E14">
        <v>59.27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1"/>
        <v>0.62670034978624167</v>
      </c>
      <c r="Q14" s="1">
        <f t="shared" si="12"/>
        <v>1.1215999999999999</v>
      </c>
      <c r="R14" s="1">
        <f t="shared" si="13"/>
        <v>66.453846467592442</v>
      </c>
      <c r="S14" s="1">
        <f t="shared" si="14"/>
        <v>57.635553203789328</v>
      </c>
      <c r="T14" s="1">
        <f t="shared" si="15"/>
        <v>51.410947011670906</v>
      </c>
      <c r="U14" s="1" t="str">
        <f t="shared" si="16"/>
        <v>charge</v>
      </c>
      <c r="Y14" s="1">
        <f t="shared" si="1"/>
        <v>2.364367596899225E-2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1.1792</v>
      </c>
      <c r="C15" s="1">
        <f t="shared" si="3"/>
        <v>0</v>
      </c>
      <c r="D15" s="1">
        <f t="shared" si="8"/>
        <v>1.9307562790697674</v>
      </c>
      <c r="E15">
        <v>59.27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1"/>
        <v>0.62670034978624167</v>
      </c>
      <c r="Q15" s="1">
        <f t="shared" si="12"/>
        <v>1.1792</v>
      </c>
      <c r="R15" s="1">
        <f t="shared" si="13"/>
        <v>69.867798467592451</v>
      </c>
      <c r="S15" s="1">
        <f t="shared" si="14"/>
        <v>61.049505203789337</v>
      </c>
      <c r="T15" s="1">
        <f t="shared" si="15"/>
        <v>51.794666213682603</v>
      </c>
      <c r="U15" s="1" t="str">
        <f t="shared" si="16"/>
        <v>charge</v>
      </c>
      <c r="Y15" s="1">
        <f t="shared" si="1"/>
        <v>2.364367596899225E-2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7">IF(U16="charge",Q16,0)</f>
        <v>1.1035999999999999</v>
      </c>
      <c r="C16" s="1">
        <f t="shared" si="3"/>
        <v>0</v>
      </c>
      <c r="D16" s="1">
        <f t="shared" si="8"/>
        <v>2.8136362790697675</v>
      </c>
      <c r="E16">
        <v>59.27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1"/>
        <v>0.62670034978624167</v>
      </c>
      <c r="Q16" s="1">
        <f t="shared" si="12"/>
        <v>1.1035999999999999</v>
      </c>
      <c r="R16" s="1">
        <f t="shared" si="13"/>
        <v>65.386986467592436</v>
      </c>
      <c r="S16" s="1">
        <f t="shared" si="14"/>
        <v>56.56869320378933</v>
      </c>
      <c r="T16" s="1">
        <f t="shared" si="15"/>
        <v>51.282824878619827</v>
      </c>
      <c r="U16" s="1" t="str">
        <f t="shared" si="16"/>
        <v>charge</v>
      </c>
      <c r="Y16" s="1">
        <f t="shared" si="1"/>
        <v>2.364367596899225E-2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7"/>
        <v>0</v>
      </c>
      <c r="C17" s="1">
        <f t="shared" si="3"/>
        <v>0</v>
      </c>
      <c r="D17" s="1">
        <f t="shared" si="8"/>
        <v>2.8136362790697675</v>
      </c>
      <c r="E17">
        <v>59.27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1"/>
        <v>0.62670034978624167</v>
      </c>
      <c r="Q17" s="1">
        <f t="shared" si="12"/>
        <v>0.85519999999999996</v>
      </c>
      <c r="R17" s="1">
        <f t="shared" si="13"/>
        <v>50.664318467592452</v>
      </c>
      <c r="S17" s="1">
        <f t="shared" si="14"/>
        <v>41.846025203789331</v>
      </c>
      <c r="T17" s="1">
        <f t="shared" si="15"/>
        <v>48.964379685380742</v>
      </c>
      <c r="U17" s="1" t="str">
        <f t="shared" si="16"/>
        <v>sell to the Grid</v>
      </c>
      <c r="W17" s="1">
        <f>(Q17*E17)/1000</f>
        <v>5.0687704000000007E-2</v>
      </c>
      <c r="Y17" s="1">
        <f t="shared" si="1"/>
        <v>2.364367596899225E-2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7"/>
        <v>0</v>
      </c>
      <c r="C18" s="1">
        <f t="shared" si="3"/>
        <v>0</v>
      </c>
      <c r="D18" s="1">
        <f t="shared" si="8"/>
        <v>2.8136362790697675</v>
      </c>
      <c r="E18">
        <v>59.27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1"/>
        <v>0.62670034978624167</v>
      </c>
      <c r="Q18" s="1">
        <f t="shared" si="12"/>
        <v>0.50959999999999994</v>
      </c>
      <c r="R18" s="1">
        <f t="shared" si="13"/>
        <v>30.180606467592444</v>
      </c>
      <c r="S18" s="1">
        <f t="shared" si="14"/>
        <v>21.362313203789324</v>
      </c>
      <c r="T18" s="1">
        <f t="shared" si="15"/>
        <v>41.984561126312826</v>
      </c>
      <c r="U18" s="1" t="str">
        <f t="shared" si="16"/>
        <v>sell to the Grid</v>
      </c>
      <c r="W18" s="1">
        <f>(Q18*E18)/1000</f>
        <v>3.0203991999999999E-2</v>
      </c>
      <c r="Y18" s="1">
        <f t="shared" si="1"/>
        <v>2.364367596899225E-2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7"/>
        <v>0</v>
      </c>
      <c r="C19" s="1">
        <f t="shared" si="3"/>
        <v>0</v>
      </c>
      <c r="D19" s="1">
        <f t="shared" si="8"/>
        <v>2.8136362790697675</v>
      </c>
      <c r="E19">
        <v>59.27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18">IF(D19+M19&gt;0,"discharge","buy from the Grid")</f>
        <v>discharge</v>
      </c>
      <c r="Y19" s="1">
        <f t="shared" si="1"/>
        <v>3.9660359689922479E-2</v>
      </c>
      <c r="AA19" s="1">
        <f t="shared" si="6"/>
        <v>0.67294225882073277</v>
      </c>
      <c r="AD19" s="1">
        <f t="shared" si="7"/>
        <v>0</v>
      </c>
    </row>
    <row r="20" spans="1:30" ht="15">
      <c r="A20" s="1">
        <v>19</v>
      </c>
      <c r="B20" s="1">
        <f t="shared" si="17"/>
        <v>0</v>
      </c>
      <c r="C20" s="1">
        <f t="shared" si="3"/>
        <v>-0.62747906976744194</v>
      </c>
      <c r="D20" s="1">
        <f t="shared" si="8"/>
        <v>2.0292874418604652</v>
      </c>
      <c r="E20">
        <v>59.27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18"/>
        <v>discharge</v>
      </c>
      <c r="Y20" s="1">
        <f t="shared" si="1"/>
        <v>3.8897660465116286E-2</v>
      </c>
      <c r="AA20" s="1">
        <f t="shared" si="6"/>
        <v>4.5463189053290831E-2</v>
      </c>
      <c r="AD20" s="1">
        <f t="shared" si="7"/>
        <v>0</v>
      </c>
    </row>
    <row r="21" spans="1:30" ht="15">
      <c r="A21" s="1">
        <v>20</v>
      </c>
      <c r="B21" s="1">
        <f t="shared" si="17"/>
        <v>0</v>
      </c>
      <c r="C21" s="1">
        <f t="shared" si="3"/>
        <v>-0.66914728682170543</v>
      </c>
      <c r="D21" s="1">
        <f t="shared" si="8"/>
        <v>1.1928533333333333</v>
      </c>
      <c r="E21">
        <v>59.27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18"/>
        <v>discharge</v>
      </c>
      <c r="Y21" s="1">
        <f t="shared" si="1"/>
        <v>3.9660359689922479E-2</v>
      </c>
      <c r="AA21" s="1">
        <f t="shared" si="6"/>
        <v>-0.6236840977684146</v>
      </c>
      <c r="AD21" s="1">
        <f t="shared" si="7"/>
        <v>0</v>
      </c>
    </row>
    <row r="22" spans="1:30" ht="15">
      <c r="A22" s="1">
        <v>21</v>
      </c>
      <c r="B22" s="1">
        <f t="shared" si="17"/>
        <v>0</v>
      </c>
      <c r="C22" s="1">
        <f t="shared" si="3"/>
        <v>-0.66914728682170543</v>
      </c>
      <c r="D22" s="1">
        <f t="shared" si="8"/>
        <v>0.35641922480620158</v>
      </c>
      <c r="E22">
        <v>59.27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18"/>
        <v>buy from the Grid</v>
      </c>
      <c r="X22" s="1">
        <f>(M22*E22)/1000</f>
        <v>-3.9660359689922479E-2</v>
      </c>
      <c r="Y22" s="1">
        <f t="shared" si="1"/>
        <v>3.9660359689922479E-2</v>
      </c>
      <c r="AA22" s="1">
        <f t="shared" si="6"/>
        <v>-1.29283138459012</v>
      </c>
      <c r="AC22" s="1">
        <f>L22</f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7"/>
        <v>0</v>
      </c>
      <c r="C23" s="1">
        <f t="shared" si="3"/>
        <v>0</v>
      </c>
      <c r="D23" s="1">
        <f t="shared" si="8"/>
        <v>0.35641922480620158</v>
      </c>
      <c r="E23">
        <v>59.27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18"/>
        <v>buy from the Grid</v>
      </c>
      <c r="X23" s="1">
        <f>(M23*E23)/1000</f>
        <v>-2.364367596899225E-2</v>
      </c>
      <c r="Y23" s="1">
        <f t="shared" si="1"/>
        <v>2.364367596899225E-2</v>
      </c>
      <c r="AA23" s="1">
        <f t="shared" si="6"/>
        <v>-1.6917461132722906</v>
      </c>
      <c r="AC23" s="1">
        <f>L23</f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7"/>
        <v>0</v>
      </c>
      <c r="C24" s="1">
        <f t="shared" si="3"/>
        <v>0</v>
      </c>
      <c r="D24" s="1">
        <f t="shared" si="8"/>
        <v>0.35641922480620158</v>
      </c>
      <c r="E24">
        <v>59.27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18"/>
        <v>buy from the Grid</v>
      </c>
      <c r="X24" s="1">
        <f>(M24*E24)/1000</f>
        <v>-2.364367596899225E-2</v>
      </c>
      <c r="Y24" s="1">
        <f t="shared" si="1"/>
        <v>2.364367596899225E-2</v>
      </c>
      <c r="AA24" s="1">
        <f t="shared" si="6"/>
        <v>-2.0906608419544614</v>
      </c>
      <c r="AC24" s="1">
        <f>L24</f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7"/>
        <v>0</v>
      </c>
      <c r="C25" s="1">
        <f t="shared" si="3"/>
        <v>0</v>
      </c>
      <c r="D25" s="1">
        <f t="shared" si="8"/>
        <v>0.35641922480620158</v>
      </c>
      <c r="E25">
        <v>59.27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18"/>
        <v>buy from the Grid</v>
      </c>
      <c r="X25" s="1">
        <f>(M25*E25)/1000</f>
        <v>-2.364367596899225E-2</v>
      </c>
      <c r="Y25" s="1">
        <f t="shared" si="1"/>
        <v>2.364367596899225E-2</v>
      </c>
      <c r="AA25" s="1">
        <f t="shared" si="6"/>
        <v>-2.489575570636632</v>
      </c>
      <c r="AC25" s="1">
        <f>L25</f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7"/>
        <v>0</v>
      </c>
      <c r="C26" s="1">
        <f t="shared" si="3"/>
        <v>0</v>
      </c>
      <c r="D26" s="1">
        <f t="shared" si="8"/>
        <v>0.35641922480620158</v>
      </c>
      <c r="E26">
        <v>59.27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18"/>
        <v>discharge</v>
      </c>
      <c r="Y26" s="1">
        <f t="shared" si="1"/>
        <v>1.754208217054264E-2</v>
      </c>
      <c r="AA26" s="1">
        <f t="shared" si="6"/>
        <v>-2.7855445628846942</v>
      </c>
      <c r="AD26" s="1">
        <f t="shared" si="7"/>
        <v>0</v>
      </c>
    </row>
    <row r="27" spans="1:30" ht="15">
      <c r="A27" s="1">
        <v>26</v>
      </c>
      <c r="B27" s="1">
        <f t="shared" si="17"/>
        <v>0</v>
      </c>
      <c r="C27" s="1">
        <f t="shared" si="3"/>
        <v>-0.29596899224806206</v>
      </c>
      <c r="D27" s="1">
        <f t="shared" si="8"/>
        <v>-1.3542015503875959E-2</v>
      </c>
      <c r="E27">
        <v>59.27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18"/>
        <v>buy from the Grid</v>
      </c>
      <c r="X27" s="1">
        <f t="shared" ref="X27:X35" si="19">(M27*E27)/1000</f>
        <v>-1.754208217054264E-2</v>
      </c>
      <c r="Y27" s="1">
        <f t="shared" si="1"/>
        <v>1.754208217054264E-2</v>
      </c>
      <c r="AA27" s="1">
        <f t="shared" si="6"/>
        <v>-3.0815135551327564</v>
      </c>
      <c r="AC27" s="1">
        <f t="shared" ref="AC27:AC35" si="20">L27</f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7"/>
        <v>0</v>
      </c>
      <c r="C28" s="1">
        <f t="shared" si="3"/>
        <v>0</v>
      </c>
      <c r="D28" s="1">
        <f t="shared" si="8"/>
        <v>-1.3542015503875959E-2</v>
      </c>
      <c r="E28">
        <v>59.27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18"/>
        <v>buy from the Grid</v>
      </c>
      <c r="X28" s="1">
        <f t="shared" si="19"/>
        <v>-1.754208217054264E-2</v>
      </c>
      <c r="Y28" s="1">
        <f t="shared" si="1"/>
        <v>1.754208217054264E-2</v>
      </c>
      <c r="AA28" s="1">
        <f t="shared" si="6"/>
        <v>-3.3774825473808185</v>
      </c>
      <c r="AC28" s="1">
        <f t="shared" si="20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7"/>
        <v>0</v>
      </c>
      <c r="C29" s="1">
        <f t="shared" si="3"/>
        <v>0</v>
      </c>
      <c r="D29" s="1">
        <f t="shared" si="8"/>
        <v>-1.3542015503875959E-2</v>
      </c>
      <c r="E29">
        <v>59.27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18"/>
        <v>buy from the Grid</v>
      </c>
      <c r="X29" s="1">
        <f t="shared" si="19"/>
        <v>-1.754208217054264E-2</v>
      </c>
      <c r="Y29" s="1">
        <f t="shared" si="1"/>
        <v>1.754208217054264E-2</v>
      </c>
      <c r="AA29" s="1">
        <f t="shared" si="6"/>
        <v>-3.6734515396288807</v>
      </c>
      <c r="AC29" s="1">
        <f t="shared" si="20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7"/>
        <v>0</v>
      </c>
      <c r="C30" s="1">
        <f t="shared" si="3"/>
        <v>0</v>
      </c>
      <c r="D30" s="1">
        <f t="shared" si="8"/>
        <v>-1.3542015503875959E-2</v>
      </c>
      <c r="E30">
        <v>59.27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18"/>
        <v>buy from the Grid</v>
      </c>
      <c r="X30" s="1">
        <f t="shared" si="19"/>
        <v>-1.754208217054264E-2</v>
      </c>
      <c r="Y30" s="1">
        <f t="shared" si="1"/>
        <v>1.754208217054264E-2</v>
      </c>
      <c r="AA30" s="1">
        <f t="shared" si="6"/>
        <v>-3.9694205318769429</v>
      </c>
      <c r="AC30" s="1">
        <f t="shared" si="20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7"/>
        <v>0</v>
      </c>
      <c r="C31" s="1">
        <f t="shared" si="3"/>
        <v>0</v>
      </c>
      <c r="D31" s="1">
        <f t="shared" si="8"/>
        <v>-1.3542015503875959E-2</v>
      </c>
      <c r="E31">
        <v>59.27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18"/>
        <v>buy from the Grid</v>
      </c>
      <c r="X31" s="1">
        <f t="shared" si="19"/>
        <v>-2.364367596899225E-2</v>
      </c>
      <c r="Y31" s="1">
        <f t="shared" si="1"/>
        <v>2.364367596899225E-2</v>
      </c>
      <c r="AA31" s="1">
        <f t="shared" si="6"/>
        <v>-4.3683352605591139</v>
      </c>
      <c r="AC31" s="1">
        <f t="shared" si="20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7"/>
        <v>0</v>
      </c>
      <c r="C32" s="1">
        <f t="shared" si="3"/>
        <v>0</v>
      </c>
      <c r="D32" s="1">
        <f t="shared" si="8"/>
        <v>-1.3542015503875959E-2</v>
      </c>
      <c r="E32">
        <v>59.27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18"/>
        <v>buy from the Grid</v>
      </c>
      <c r="X32" s="1">
        <f t="shared" si="19"/>
        <v>-3.7526639689922481E-2</v>
      </c>
      <c r="Y32" s="1">
        <f t="shared" si="1"/>
        <v>3.9660359689922479E-2</v>
      </c>
      <c r="AA32" s="1">
        <f t="shared" si="6"/>
        <v>-5.0014825473808191</v>
      </c>
      <c r="AC32" s="1">
        <f t="shared" si="20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7"/>
        <v>0</v>
      </c>
      <c r="C33" s="1">
        <f t="shared" si="3"/>
        <v>0</v>
      </c>
      <c r="D33" s="1">
        <f t="shared" si="8"/>
        <v>-1.3542015503875959E-2</v>
      </c>
      <c r="E33">
        <v>59.27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18"/>
        <v>buy from the Grid</v>
      </c>
      <c r="X33" s="1">
        <f t="shared" si="19"/>
        <v>-3.4630220465116289E-2</v>
      </c>
      <c r="Y33" s="1">
        <f t="shared" si="1"/>
        <v>3.8897660465116286E-2</v>
      </c>
      <c r="AA33" s="1">
        <f t="shared" si="6"/>
        <v>-5.5857616171482611</v>
      </c>
      <c r="AC33" s="1">
        <f t="shared" si="20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7"/>
        <v>0</v>
      </c>
      <c r="C34" s="1">
        <f t="shared" si="3"/>
        <v>0</v>
      </c>
      <c r="D34" s="1">
        <f t="shared" si="8"/>
        <v>-1.3542015503875959E-2</v>
      </c>
      <c r="E34">
        <v>59.27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18"/>
        <v>buy from the Grid</v>
      </c>
      <c r="X34" s="1">
        <f t="shared" si="19"/>
        <v>-3.249650046511629E-2</v>
      </c>
      <c r="Y34" s="1">
        <f t="shared" si="1"/>
        <v>3.8897660465116286E-2</v>
      </c>
      <c r="AA34" s="1">
        <f t="shared" si="6"/>
        <v>-6.1340406869157036</v>
      </c>
      <c r="AC34" s="1">
        <f t="shared" si="20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7"/>
        <v>0</v>
      </c>
      <c r="C35" s="1">
        <f t="shared" si="3"/>
        <v>0</v>
      </c>
      <c r="D35" s="1">
        <f t="shared" si="8"/>
        <v>-1.3542015503875959E-2</v>
      </c>
      <c r="E35">
        <v>59.27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18"/>
        <v>buy from the Grid</v>
      </c>
      <c r="X35" s="1">
        <f t="shared" si="19"/>
        <v>-1.3083189767621281E-2</v>
      </c>
      <c r="Y35" s="1">
        <f t="shared" si="1"/>
        <v>2.364367596899225E-2</v>
      </c>
      <c r="AA35" s="1">
        <f t="shared" si="6"/>
        <v>-6.3547795053334744</v>
      </c>
      <c r="AC35" s="1">
        <f t="shared" si="20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7"/>
        <v>0</v>
      </c>
      <c r="C36" s="1">
        <f t="shared" si="3"/>
        <v>0</v>
      </c>
      <c r="D36" s="1">
        <f t="shared" si="8"/>
        <v>-1.3542015503875959E-2</v>
      </c>
      <c r="E36">
        <v>59.27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1">0.25/L36</f>
        <v>0.62670034978624167</v>
      </c>
      <c r="Q36" s="1">
        <f t="shared" ref="Q36:Q42" si="22">K36-P36*L36</f>
        <v>0.35861301522300082</v>
      </c>
      <c r="R36" s="1">
        <f t="shared" ref="R36:R42" si="23">((1/(E36+0.01))*LN(0.25))+(E36*(K36-0.25))</f>
        <v>21.231607879859705</v>
      </c>
      <c r="S36" s="1">
        <f t="shared" ref="S36:S42" si="24">((1/(E36+0.01))*LN(L36))+(E36*(K36-L36))</f>
        <v>12.413314616056587</v>
      </c>
      <c r="T36" s="1">
        <f t="shared" ref="T36:T42" si="25">(S36+((S36^2)-4*(K36-L36*P36)*LN(L36*P36))^(0.5))/(2*(K36-L36*P36))</f>
        <v>34.726111138912799</v>
      </c>
      <c r="U36" s="1" t="str">
        <f t="shared" ref="U36:U42" si="26">IF(E36&gt;=T36*1.2,"sell to the Grid","charge")</f>
        <v>sell to the Grid</v>
      </c>
      <c r="W36" s="1">
        <f>(Q36*E36)/1000</f>
        <v>2.1254993412267262E-2</v>
      </c>
      <c r="Y36" s="1">
        <f t="shared" si="1"/>
        <v>2.364367596899225E-2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7"/>
        <v>0</v>
      </c>
      <c r="C37" s="1">
        <f t="shared" si="3"/>
        <v>0</v>
      </c>
      <c r="D37" s="1">
        <f t="shared" si="8"/>
        <v>-1.3542015503875959E-2</v>
      </c>
      <c r="E37">
        <v>59.27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1"/>
        <v>0.62670034978624167</v>
      </c>
      <c r="Q37" s="1">
        <f t="shared" si="22"/>
        <v>0.8263999999999998</v>
      </c>
      <c r="R37" s="1">
        <f t="shared" si="23"/>
        <v>48.95734246759244</v>
      </c>
      <c r="S37" s="1">
        <f t="shared" si="24"/>
        <v>40.13904920378932</v>
      </c>
      <c r="T37" s="1">
        <f t="shared" si="25"/>
        <v>48.605482286774539</v>
      </c>
      <c r="U37" s="1" t="str">
        <f t="shared" si="26"/>
        <v>sell to the Grid</v>
      </c>
      <c r="W37" s="1">
        <f>(Q37*E37)/1000</f>
        <v>4.8980727999999994E-2</v>
      </c>
      <c r="Y37" s="1">
        <f t="shared" si="1"/>
        <v>2.364367596899225E-2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7"/>
        <v>1.3916000000000002</v>
      </c>
      <c r="C38" s="1">
        <f t="shared" si="3"/>
        <v>0</v>
      </c>
      <c r="D38" s="1">
        <f t="shared" si="8"/>
        <v>1.0997379844961244</v>
      </c>
      <c r="E38">
        <v>59.27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1"/>
        <v>0.62670034978624167</v>
      </c>
      <c r="Q38" s="1">
        <f t="shared" si="22"/>
        <v>1.3916000000000002</v>
      </c>
      <c r="R38" s="1">
        <f t="shared" si="23"/>
        <v>82.456746467592453</v>
      </c>
      <c r="S38" s="1">
        <f t="shared" si="24"/>
        <v>73.638453203789339</v>
      </c>
      <c r="T38" s="1">
        <f t="shared" si="25"/>
        <v>52.935212499391028</v>
      </c>
      <c r="U38" s="1" t="str">
        <f t="shared" si="26"/>
        <v>charge</v>
      </c>
      <c r="Y38" s="1">
        <f t="shared" si="1"/>
        <v>2.364367596899225E-2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7"/>
        <v>1.5247999999999999</v>
      </c>
      <c r="C39" s="1">
        <f t="shared" si="3"/>
        <v>0</v>
      </c>
      <c r="D39" s="1">
        <f t="shared" si="8"/>
        <v>2.3195779844961244</v>
      </c>
      <c r="E39">
        <v>59.27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1"/>
        <v>0.62670034978624167</v>
      </c>
      <c r="Q39" s="1">
        <f t="shared" si="22"/>
        <v>1.5247999999999999</v>
      </c>
      <c r="R39" s="1">
        <f t="shared" si="23"/>
        <v>90.351510467592448</v>
      </c>
      <c r="S39" s="1">
        <f t="shared" si="24"/>
        <v>81.53321720378932</v>
      </c>
      <c r="T39" s="1">
        <f t="shared" si="25"/>
        <v>53.488414782456992</v>
      </c>
      <c r="U39" s="1" t="str">
        <f t="shared" si="26"/>
        <v>charge</v>
      </c>
      <c r="Y39" s="1">
        <f t="shared" si="1"/>
        <v>2.364367596899225E-2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7"/>
        <v>1.4096</v>
      </c>
      <c r="C40" s="1">
        <f t="shared" si="3"/>
        <v>0</v>
      </c>
      <c r="D40" s="1">
        <f t="shared" si="8"/>
        <v>3.4472579844961242</v>
      </c>
      <c r="E40">
        <v>59.27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1"/>
        <v>0.62670034978624167</v>
      </c>
      <c r="Q40" s="1">
        <f t="shared" si="22"/>
        <v>1.4096</v>
      </c>
      <c r="R40" s="1">
        <f t="shared" si="23"/>
        <v>83.523606467592444</v>
      </c>
      <c r="S40" s="1">
        <f t="shared" si="24"/>
        <v>74.705313203789331</v>
      </c>
      <c r="T40" s="1">
        <f t="shared" si="25"/>
        <v>53.016076737657748</v>
      </c>
      <c r="U40" s="1" t="str">
        <f t="shared" si="26"/>
        <v>charge</v>
      </c>
      <c r="Y40" s="1">
        <f t="shared" si="1"/>
        <v>2.364367596899225E-2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7"/>
        <v>1.1612</v>
      </c>
      <c r="C41" s="1">
        <f t="shared" si="3"/>
        <v>0</v>
      </c>
      <c r="D41" s="1">
        <f t="shared" si="8"/>
        <v>4.3762179844961242</v>
      </c>
      <c r="E41">
        <v>59.27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1"/>
        <v>0.62670034978624167</v>
      </c>
      <c r="Q41" s="1">
        <f t="shared" si="22"/>
        <v>1.1612</v>
      </c>
      <c r="R41" s="1">
        <f t="shared" si="23"/>
        <v>68.800938467592445</v>
      </c>
      <c r="S41" s="1">
        <f t="shared" si="24"/>
        <v>59.982645203789332</v>
      </c>
      <c r="T41" s="1">
        <f t="shared" si="25"/>
        <v>51.678841187200618</v>
      </c>
      <c r="U41" s="1" t="str">
        <f t="shared" si="26"/>
        <v>charge</v>
      </c>
      <c r="Y41" s="1">
        <f t="shared" si="1"/>
        <v>2.364367596899225E-2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7"/>
        <v>0</v>
      </c>
      <c r="C42" s="1">
        <f t="shared" si="3"/>
        <v>0</v>
      </c>
      <c r="D42" s="1">
        <f t="shared" si="8"/>
        <v>4.3762179844961242</v>
      </c>
      <c r="E42">
        <v>59.27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1"/>
        <v>0.62670034978624167</v>
      </c>
      <c r="Q42" s="1">
        <f t="shared" si="22"/>
        <v>0.8335999999999999</v>
      </c>
      <c r="R42" s="1">
        <f t="shared" si="23"/>
        <v>49.384086467592446</v>
      </c>
      <c r="S42" s="1">
        <f t="shared" si="24"/>
        <v>40.565793203789326</v>
      </c>
      <c r="T42" s="1">
        <f t="shared" si="25"/>
        <v>48.697529571952359</v>
      </c>
      <c r="U42" s="1" t="str">
        <f t="shared" si="26"/>
        <v>sell to the Grid</v>
      </c>
      <c r="W42" s="1">
        <f>(Q42*E42)/1000</f>
        <v>4.9407472000000001E-2</v>
      </c>
      <c r="Y42" s="1">
        <f t="shared" si="1"/>
        <v>2.364367596899225E-2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7"/>
        <v>0</v>
      </c>
      <c r="C43" s="1">
        <f t="shared" si="3"/>
        <v>0</v>
      </c>
      <c r="D43" s="1">
        <f t="shared" si="8"/>
        <v>4.3762179844961242</v>
      </c>
      <c r="E43">
        <v>59.27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27">IF(D43+M43&gt;0,"discharge","buy from the Grid")</f>
        <v>discharge</v>
      </c>
      <c r="Y43" s="1">
        <f t="shared" si="1"/>
        <v>3.9660359689922479E-2</v>
      </c>
      <c r="AA43" s="1">
        <f t="shared" si="6"/>
        <v>-2.0516877707372982E-2</v>
      </c>
      <c r="AD43" s="1">
        <f t="shared" si="7"/>
        <v>0</v>
      </c>
    </row>
    <row r="44" spans="1:30" ht="15">
      <c r="A44" s="1">
        <v>43</v>
      </c>
      <c r="B44" s="1">
        <f t="shared" si="17"/>
        <v>0</v>
      </c>
      <c r="C44" s="1">
        <f t="shared" si="3"/>
        <v>-0.5323472868217054</v>
      </c>
      <c r="D44" s="1">
        <f t="shared" si="8"/>
        <v>3.7107838759689926</v>
      </c>
      <c r="E44">
        <v>59.27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27"/>
        <v>discharge</v>
      </c>
      <c r="Y44" s="1">
        <f t="shared" si="1"/>
        <v>3.9660359689922479E-2</v>
      </c>
      <c r="AA44" s="1">
        <f t="shared" si="6"/>
        <v>-0.55286416452907838</v>
      </c>
      <c r="AD44" s="1">
        <f t="shared" si="7"/>
        <v>0</v>
      </c>
    </row>
    <row r="45" spans="1:30" ht="15">
      <c r="A45" s="1">
        <v>44</v>
      </c>
      <c r="B45" s="1">
        <f t="shared" si="17"/>
        <v>0</v>
      </c>
      <c r="C45" s="1">
        <f t="shared" si="3"/>
        <v>-0.65627906976744199</v>
      </c>
      <c r="D45" s="1">
        <f t="shared" si="8"/>
        <v>2.8904350387596902</v>
      </c>
      <c r="E45">
        <v>59.27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27"/>
        <v>discharge</v>
      </c>
      <c r="Y45" s="1">
        <f t="shared" si="1"/>
        <v>3.8897660465116286E-2</v>
      </c>
      <c r="AA45" s="1">
        <f t="shared" si="6"/>
        <v>-1.2091432342965205</v>
      </c>
      <c r="AD45" s="1">
        <f t="shared" si="7"/>
        <v>0</v>
      </c>
    </row>
    <row r="46" spans="1:30" ht="15">
      <c r="A46" s="1">
        <v>45</v>
      </c>
      <c r="B46" s="1">
        <f t="shared" si="17"/>
        <v>0</v>
      </c>
      <c r="C46" s="1">
        <f t="shared" si="3"/>
        <v>-0.66914728682170543</v>
      </c>
      <c r="D46" s="1">
        <f t="shared" si="8"/>
        <v>2.0540009302325584</v>
      </c>
      <c r="E46">
        <v>59.27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27"/>
        <v>discharge</v>
      </c>
      <c r="Y46" s="1">
        <f t="shared" si="1"/>
        <v>3.9660359689922479E-2</v>
      </c>
      <c r="AA46" s="1">
        <f t="shared" si="6"/>
        <v>-1.8782905211182259</v>
      </c>
      <c r="AD46" s="1">
        <f t="shared" si="7"/>
        <v>0</v>
      </c>
    </row>
    <row r="47" spans="1:30" ht="15">
      <c r="A47" s="1">
        <v>46</v>
      </c>
      <c r="B47" s="1">
        <f t="shared" si="17"/>
        <v>0</v>
      </c>
      <c r="C47" s="1">
        <f t="shared" si="3"/>
        <v>-0.39891472868217059</v>
      </c>
      <c r="D47" s="1">
        <f t="shared" si="8"/>
        <v>1.5553575193798452</v>
      </c>
      <c r="E47">
        <v>59.27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27"/>
        <v>discharge</v>
      </c>
      <c r="Y47" s="1">
        <f t="shared" si="1"/>
        <v>2.364367596899225E-2</v>
      </c>
      <c r="AA47" s="1">
        <f t="shared" si="6"/>
        <v>-2.2772052498003967</v>
      </c>
      <c r="AD47" s="1">
        <f t="shared" si="7"/>
        <v>0</v>
      </c>
    </row>
    <row r="48" spans="1:30" ht="15">
      <c r="A48" s="1">
        <v>47</v>
      </c>
      <c r="B48" s="1">
        <f t="shared" si="17"/>
        <v>0</v>
      </c>
      <c r="C48" s="1">
        <f t="shared" si="3"/>
        <v>-0.39891472868217059</v>
      </c>
      <c r="D48" s="1">
        <f t="shared" si="8"/>
        <v>1.0567141085271321</v>
      </c>
      <c r="E48">
        <v>59.27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27"/>
        <v>discharge</v>
      </c>
      <c r="Y48" s="1">
        <f t="shared" si="1"/>
        <v>2.364367596899225E-2</v>
      </c>
      <c r="AA48" s="1">
        <f t="shared" si="6"/>
        <v>-2.6761199784825673</v>
      </c>
      <c r="AD48" s="1">
        <f t="shared" si="7"/>
        <v>0</v>
      </c>
    </row>
    <row r="49" spans="1:30" ht="15">
      <c r="A49" s="1">
        <v>48</v>
      </c>
      <c r="B49" s="1">
        <f t="shared" si="17"/>
        <v>0</v>
      </c>
      <c r="C49" s="1">
        <f t="shared" si="3"/>
        <v>-0.39891472868217059</v>
      </c>
      <c r="D49" s="1">
        <f t="shared" si="8"/>
        <v>0.55807069767441886</v>
      </c>
      <c r="E49">
        <v>59.27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27"/>
        <v>discharge</v>
      </c>
      <c r="Y49" s="1">
        <f t="shared" si="1"/>
        <v>2.364367596899225E-2</v>
      </c>
      <c r="AA49" s="1">
        <f t="shared" si="6"/>
        <v>-3.0750347071647379</v>
      </c>
      <c r="AD49" s="1">
        <f t="shared" si="7"/>
        <v>0</v>
      </c>
    </row>
    <row r="50" spans="1:30" ht="15">
      <c r="A50" s="1">
        <v>49</v>
      </c>
      <c r="B50" s="1">
        <f t="shared" si="17"/>
        <v>0</v>
      </c>
      <c r="C50" s="1">
        <f t="shared" si="3"/>
        <v>-0.29596899224806206</v>
      </c>
      <c r="D50" s="1">
        <f t="shared" si="8"/>
        <v>0.18810945736434131</v>
      </c>
      <c r="E50">
        <v>59.27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27"/>
        <v>buy from the Grid</v>
      </c>
      <c r="X50" s="1">
        <f t="shared" ref="X50:X58" si="28">(M50*E50)/1000</f>
        <v>-1.754208217054264E-2</v>
      </c>
      <c r="Y50" s="1">
        <f t="shared" si="1"/>
        <v>1.754208217054264E-2</v>
      </c>
      <c r="AA50" s="1">
        <f t="shared" si="6"/>
        <v>-3.3710036994128001</v>
      </c>
      <c r="AC50" s="1">
        <f t="shared" ref="AC50:AC58" si="29">L50</f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7"/>
        <v>0</v>
      </c>
      <c r="C51" s="1">
        <f t="shared" si="3"/>
        <v>0</v>
      </c>
      <c r="D51" s="1">
        <f t="shared" si="8"/>
        <v>0.18810945736434131</v>
      </c>
      <c r="E51">
        <v>59.27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27"/>
        <v>buy from the Grid</v>
      </c>
      <c r="X51" s="1">
        <f t="shared" si="28"/>
        <v>-1.754208217054264E-2</v>
      </c>
      <c r="Y51" s="1">
        <f t="shared" si="1"/>
        <v>1.754208217054264E-2</v>
      </c>
      <c r="AA51" s="1">
        <f t="shared" si="6"/>
        <v>-3.6669726916608623</v>
      </c>
      <c r="AC51" s="1">
        <f t="shared" si="29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7"/>
        <v>0</v>
      </c>
      <c r="C52" s="1">
        <f t="shared" si="3"/>
        <v>0</v>
      </c>
      <c r="D52" s="1">
        <f t="shared" si="8"/>
        <v>0.18810945736434131</v>
      </c>
      <c r="E52">
        <v>59.27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27"/>
        <v>buy from the Grid</v>
      </c>
      <c r="X52" s="1">
        <f t="shared" si="28"/>
        <v>-1.754208217054264E-2</v>
      </c>
      <c r="Y52" s="1">
        <f t="shared" si="1"/>
        <v>1.754208217054264E-2</v>
      </c>
      <c r="AA52" s="1">
        <f t="shared" si="6"/>
        <v>-3.9629416839089244</v>
      </c>
      <c r="AC52" s="1">
        <f t="shared" si="29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7"/>
        <v>0</v>
      </c>
      <c r="C53" s="1">
        <f t="shared" si="3"/>
        <v>0</v>
      </c>
      <c r="D53" s="1">
        <f t="shared" si="8"/>
        <v>0.18810945736434131</v>
      </c>
      <c r="E53">
        <v>59.27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27"/>
        <v>buy from the Grid</v>
      </c>
      <c r="X53" s="1">
        <f t="shared" si="28"/>
        <v>-1.754208217054264E-2</v>
      </c>
      <c r="Y53" s="1">
        <f t="shared" si="1"/>
        <v>1.754208217054264E-2</v>
      </c>
      <c r="AA53" s="1">
        <f t="shared" si="6"/>
        <v>-4.2589106761569866</v>
      </c>
      <c r="AC53" s="1">
        <f t="shared" si="29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7"/>
        <v>0</v>
      </c>
      <c r="C54" s="1">
        <f t="shared" si="3"/>
        <v>0</v>
      </c>
      <c r="D54" s="1">
        <f t="shared" si="8"/>
        <v>0.18810945736434131</v>
      </c>
      <c r="E54">
        <v>59.27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27"/>
        <v>buy from the Grid</v>
      </c>
      <c r="X54" s="1">
        <f t="shared" si="28"/>
        <v>-1.754208217054264E-2</v>
      </c>
      <c r="Y54" s="1">
        <f t="shared" si="1"/>
        <v>1.754208217054264E-2</v>
      </c>
      <c r="AA54" s="1">
        <f t="shared" si="6"/>
        <v>-4.5548796684050483</v>
      </c>
      <c r="AC54" s="1">
        <f t="shared" si="29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7"/>
        <v>0</v>
      </c>
      <c r="C55" s="1">
        <f t="shared" si="3"/>
        <v>0</v>
      </c>
      <c r="D55" s="1">
        <f t="shared" si="8"/>
        <v>0.18810945736434131</v>
      </c>
      <c r="E55">
        <v>59.27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27"/>
        <v>buy from the Grid</v>
      </c>
      <c r="X55" s="1">
        <f t="shared" si="28"/>
        <v>-2.364367596899225E-2</v>
      </c>
      <c r="Y55" s="1">
        <f t="shared" si="1"/>
        <v>2.364367596899225E-2</v>
      </c>
      <c r="AA55" s="1">
        <f t="shared" si="6"/>
        <v>-4.9537943970872185</v>
      </c>
      <c r="AC55" s="1">
        <f t="shared" si="29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7"/>
        <v>0</v>
      </c>
      <c r="C56" s="1">
        <f t="shared" si="3"/>
        <v>0</v>
      </c>
      <c r="D56" s="1">
        <f t="shared" si="8"/>
        <v>0.18810945736434131</v>
      </c>
      <c r="E56">
        <v>59.27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27"/>
        <v>buy from the Grid</v>
      </c>
      <c r="X56" s="1">
        <f t="shared" si="28"/>
        <v>-3.9660359689922479E-2</v>
      </c>
      <c r="Y56" s="1">
        <f t="shared" si="1"/>
        <v>3.9660359689922479E-2</v>
      </c>
      <c r="AA56" s="1">
        <f t="shared" si="6"/>
        <v>-5.6229416839089241</v>
      </c>
      <c r="AC56" s="1">
        <f t="shared" si="29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7"/>
        <v>0</v>
      </c>
      <c r="C57" s="1">
        <f t="shared" si="3"/>
        <v>0</v>
      </c>
      <c r="D57" s="1">
        <f t="shared" si="8"/>
        <v>0.18810945736434131</v>
      </c>
      <c r="E57">
        <v>59.27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27"/>
        <v>buy from the Grid</v>
      </c>
      <c r="X57" s="1">
        <f t="shared" si="28"/>
        <v>-3.8700185689922485E-2</v>
      </c>
      <c r="Y57" s="1">
        <f t="shared" si="1"/>
        <v>3.9660359689922479E-2</v>
      </c>
      <c r="AA57" s="1">
        <f t="shared" si="6"/>
        <v>-6.2758889707306293</v>
      </c>
      <c r="AC57" s="1">
        <f t="shared" si="29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7"/>
        <v>0</v>
      </c>
      <c r="C58" s="1">
        <f t="shared" si="3"/>
        <v>0</v>
      </c>
      <c r="D58" s="1">
        <f t="shared" si="8"/>
        <v>0.18810945736434131</v>
      </c>
      <c r="E58">
        <v>59.27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27"/>
        <v>buy from the Grid</v>
      </c>
      <c r="X58" s="1">
        <f t="shared" si="28"/>
        <v>-2.5151063689922482E-2</v>
      </c>
      <c r="Y58" s="1">
        <f t="shared" si="1"/>
        <v>3.9660359689922479E-2</v>
      </c>
      <c r="AA58" s="1">
        <f t="shared" si="6"/>
        <v>-6.7002362575523344</v>
      </c>
      <c r="AC58" s="1">
        <f t="shared" si="29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7"/>
        <v>0</v>
      </c>
      <c r="C59" s="1">
        <f t="shared" si="3"/>
        <v>0</v>
      </c>
      <c r="D59" s="1">
        <f t="shared" si="8"/>
        <v>0.18810945736434131</v>
      </c>
      <c r="E59">
        <v>59.27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0">0.25/L59</f>
        <v>0.62670034978624167</v>
      </c>
      <c r="Q59" s="1">
        <f t="shared" ref="Q59:Q67" si="31">K59-P59*L59</f>
        <v>0.50959999999999994</v>
      </c>
      <c r="R59" s="1">
        <f t="shared" ref="R59:R67" si="32">((1/(E59+0.01))*LN(0.25))+(E59*(K59-0.25))</f>
        <v>30.180606467592444</v>
      </c>
      <c r="S59" s="1">
        <f t="shared" ref="S59:S67" si="33">((1/(E59+0.01))*LN(L59))+(E59*(K59-L59))</f>
        <v>21.362313203789324</v>
      </c>
      <c r="T59" s="1">
        <f t="shared" ref="T59:T67" si="34">(S59+((S59^2)-4*(K59-L59*P59)*LN(L59*P59))^(0.5))/(2*(K59-L59*P59))</f>
        <v>41.984561126312826</v>
      </c>
      <c r="U59" s="1" t="str">
        <f t="shared" ref="U59:U67" si="35">IF(E59&gt;=T59*1.2,"sell to the Grid","charge")</f>
        <v>sell to the Grid</v>
      </c>
      <c r="W59" s="1">
        <f>(Q59*E59)/1000</f>
        <v>3.0203991999999999E-2</v>
      </c>
      <c r="Y59" s="1">
        <f t="shared" si="1"/>
        <v>2.364367596899225E-2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7"/>
        <v>1.1828000000000001</v>
      </c>
      <c r="C60" s="1">
        <f t="shared" si="3"/>
        <v>0</v>
      </c>
      <c r="D60" s="1">
        <f t="shared" si="8"/>
        <v>1.1343494573643413</v>
      </c>
      <c r="E60">
        <v>59.27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0"/>
        <v>0.62670034978624167</v>
      </c>
      <c r="Q60" s="1">
        <f t="shared" si="31"/>
        <v>1.1828000000000001</v>
      </c>
      <c r="R60" s="1">
        <f t="shared" si="32"/>
        <v>70.081170467592443</v>
      </c>
      <c r="S60" s="1">
        <f t="shared" si="33"/>
        <v>61.262877203789337</v>
      </c>
      <c r="T60" s="1">
        <f t="shared" si="34"/>
        <v>51.817408397173388</v>
      </c>
      <c r="U60" s="1" t="str">
        <f t="shared" si="35"/>
        <v>charge</v>
      </c>
      <c r="Y60" s="1">
        <f t="shared" si="1"/>
        <v>2.364367596899225E-2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7"/>
        <v>1.6616000000000002</v>
      </c>
      <c r="C61" s="1">
        <f t="shared" si="3"/>
        <v>0</v>
      </c>
      <c r="D61" s="1">
        <f t="shared" si="8"/>
        <v>2.4636294573643416</v>
      </c>
      <c r="E61">
        <v>59.27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0"/>
        <v>0.62670034978624167</v>
      </c>
      <c r="Q61" s="1">
        <f t="shared" si="31"/>
        <v>1.6616000000000002</v>
      </c>
      <c r="R61" s="1">
        <f t="shared" si="32"/>
        <v>98.459646467592464</v>
      </c>
      <c r="S61" s="1">
        <f t="shared" si="33"/>
        <v>89.641353203789336</v>
      </c>
      <c r="T61" s="1">
        <f t="shared" si="34"/>
        <v>53.964276791036603</v>
      </c>
      <c r="U61" s="1" t="str">
        <f t="shared" si="35"/>
        <v>charge</v>
      </c>
      <c r="Y61" s="1">
        <f t="shared" si="1"/>
        <v>2.364367596899225E-2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7"/>
        <v>1.9388000000000001</v>
      </c>
      <c r="C62" s="1">
        <f t="shared" si="3"/>
        <v>0</v>
      </c>
      <c r="D62" s="1">
        <f t="shared" si="8"/>
        <v>4.0146694573643416</v>
      </c>
      <c r="E62">
        <v>59.27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0"/>
        <v>0.62670034978624167</v>
      </c>
      <c r="Q62" s="1">
        <f t="shared" si="31"/>
        <v>1.9388000000000001</v>
      </c>
      <c r="R62" s="1">
        <f t="shared" si="32"/>
        <v>114.88929046759245</v>
      </c>
      <c r="S62" s="1">
        <f t="shared" si="33"/>
        <v>106.07099720378933</v>
      </c>
      <c r="T62" s="1">
        <f t="shared" si="34"/>
        <v>54.722679126387447</v>
      </c>
      <c r="U62" s="1" t="str">
        <f t="shared" si="35"/>
        <v>charge</v>
      </c>
      <c r="Y62" s="1">
        <f t="shared" si="1"/>
        <v>2.364367596899225E-2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7"/>
        <v>2.1008</v>
      </c>
      <c r="C63" s="1">
        <f t="shared" si="3"/>
        <v>0</v>
      </c>
      <c r="D63" s="1">
        <f t="shared" si="8"/>
        <v>5.6953094573643419</v>
      </c>
      <c r="E63">
        <v>59.27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0"/>
        <v>0.62670034978624167</v>
      </c>
      <c r="Q63" s="1">
        <f t="shared" si="31"/>
        <v>2.1008</v>
      </c>
      <c r="R63" s="1">
        <f t="shared" si="32"/>
        <v>124.49103046759245</v>
      </c>
      <c r="S63" s="1">
        <f t="shared" si="33"/>
        <v>115.67273720378932</v>
      </c>
      <c r="T63" s="1">
        <f t="shared" si="34"/>
        <v>55.073262102998882</v>
      </c>
      <c r="U63" s="1" t="str">
        <f t="shared" si="35"/>
        <v>charge</v>
      </c>
      <c r="Y63" s="1">
        <f t="shared" si="1"/>
        <v>2.364367596899225E-2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7"/>
        <v>1.9855999999999998</v>
      </c>
      <c r="C64" s="1">
        <f t="shared" si="3"/>
        <v>0</v>
      </c>
      <c r="D64" s="1">
        <f t="shared" si="8"/>
        <v>7.2837894573643416</v>
      </c>
      <c r="E64">
        <v>59.27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0"/>
        <v>0.62670034978624167</v>
      </c>
      <c r="Q64" s="1">
        <f t="shared" si="31"/>
        <v>1.9855999999999998</v>
      </c>
      <c r="R64" s="1">
        <f t="shared" si="32"/>
        <v>117.66312646759243</v>
      </c>
      <c r="S64" s="1">
        <f t="shared" si="33"/>
        <v>108.84483320378932</v>
      </c>
      <c r="T64" s="1">
        <f t="shared" si="34"/>
        <v>54.829833189833543</v>
      </c>
      <c r="U64" s="1" t="str">
        <f t="shared" si="35"/>
        <v>charge</v>
      </c>
      <c r="Y64" s="1">
        <f t="shared" si="1"/>
        <v>2.364367596899225E-2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7"/>
        <v>1.6976</v>
      </c>
      <c r="C65" s="1">
        <f t="shared" si="3"/>
        <v>0</v>
      </c>
      <c r="D65" s="1">
        <f t="shared" si="8"/>
        <v>8.6418694573643418</v>
      </c>
      <c r="E65">
        <v>59.27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0"/>
        <v>0.62670034978624167</v>
      </c>
      <c r="Q65" s="1">
        <f t="shared" si="31"/>
        <v>1.6976</v>
      </c>
      <c r="R65" s="1">
        <f t="shared" si="32"/>
        <v>100.59336646759245</v>
      </c>
      <c r="S65" s="1">
        <f t="shared" si="33"/>
        <v>91.775073203789333</v>
      </c>
      <c r="T65" s="1">
        <f t="shared" si="34"/>
        <v>54.076760650706312</v>
      </c>
      <c r="U65" s="1" t="str">
        <f t="shared" si="35"/>
        <v>charge</v>
      </c>
      <c r="Y65" s="1">
        <f t="shared" si="1"/>
        <v>2.364367596899225E-2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7"/>
        <v>1.2547999999999999</v>
      </c>
      <c r="C66" s="1">
        <f t="shared" si="3"/>
        <v>0</v>
      </c>
      <c r="D66" s="1">
        <f t="shared" si="8"/>
        <v>9.645709457364342</v>
      </c>
      <c r="E66">
        <v>59.27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0"/>
        <v>0.62670034978624167</v>
      </c>
      <c r="Q66" s="1">
        <f t="shared" si="31"/>
        <v>1.2547999999999999</v>
      </c>
      <c r="R66" s="1">
        <f t="shared" si="32"/>
        <v>74.348610467592437</v>
      </c>
      <c r="S66" s="1">
        <f t="shared" si="33"/>
        <v>65.530317203789323</v>
      </c>
      <c r="T66" s="1">
        <f t="shared" si="34"/>
        <v>52.244861143603224</v>
      </c>
      <c r="U66" s="1" t="str">
        <f t="shared" si="35"/>
        <v>charge</v>
      </c>
      <c r="Y66" s="1">
        <f t="shared" ref="Y66:Y129" si="36">(L66*E66)/1000</f>
        <v>2.364367596899225E-2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7"/>
        <v>0</v>
      </c>
      <c r="C67" s="1">
        <f t="shared" ref="C67:C130" si="37">IF(V66="discharge",M67,0)</f>
        <v>0</v>
      </c>
      <c r="D67" s="1">
        <f t="shared" si="8"/>
        <v>9.645709457364342</v>
      </c>
      <c r="E67">
        <v>59.27</v>
      </c>
      <c r="K67" s="1">
        <f>'Solar Availability and Gener GR'!F67</f>
        <v>0.9396000000000001</v>
      </c>
      <c r="L67" s="1">
        <v>0.65627906976744199</v>
      </c>
      <c r="M67" s="1">
        <f t="shared" ref="M67:M130" si="38">K67-L67</f>
        <v>0.28332093023255811</v>
      </c>
      <c r="N67" s="1" t="str">
        <f t="shared" ref="N67:N130" si="39">IF(M67&lt;0,"Buy from Grid","sell the surplus or charge")</f>
        <v>sell the surplus or charge</v>
      </c>
      <c r="O67" s="1">
        <v>0.25</v>
      </c>
      <c r="P67" s="1">
        <f t="shared" si="30"/>
        <v>0.38093550673281351</v>
      </c>
      <c r="Q67" s="1">
        <f t="shared" si="31"/>
        <v>0.6896000000000001</v>
      </c>
      <c r="R67" s="1">
        <f t="shared" si="32"/>
        <v>40.84920646759246</v>
      </c>
      <c r="S67" s="1">
        <f t="shared" si="33"/>
        <v>16.785326791812381</v>
      </c>
      <c r="T67" s="1">
        <f t="shared" si="34"/>
        <v>24.422982410600522</v>
      </c>
      <c r="U67" s="1" t="str">
        <f t="shared" si="35"/>
        <v>sell to the Grid</v>
      </c>
      <c r="W67" s="1">
        <f>(Q67*E67)/1000</f>
        <v>4.0872592000000013E-2</v>
      </c>
      <c r="Y67" s="1">
        <f t="shared" si="36"/>
        <v>3.8897660465116286E-2</v>
      </c>
      <c r="AA67" s="1">
        <f t="shared" ref="AA67:AA130" si="40">M67+AA66</f>
        <v>4.7233668432228599</v>
      </c>
      <c r="AD67" s="1">
        <f t="shared" ref="AD67:AD130" si="41">AC67+O67</f>
        <v>0.25</v>
      </c>
    </row>
    <row r="68" spans="1:30" ht="15">
      <c r="A68" s="1">
        <v>67</v>
      </c>
      <c r="B68" s="1">
        <f t="shared" si="17"/>
        <v>0</v>
      </c>
      <c r="C68" s="1">
        <f t="shared" si="37"/>
        <v>0</v>
      </c>
      <c r="D68" s="1">
        <f t="shared" ref="D68:D131" si="42">(D67)+(B68*0.8)+(C68/0.8)</f>
        <v>9.645709457364342</v>
      </c>
      <c r="E68">
        <v>59.27</v>
      </c>
      <c r="K68" s="1">
        <f>'Solar Availability and Gener GR'!F68</f>
        <v>0.34559999999999996</v>
      </c>
      <c r="L68" s="1">
        <v>0.66914728682170543</v>
      </c>
      <c r="M68" s="1">
        <f t="shared" si="38"/>
        <v>-0.32354728682170547</v>
      </c>
      <c r="N68" s="1" t="str">
        <f t="shared" si="39"/>
        <v>Buy from Grid</v>
      </c>
      <c r="V68" s="1" t="str">
        <f t="shared" ref="V68:V82" si="43">IF(D68+M68&gt;0,"discharge","buy from the Grid")</f>
        <v>discharge</v>
      </c>
      <c r="Y68" s="1">
        <f t="shared" si="36"/>
        <v>3.9660359689922479E-2</v>
      </c>
      <c r="AA68" s="1">
        <f t="shared" si="40"/>
        <v>4.3998195564011544</v>
      </c>
      <c r="AD68" s="1">
        <f t="shared" si="41"/>
        <v>0</v>
      </c>
    </row>
    <row r="69" spans="1:30" ht="15">
      <c r="A69" s="1">
        <v>68</v>
      </c>
      <c r="B69" s="1">
        <f t="shared" si="17"/>
        <v>0</v>
      </c>
      <c r="C69" s="1">
        <f t="shared" si="37"/>
        <v>-0.62747906976744194</v>
      </c>
      <c r="D69" s="1">
        <f t="shared" si="42"/>
        <v>8.8613606201550397</v>
      </c>
      <c r="E69">
        <v>59.27</v>
      </c>
      <c r="K69" s="1">
        <f>'Solar Availability and Gener GR'!F69</f>
        <v>2.8799999999999999E-2</v>
      </c>
      <c r="L69" s="1">
        <v>0.65627906976744199</v>
      </c>
      <c r="M69" s="1">
        <f t="shared" si="38"/>
        <v>-0.62747906976744194</v>
      </c>
      <c r="N69" s="1" t="str">
        <f t="shared" si="39"/>
        <v>Buy from Grid</v>
      </c>
      <c r="V69" s="1" t="str">
        <f t="shared" si="43"/>
        <v>discharge</v>
      </c>
      <c r="Y69" s="1">
        <f t="shared" si="36"/>
        <v>3.8897660465116286E-2</v>
      </c>
      <c r="AA69" s="1">
        <f t="shared" si="40"/>
        <v>3.7723404866337127</v>
      </c>
      <c r="AD69" s="1">
        <f t="shared" si="41"/>
        <v>0</v>
      </c>
    </row>
    <row r="70" spans="1:30" ht="15">
      <c r="A70" s="1">
        <v>69</v>
      </c>
      <c r="B70" s="1">
        <f t="shared" si="17"/>
        <v>0</v>
      </c>
      <c r="C70" s="1">
        <f t="shared" si="37"/>
        <v>-0.66914728682170543</v>
      </c>
      <c r="D70" s="1">
        <f t="shared" si="42"/>
        <v>8.0249265116279087</v>
      </c>
      <c r="E70">
        <v>59.27</v>
      </c>
      <c r="K70" s="1">
        <f>'Solar Availability and Gener GR'!F70</f>
        <v>0</v>
      </c>
      <c r="L70" s="1">
        <v>0.66914728682170543</v>
      </c>
      <c r="M70" s="1">
        <f t="shared" si="38"/>
        <v>-0.66914728682170543</v>
      </c>
      <c r="N70" s="1" t="str">
        <f t="shared" si="39"/>
        <v>Buy from Grid</v>
      </c>
      <c r="V70" s="1" t="str">
        <f t="shared" si="43"/>
        <v>discharge</v>
      </c>
      <c r="Y70" s="1">
        <f t="shared" si="36"/>
        <v>3.9660359689922479E-2</v>
      </c>
      <c r="AA70" s="1">
        <f t="shared" si="40"/>
        <v>3.103193199812007</v>
      </c>
      <c r="AD70" s="1">
        <f t="shared" si="41"/>
        <v>0</v>
      </c>
    </row>
    <row r="71" spans="1:30" ht="15">
      <c r="A71" s="1">
        <v>70</v>
      </c>
      <c r="B71" s="1">
        <f t="shared" si="17"/>
        <v>0</v>
      </c>
      <c r="C71" s="1">
        <f t="shared" si="37"/>
        <v>-0.39891472868217059</v>
      </c>
      <c r="D71" s="1">
        <f t="shared" si="42"/>
        <v>7.5262831007751956</v>
      </c>
      <c r="E71">
        <v>59.27</v>
      </c>
      <c r="K71" s="1">
        <f>'Solar Availability and Gener GR'!F71</f>
        <v>0</v>
      </c>
      <c r="L71" s="1">
        <v>0.39891472868217059</v>
      </c>
      <c r="M71" s="1">
        <f t="shared" si="38"/>
        <v>-0.39891472868217059</v>
      </c>
      <c r="N71" s="1" t="str">
        <f t="shared" si="39"/>
        <v>Buy from Grid</v>
      </c>
      <c r="V71" s="1" t="str">
        <f t="shared" si="43"/>
        <v>discharge</v>
      </c>
      <c r="Y71" s="1">
        <f t="shared" si="36"/>
        <v>2.364367596899225E-2</v>
      </c>
      <c r="AA71" s="1">
        <f t="shared" si="40"/>
        <v>2.7042784711298364</v>
      </c>
      <c r="AD71" s="1">
        <f t="shared" si="41"/>
        <v>0</v>
      </c>
    </row>
    <row r="72" spans="1:30" ht="15">
      <c r="A72" s="1">
        <v>71</v>
      </c>
      <c r="B72" s="1">
        <f t="shared" si="17"/>
        <v>0</v>
      </c>
      <c r="C72" s="1">
        <f t="shared" si="37"/>
        <v>-0.39891472868217059</v>
      </c>
      <c r="D72" s="1">
        <f t="shared" si="42"/>
        <v>7.0276396899224824</v>
      </c>
      <c r="E72">
        <v>59.27</v>
      </c>
      <c r="K72" s="1">
        <f>'Solar Availability and Gener GR'!F72</f>
        <v>0</v>
      </c>
      <c r="L72" s="1">
        <v>0.39891472868217059</v>
      </c>
      <c r="M72" s="1">
        <f t="shared" si="38"/>
        <v>-0.39891472868217059</v>
      </c>
      <c r="N72" s="1" t="str">
        <f t="shared" si="39"/>
        <v>Buy from Grid</v>
      </c>
      <c r="V72" s="1" t="str">
        <f t="shared" si="43"/>
        <v>discharge</v>
      </c>
      <c r="Y72" s="1">
        <f t="shared" si="36"/>
        <v>2.364367596899225E-2</v>
      </c>
      <c r="AA72" s="1">
        <f t="shared" si="40"/>
        <v>2.3053637424476658</v>
      </c>
      <c r="AD72" s="1">
        <f t="shared" si="41"/>
        <v>0</v>
      </c>
    </row>
    <row r="73" spans="1:30" ht="15">
      <c r="A73" s="1">
        <v>72</v>
      </c>
      <c r="B73" s="1">
        <f t="shared" si="17"/>
        <v>0</v>
      </c>
      <c r="C73" s="1">
        <f t="shared" si="37"/>
        <v>-0.39891472868217059</v>
      </c>
      <c r="D73" s="1">
        <f t="shared" si="42"/>
        <v>6.5289962790697693</v>
      </c>
      <c r="E73">
        <v>59.27</v>
      </c>
      <c r="K73" s="1">
        <f>'Solar Availability and Gener GR'!F73</f>
        <v>0</v>
      </c>
      <c r="L73" s="1">
        <v>0.39891472868217059</v>
      </c>
      <c r="M73" s="1">
        <f t="shared" si="38"/>
        <v>-0.39891472868217059</v>
      </c>
      <c r="N73" s="1" t="str">
        <f t="shared" si="39"/>
        <v>Buy from Grid</v>
      </c>
      <c r="V73" s="1" t="str">
        <f t="shared" si="43"/>
        <v>discharge</v>
      </c>
      <c r="Y73" s="1">
        <f t="shared" si="36"/>
        <v>2.364367596899225E-2</v>
      </c>
      <c r="AA73" s="1">
        <f t="shared" si="40"/>
        <v>1.9064490137654952</v>
      </c>
      <c r="AD73" s="1">
        <f t="shared" si="41"/>
        <v>0</v>
      </c>
    </row>
    <row r="74" spans="1:30" ht="15">
      <c r="A74" s="1">
        <v>73</v>
      </c>
      <c r="B74" s="1">
        <f t="shared" si="17"/>
        <v>0</v>
      </c>
      <c r="C74" s="1">
        <f t="shared" si="37"/>
        <v>-0.29596899224806206</v>
      </c>
      <c r="D74" s="1">
        <f t="shared" si="42"/>
        <v>6.1590350387596917</v>
      </c>
      <c r="E74">
        <v>59.27</v>
      </c>
      <c r="K74" s="1">
        <f>'Solar Availability and Gener GR'!F74</f>
        <v>0</v>
      </c>
      <c r="L74" s="1">
        <v>0.29596899224806206</v>
      </c>
      <c r="M74" s="1">
        <f t="shared" si="38"/>
        <v>-0.29596899224806206</v>
      </c>
      <c r="N74" s="1" t="str">
        <f t="shared" si="39"/>
        <v>Buy from Grid</v>
      </c>
      <c r="V74" s="1" t="str">
        <f t="shared" si="43"/>
        <v>discharge</v>
      </c>
      <c r="Y74" s="1">
        <f t="shared" si="36"/>
        <v>1.754208217054264E-2</v>
      </c>
      <c r="AA74" s="1">
        <f t="shared" si="40"/>
        <v>1.6104800215174331</v>
      </c>
      <c r="AD74" s="1">
        <f t="shared" si="41"/>
        <v>0</v>
      </c>
    </row>
    <row r="75" spans="1:30" ht="15">
      <c r="A75" s="1">
        <v>74</v>
      </c>
      <c r="B75" s="1">
        <f t="shared" si="17"/>
        <v>0</v>
      </c>
      <c r="C75" s="1">
        <f t="shared" si="37"/>
        <v>-0.29596899224806206</v>
      </c>
      <c r="D75" s="1">
        <f t="shared" si="42"/>
        <v>5.7890737984496141</v>
      </c>
      <c r="E75">
        <v>59.27</v>
      </c>
      <c r="K75" s="1">
        <f>'Solar Availability and Gener GR'!F75</f>
        <v>0</v>
      </c>
      <c r="L75" s="1">
        <v>0.29596899224806206</v>
      </c>
      <c r="M75" s="1">
        <f t="shared" si="38"/>
        <v>-0.29596899224806206</v>
      </c>
      <c r="N75" s="1" t="str">
        <f t="shared" si="39"/>
        <v>Buy from Grid</v>
      </c>
      <c r="V75" s="1" t="str">
        <f t="shared" si="43"/>
        <v>discharge</v>
      </c>
      <c r="Y75" s="1">
        <f t="shared" si="36"/>
        <v>1.754208217054264E-2</v>
      </c>
      <c r="AA75" s="1">
        <f t="shared" si="40"/>
        <v>1.3145110292693709</v>
      </c>
      <c r="AD75" s="1">
        <f t="shared" si="41"/>
        <v>0</v>
      </c>
    </row>
    <row r="76" spans="1:30" ht="15">
      <c r="A76" s="1">
        <v>75</v>
      </c>
      <c r="B76" s="1">
        <f t="shared" si="17"/>
        <v>0</v>
      </c>
      <c r="C76" s="1">
        <f t="shared" si="37"/>
        <v>-0.29596899224806206</v>
      </c>
      <c r="D76" s="1">
        <f t="shared" si="42"/>
        <v>5.4191125581395365</v>
      </c>
      <c r="E76">
        <v>59.27</v>
      </c>
      <c r="K76" s="1">
        <f>'Solar Availability and Gener GR'!F76</f>
        <v>0</v>
      </c>
      <c r="L76" s="1">
        <v>0.29596899224806206</v>
      </c>
      <c r="M76" s="1">
        <f t="shared" si="38"/>
        <v>-0.29596899224806206</v>
      </c>
      <c r="N76" s="1" t="str">
        <f t="shared" si="39"/>
        <v>Buy from Grid</v>
      </c>
      <c r="V76" s="1" t="str">
        <f t="shared" si="43"/>
        <v>discharge</v>
      </c>
      <c r="Y76" s="1">
        <f t="shared" si="36"/>
        <v>1.754208217054264E-2</v>
      </c>
      <c r="AA76" s="1">
        <f t="shared" si="40"/>
        <v>1.0185420370213087</v>
      </c>
      <c r="AD76" s="1">
        <f t="shared" si="41"/>
        <v>0</v>
      </c>
    </row>
    <row r="77" spans="1:30" ht="15">
      <c r="A77" s="1">
        <v>76</v>
      </c>
      <c r="B77" s="1">
        <f t="shared" si="17"/>
        <v>0</v>
      </c>
      <c r="C77" s="1">
        <f t="shared" si="37"/>
        <v>-0.29596899224806206</v>
      </c>
      <c r="D77" s="1">
        <f t="shared" si="42"/>
        <v>5.0491513178294589</v>
      </c>
      <c r="E77">
        <v>59.27</v>
      </c>
      <c r="K77" s="1">
        <f>'Solar Availability and Gener GR'!F77</f>
        <v>0</v>
      </c>
      <c r="L77" s="1">
        <v>0.29596899224806206</v>
      </c>
      <c r="M77" s="1">
        <f t="shared" si="38"/>
        <v>-0.29596899224806206</v>
      </c>
      <c r="N77" s="1" t="str">
        <f t="shared" si="39"/>
        <v>Buy from Grid</v>
      </c>
      <c r="V77" s="1" t="str">
        <f t="shared" si="43"/>
        <v>discharge</v>
      </c>
      <c r="Y77" s="1">
        <f t="shared" si="36"/>
        <v>1.754208217054264E-2</v>
      </c>
      <c r="AA77" s="1">
        <f t="shared" si="40"/>
        <v>0.72257304477324669</v>
      </c>
      <c r="AD77" s="1">
        <f t="shared" si="41"/>
        <v>0</v>
      </c>
    </row>
    <row r="78" spans="1:30" ht="15">
      <c r="A78" s="1">
        <v>77</v>
      </c>
      <c r="B78" s="1">
        <f t="shared" si="17"/>
        <v>0</v>
      </c>
      <c r="C78" s="1">
        <f t="shared" si="37"/>
        <v>-0.29596899224806206</v>
      </c>
      <c r="D78" s="1">
        <f t="shared" si="42"/>
        <v>4.6791900775193813</v>
      </c>
      <c r="E78">
        <v>59.27</v>
      </c>
      <c r="K78" s="1">
        <f>'Solar Availability and Gener GR'!F78</f>
        <v>0</v>
      </c>
      <c r="L78" s="1">
        <v>0.29596899224806206</v>
      </c>
      <c r="M78" s="1">
        <f t="shared" si="38"/>
        <v>-0.29596899224806206</v>
      </c>
      <c r="N78" s="1" t="str">
        <f t="shared" si="39"/>
        <v>Buy from Grid</v>
      </c>
      <c r="V78" s="1" t="str">
        <f t="shared" si="43"/>
        <v>discharge</v>
      </c>
      <c r="Y78" s="1">
        <f t="shared" si="36"/>
        <v>1.754208217054264E-2</v>
      </c>
      <c r="AA78" s="1">
        <f t="shared" si="40"/>
        <v>0.42660405252518463</v>
      </c>
      <c r="AD78" s="1">
        <f t="shared" si="41"/>
        <v>0</v>
      </c>
    </row>
    <row r="79" spans="1:30" ht="15">
      <c r="A79" s="1">
        <v>78</v>
      </c>
      <c r="B79" s="1">
        <f t="shared" si="17"/>
        <v>0</v>
      </c>
      <c r="C79" s="1">
        <f t="shared" si="37"/>
        <v>-0.39891472868217059</v>
      </c>
      <c r="D79" s="1">
        <f t="shared" si="42"/>
        <v>4.1805466666666682</v>
      </c>
      <c r="E79">
        <v>59.27</v>
      </c>
      <c r="K79" s="1">
        <f>'Solar Availability and Gener GR'!F79</f>
        <v>0</v>
      </c>
      <c r="L79" s="1">
        <v>0.39891472868217059</v>
      </c>
      <c r="M79" s="1">
        <f t="shared" si="38"/>
        <v>-0.39891472868217059</v>
      </c>
      <c r="N79" s="1" t="str">
        <f t="shared" si="39"/>
        <v>Buy from Grid</v>
      </c>
      <c r="V79" s="1" t="str">
        <f t="shared" si="43"/>
        <v>discharge</v>
      </c>
      <c r="Y79" s="1">
        <f t="shared" si="36"/>
        <v>2.364367596899225E-2</v>
      </c>
      <c r="AA79" s="1">
        <f t="shared" si="40"/>
        <v>2.7689323843014035E-2</v>
      </c>
      <c r="AD79" s="1">
        <f t="shared" si="41"/>
        <v>0</v>
      </c>
    </row>
    <row r="80" spans="1:30" ht="15">
      <c r="A80" s="1">
        <v>79</v>
      </c>
      <c r="B80" s="1">
        <f t="shared" ref="B80:B143" si="44">IF(U80="charge",Q80,0)</f>
        <v>0</v>
      </c>
      <c r="C80" s="1">
        <f t="shared" si="37"/>
        <v>-0.65627906976744199</v>
      </c>
      <c r="D80" s="1">
        <f t="shared" si="42"/>
        <v>3.3601978294573658</v>
      </c>
      <c r="E80">
        <v>59.27</v>
      </c>
      <c r="K80" s="1">
        <f>'Solar Availability and Gener GR'!F80</f>
        <v>0</v>
      </c>
      <c r="L80" s="1">
        <v>0.65627906976744199</v>
      </c>
      <c r="M80" s="1">
        <f t="shared" si="38"/>
        <v>-0.65627906976744199</v>
      </c>
      <c r="N80" s="1" t="str">
        <f t="shared" si="39"/>
        <v>Buy from Grid</v>
      </c>
      <c r="V80" s="1" t="str">
        <f t="shared" si="43"/>
        <v>discharge</v>
      </c>
      <c r="Y80" s="1">
        <f t="shared" si="36"/>
        <v>3.8897660465116286E-2</v>
      </c>
      <c r="AA80" s="1">
        <f t="shared" si="40"/>
        <v>-0.62858974592442796</v>
      </c>
      <c r="AD80" s="1">
        <f t="shared" si="41"/>
        <v>0</v>
      </c>
    </row>
    <row r="81" spans="1:30" ht="15">
      <c r="A81" s="1">
        <v>80</v>
      </c>
      <c r="B81" s="1">
        <f t="shared" si="44"/>
        <v>0</v>
      </c>
      <c r="C81" s="1">
        <f t="shared" si="37"/>
        <v>-0.52667906976744194</v>
      </c>
      <c r="D81" s="1">
        <f t="shared" si="42"/>
        <v>2.7018489922480633</v>
      </c>
      <c r="E81">
        <v>59.27</v>
      </c>
      <c r="K81" s="1">
        <f>'Solar Availability and Gener GR'!F81</f>
        <v>0.12959999999999999</v>
      </c>
      <c r="L81" s="1">
        <v>0.65627906976744199</v>
      </c>
      <c r="M81" s="1">
        <f t="shared" si="38"/>
        <v>-0.52667906976744194</v>
      </c>
      <c r="N81" s="1" t="str">
        <f t="shared" si="39"/>
        <v>Buy from Grid</v>
      </c>
      <c r="V81" s="1" t="str">
        <f t="shared" si="43"/>
        <v>discharge</v>
      </c>
      <c r="Y81" s="1">
        <f t="shared" si="36"/>
        <v>3.8897660465116286E-2</v>
      </c>
      <c r="AA81" s="1">
        <f t="shared" si="40"/>
        <v>-1.15526881569187</v>
      </c>
      <c r="AD81" s="1">
        <f t="shared" si="41"/>
        <v>0</v>
      </c>
    </row>
    <row r="82" spans="1:30" ht="15">
      <c r="A82" s="1">
        <v>81</v>
      </c>
      <c r="B82" s="1">
        <f t="shared" si="44"/>
        <v>0</v>
      </c>
      <c r="C82" s="1">
        <f t="shared" si="37"/>
        <v>-0.10547906976744204</v>
      </c>
      <c r="D82" s="1">
        <f t="shared" si="42"/>
        <v>2.5700001550387608</v>
      </c>
      <c r="E82">
        <v>59.27</v>
      </c>
      <c r="K82" s="1">
        <f>'Solar Availability and Gener GR'!F82</f>
        <v>0.55079999999999996</v>
      </c>
      <c r="L82" s="1">
        <v>0.65627906976744199</v>
      </c>
      <c r="M82" s="1">
        <f t="shared" si="38"/>
        <v>-0.10547906976744204</v>
      </c>
      <c r="N82" s="1" t="str">
        <f t="shared" si="39"/>
        <v>Buy from Grid</v>
      </c>
      <c r="V82" s="1" t="str">
        <f t="shared" si="43"/>
        <v>discharge</v>
      </c>
      <c r="Y82" s="1">
        <f t="shared" si="36"/>
        <v>3.8897660465116286E-2</v>
      </c>
      <c r="AA82" s="1">
        <f t="shared" si="40"/>
        <v>-1.2607478854593119</v>
      </c>
      <c r="AD82" s="1">
        <f t="shared" si="41"/>
        <v>0</v>
      </c>
    </row>
    <row r="83" spans="1:30" ht="15">
      <c r="A83" s="1">
        <v>82</v>
      </c>
      <c r="B83" s="1">
        <f t="shared" si="44"/>
        <v>0</v>
      </c>
      <c r="C83" s="1">
        <f t="shared" si="37"/>
        <v>0.67028527131782933</v>
      </c>
      <c r="D83" s="1">
        <f t="shared" si="42"/>
        <v>3.4078567441860477</v>
      </c>
      <c r="E83">
        <v>59.27</v>
      </c>
      <c r="K83" s="1">
        <f>'Solar Availability and Gener GR'!F83</f>
        <v>1.0691999999999999</v>
      </c>
      <c r="L83" s="1">
        <v>0.39891472868217059</v>
      </c>
      <c r="M83" s="1">
        <f t="shared" si="38"/>
        <v>0.67028527131782933</v>
      </c>
      <c r="N83" s="1" t="str">
        <f t="shared" si="39"/>
        <v>sell the surplus or charge</v>
      </c>
      <c r="O83" s="1">
        <v>0.25</v>
      </c>
      <c r="P83" s="1">
        <f t="shared" ref="P83:P92" si="45">0.25/L83</f>
        <v>0.62670034978624167</v>
      </c>
      <c r="Q83" s="1">
        <f t="shared" ref="Q83:Q92" si="46">K83-P83*L83</f>
        <v>0.81919999999999993</v>
      </c>
      <c r="R83" s="1">
        <f t="shared" ref="R83:R92" si="47">((1/(E83+0.01))*LN(0.25))+(E83*(K83-0.25))</f>
        <v>48.530598467592448</v>
      </c>
      <c r="S83" s="1">
        <f t="shared" ref="S83:S92" si="48">((1/(E83+0.01))*LN(L83))+(E83*(K83-L83))</f>
        <v>39.712305203789327</v>
      </c>
      <c r="T83" s="1">
        <f t="shared" ref="T83:T92" si="49">(S83+((S83^2)-4*(K83-L83*P83)*LN(L83*P83))^(0.5))/(2*(K83-L83*P83))</f>
        <v>48.511818395050177</v>
      </c>
      <c r="U83" s="1" t="str">
        <f t="shared" ref="U83:U92" si="50">IF(E83&gt;=T83*1.2,"sell to the Grid","charge")</f>
        <v>sell to the Grid</v>
      </c>
      <c r="W83" s="1">
        <f>(Q83*E83)/1000</f>
        <v>4.8553984000000001E-2</v>
      </c>
      <c r="Y83" s="1">
        <f t="shared" si="36"/>
        <v>2.364367596899225E-2</v>
      </c>
      <c r="AA83" s="1">
        <f t="shared" si="40"/>
        <v>-0.5904626141414826</v>
      </c>
      <c r="AD83" s="1">
        <f t="shared" si="41"/>
        <v>0.25</v>
      </c>
    </row>
    <row r="84" spans="1:30" ht="15">
      <c r="A84" s="1">
        <v>83</v>
      </c>
      <c r="B84" s="1">
        <f t="shared" si="44"/>
        <v>1.64</v>
      </c>
      <c r="C84" s="1">
        <f t="shared" si="37"/>
        <v>0</v>
      </c>
      <c r="D84" s="1">
        <f t="shared" si="42"/>
        <v>4.7198567441860479</v>
      </c>
      <c r="E84">
        <v>59.27</v>
      </c>
      <c r="K84" s="1">
        <f>'Solar Availability and Gener GR'!F84</f>
        <v>1.89</v>
      </c>
      <c r="L84" s="1">
        <v>0.39891472868217059</v>
      </c>
      <c r="M84" s="1">
        <f t="shared" si="38"/>
        <v>1.4910852713178293</v>
      </c>
      <c r="N84" s="1" t="str">
        <f t="shared" si="39"/>
        <v>sell the surplus or charge</v>
      </c>
      <c r="O84" s="1">
        <v>0.25</v>
      </c>
      <c r="P84" s="1">
        <f t="shared" si="45"/>
        <v>0.62670034978624167</v>
      </c>
      <c r="Q84" s="1">
        <f t="shared" si="46"/>
        <v>1.64</v>
      </c>
      <c r="R84" s="1">
        <f t="shared" si="47"/>
        <v>97.179414467592437</v>
      </c>
      <c r="S84" s="1">
        <f t="shared" si="48"/>
        <v>88.361121203789324</v>
      </c>
      <c r="T84" s="1">
        <f t="shared" si="49"/>
        <v>53.894416838519177</v>
      </c>
      <c r="U84" s="1" t="str">
        <f t="shared" si="50"/>
        <v>charge</v>
      </c>
      <c r="Y84" s="1">
        <f t="shared" si="36"/>
        <v>2.364367596899225E-2</v>
      </c>
      <c r="AA84" s="1">
        <f t="shared" si="40"/>
        <v>0.90062265717634671</v>
      </c>
      <c r="AD84" s="1">
        <f t="shared" si="41"/>
        <v>0.25</v>
      </c>
    </row>
    <row r="85" spans="1:30" ht="15">
      <c r="A85" s="1">
        <v>84</v>
      </c>
      <c r="B85" s="1">
        <f t="shared" si="44"/>
        <v>2.1764000000000001</v>
      </c>
      <c r="C85" s="1">
        <f t="shared" si="37"/>
        <v>0</v>
      </c>
      <c r="D85" s="1">
        <f t="shared" si="42"/>
        <v>6.4609767441860484</v>
      </c>
      <c r="E85">
        <v>59.27</v>
      </c>
      <c r="K85" s="1">
        <f>'Solar Availability and Gener GR'!F85</f>
        <v>2.4264000000000001</v>
      </c>
      <c r="L85" s="1">
        <v>0.39891472868217059</v>
      </c>
      <c r="M85" s="1">
        <f t="shared" si="38"/>
        <v>2.0274852713178295</v>
      </c>
      <c r="N85" s="1" t="str">
        <f t="shared" si="39"/>
        <v>sell the surplus or charge</v>
      </c>
      <c r="O85" s="1">
        <v>0.25</v>
      </c>
      <c r="P85" s="1">
        <f t="shared" si="45"/>
        <v>0.62670034978624167</v>
      </c>
      <c r="Q85" s="1">
        <f t="shared" si="46"/>
        <v>2.1764000000000001</v>
      </c>
      <c r="R85" s="1">
        <f t="shared" si="47"/>
        <v>128.97184246759247</v>
      </c>
      <c r="S85" s="1">
        <f t="shared" si="48"/>
        <v>120.15354920378934</v>
      </c>
      <c r="T85" s="1">
        <f t="shared" si="49"/>
        <v>55.219010561441728</v>
      </c>
      <c r="U85" s="1" t="str">
        <f t="shared" si="50"/>
        <v>charge</v>
      </c>
      <c r="Y85" s="1">
        <f t="shared" si="36"/>
        <v>2.364367596899225E-2</v>
      </c>
      <c r="AA85" s="1">
        <f t="shared" si="40"/>
        <v>2.9281079284941764</v>
      </c>
      <c r="AD85" s="1">
        <f t="shared" si="41"/>
        <v>0.25</v>
      </c>
    </row>
    <row r="86" spans="1:30" ht="15">
      <c r="A86" s="1">
        <v>85</v>
      </c>
      <c r="B86" s="1">
        <f t="shared" si="44"/>
        <v>2.4247999999999998</v>
      </c>
      <c r="C86" s="1">
        <f t="shared" si="37"/>
        <v>0</v>
      </c>
      <c r="D86" s="1">
        <f t="shared" si="42"/>
        <v>8.4008167441860486</v>
      </c>
      <c r="E86">
        <v>59.27</v>
      </c>
      <c r="K86" s="1">
        <f>'Solar Availability and Gener GR'!F86</f>
        <v>2.6747999999999998</v>
      </c>
      <c r="L86" s="1">
        <v>0.39891472868217059</v>
      </c>
      <c r="M86" s="1">
        <f t="shared" si="38"/>
        <v>2.2758852713178293</v>
      </c>
      <c r="N86" s="1" t="str">
        <f t="shared" si="39"/>
        <v>sell the surplus or charge</v>
      </c>
      <c r="O86" s="1">
        <v>0.25</v>
      </c>
      <c r="P86" s="1">
        <f t="shared" si="45"/>
        <v>0.62670034978624167</v>
      </c>
      <c r="Q86" s="1">
        <f t="shared" si="46"/>
        <v>2.4247999999999998</v>
      </c>
      <c r="R86" s="1">
        <f t="shared" si="47"/>
        <v>143.69451046759244</v>
      </c>
      <c r="S86" s="1">
        <f t="shared" si="48"/>
        <v>134.87621720378931</v>
      </c>
      <c r="T86" s="1">
        <f t="shared" si="49"/>
        <v>55.633922530769702</v>
      </c>
      <c r="U86" s="1" t="str">
        <f t="shared" si="50"/>
        <v>charge</v>
      </c>
      <c r="Y86" s="1">
        <f t="shared" si="36"/>
        <v>2.364367596899225E-2</v>
      </c>
      <c r="AA86" s="1">
        <f t="shared" si="40"/>
        <v>5.2039931998120057</v>
      </c>
      <c r="AD86" s="1">
        <f t="shared" si="41"/>
        <v>0.25</v>
      </c>
    </row>
    <row r="87" spans="1:30" ht="15">
      <c r="A87" s="1">
        <v>86</v>
      </c>
      <c r="B87" s="1">
        <f t="shared" si="44"/>
        <v>2.54</v>
      </c>
      <c r="C87" s="1">
        <f t="shared" si="37"/>
        <v>0</v>
      </c>
      <c r="D87" s="1">
        <f t="shared" si="42"/>
        <v>10.432816744186049</v>
      </c>
      <c r="E87">
        <v>59.27</v>
      </c>
      <c r="K87" s="1">
        <f>'Solar Availability and Gener GR'!F87</f>
        <v>2.79</v>
      </c>
      <c r="L87" s="1">
        <v>0.39891472868217059</v>
      </c>
      <c r="M87" s="1">
        <f t="shared" si="38"/>
        <v>2.3910852713178294</v>
      </c>
      <c r="N87" s="1" t="str">
        <f t="shared" si="39"/>
        <v>sell the surplus or charge</v>
      </c>
      <c r="O87" s="1">
        <v>0.25</v>
      </c>
      <c r="P87" s="1">
        <f t="shared" si="45"/>
        <v>0.62670034978624167</v>
      </c>
      <c r="Q87" s="1">
        <f t="shared" si="46"/>
        <v>2.54</v>
      </c>
      <c r="R87" s="1">
        <f t="shared" si="47"/>
        <v>150.52241446759245</v>
      </c>
      <c r="S87" s="1">
        <f t="shared" si="48"/>
        <v>141.70412120378933</v>
      </c>
      <c r="T87" s="1">
        <f t="shared" si="49"/>
        <v>55.798805401827245</v>
      </c>
      <c r="U87" s="1" t="str">
        <f t="shared" si="50"/>
        <v>charge</v>
      </c>
      <c r="Y87" s="1">
        <f t="shared" si="36"/>
        <v>2.364367596899225E-2</v>
      </c>
      <c r="AA87" s="1">
        <f t="shared" si="40"/>
        <v>7.5950784711298347</v>
      </c>
      <c r="AD87" s="1">
        <f t="shared" si="41"/>
        <v>0.25</v>
      </c>
    </row>
    <row r="88" spans="1:30" ht="15">
      <c r="A88" s="1">
        <v>87</v>
      </c>
      <c r="B88" s="1">
        <f t="shared" si="44"/>
        <v>2.3852000000000002</v>
      </c>
      <c r="C88" s="1">
        <f t="shared" si="37"/>
        <v>0</v>
      </c>
      <c r="D88" s="1">
        <f t="shared" si="42"/>
        <v>12.340976744186049</v>
      </c>
      <c r="E88">
        <v>59.27</v>
      </c>
      <c r="K88" s="1">
        <f>'Solar Availability and Gener GR'!F88</f>
        <v>2.6352000000000002</v>
      </c>
      <c r="L88" s="1">
        <v>0.39891472868217059</v>
      </c>
      <c r="M88" s="1">
        <f t="shared" si="38"/>
        <v>2.2362852713178296</v>
      </c>
      <c r="N88" s="1" t="str">
        <f t="shared" si="39"/>
        <v>sell the surplus or charge</v>
      </c>
      <c r="O88" s="1">
        <v>0.25</v>
      </c>
      <c r="P88" s="1">
        <f t="shared" si="45"/>
        <v>0.62670034978624167</v>
      </c>
      <c r="Q88" s="1">
        <f t="shared" si="46"/>
        <v>2.3852000000000002</v>
      </c>
      <c r="R88" s="1">
        <f t="shared" si="47"/>
        <v>141.34741846759246</v>
      </c>
      <c r="S88" s="1">
        <f t="shared" si="48"/>
        <v>132.52912520378933</v>
      </c>
      <c r="T88" s="1">
        <f t="shared" si="49"/>
        <v>55.573566332048543</v>
      </c>
      <c r="U88" s="1" t="str">
        <f t="shared" si="50"/>
        <v>charge</v>
      </c>
      <c r="Y88" s="1">
        <f t="shared" si="36"/>
        <v>2.364367596899225E-2</v>
      </c>
      <c r="AA88" s="1">
        <f t="shared" si="40"/>
        <v>9.8313637424476639</v>
      </c>
      <c r="AD88" s="1">
        <f t="shared" si="41"/>
        <v>0.25</v>
      </c>
    </row>
    <row r="89" spans="1:30" ht="15">
      <c r="A89" s="1">
        <v>88</v>
      </c>
      <c r="B89" s="1">
        <f t="shared" si="44"/>
        <v>0</v>
      </c>
      <c r="C89" s="1">
        <f t="shared" si="37"/>
        <v>0</v>
      </c>
      <c r="D89" s="1">
        <f t="shared" si="42"/>
        <v>12.340976744186049</v>
      </c>
      <c r="E89">
        <v>59.27</v>
      </c>
      <c r="K89" s="1">
        <f>'Solar Availability and Gener GR'!F89</f>
        <v>2.3508</v>
      </c>
      <c r="L89" s="1">
        <v>0.66914728682170543</v>
      </c>
      <c r="M89" s="1">
        <f t="shared" si="38"/>
        <v>1.6816527131782946</v>
      </c>
      <c r="N89" s="1" t="str">
        <f t="shared" si="39"/>
        <v>sell the surplus or charge</v>
      </c>
      <c r="O89" s="1">
        <v>0.25</v>
      </c>
      <c r="P89" s="1">
        <f t="shared" si="45"/>
        <v>0.3736098239110287</v>
      </c>
      <c r="Q89" s="1">
        <f t="shared" si="46"/>
        <v>2.1008</v>
      </c>
      <c r="R89" s="1">
        <f t="shared" si="47"/>
        <v>124.49103046759245</v>
      </c>
      <c r="S89" s="1">
        <f t="shared" si="48"/>
        <v>99.664779132557072</v>
      </c>
      <c r="T89" s="1">
        <f t="shared" si="49"/>
        <v>47.455251236503614</v>
      </c>
      <c r="U89" s="1" t="str">
        <f t="shared" si="50"/>
        <v>sell to the Grid</v>
      </c>
      <c r="W89" s="1">
        <f>(Q89*E89)/1000</f>
        <v>0.12451441600000002</v>
      </c>
      <c r="Y89" s="1">
        <f t="shared" si="36"/>
        <v>3.9660359689922479E-2</v>
      </c>
      <c r="AA89" s="1">
        <f t="shared" si="40"/>
        <v>11.513016455625959</v>
      </c>
      <c r="AD89" s="1">
        <f t="shared" si="41"/>
        <v>0.25</v>
      </c>
    </row>
    <row r="90" spans="1:30" ht="15">
      <c r="A90" s="1">
        <v>89</v>
      </c>
      <c r="B90" s="1">
        <f t="shared" si="44"/>
        <v>0</v>
      </c>
      <c r="C90" s="1">
        <f t="shared" si="37"/>
        <v>0</v>
      </c>
      <c r="D90" s="1">
        <f t="shared" si="42"/>
        <v>12.340976744186049</v>
      </c>
      <c r="E90">
        <v>59.27</v>
      </c>
      <c r="K90" s="1">
        <f>'Solar Availability and Gener GR'!F90</f>
        <v>1.9260000000000002</v>
      </c>
      <c r="L90" s="1">
        <v>0.66914728682170543</v>
      </c>
      <c r="M90" s="1">
        <f t="shared" si="38"/>
        <v>1.2568527131782947</v>
      </c>
      <c r="N90" s="1" t="str">
        <f t="shared" si="39"/>
        <v>sell the surplus or charge</v>
      </c>
      <c r="O90" s="1">
        <v>0.25</v>
      </c>
      <c r="P90" s="1">
        <f t="shared" si="45"/>
        <v>0.3736098239110287</v>
      </c>
      <c r="Q90" s="1">
        <f t="shared" si="46"/>
        <v>1.6760000000000002</v>
      </c>
      <c r="R90" s="1">
        <f t="shared" si="47"/>
        <v>99.313134467592462</v>
      </c>
      <c r="S90" s="1">
        <f t="shared" si="48"/>
        <v>74.486883132557082</v>
      </c>
      <c r="T90" s="1">
        <f t="shared" si="49"/>
        <v>44.461851160042578</v>
      </c>
      <c r="U90" s="1" t="str">
        <f t="shared" si="50"/>
        <v>sell to the Grid</v>
      </c>
      <c r="W90" s="1">
        <f>(Q90*E90)/1000</f>
        <v>9.9336520000000025E-2</v>
      </c>
      <c r="Y90" s="1">
        <f t="shared" si="36"/>
        <v>3.9660359689922479E-2</v>
      </c>
      <c r="AA90" s="1">
        <f t="shared" si="40"/>
        <v>12.769869168804254</v>
      </c>
      <c r="AD90" s="1">
        <f t="shared" si="41"/>
        <v>0.25</v>
      </c>
    </row>
    <row r="91" spans="1:30" ht="15">
      <c r="A91" s="1">
        <v>90</v>
      </c>
      <c r="B91" s="1">
        <f t="shared" si="44"/>
        <v>1.0639999999999998</v>
      </c>
      <c r="C91" s="1">
        <f t="shared" si="37"/>
        <v>0</v>
      </c>
      <c r="D91" s="1">
        <f t="shared" si="42"/>
        <v>13.19217674418605</v>
      </c>
      <c r="E91">
        <v>59.27</v>
      </c>
      <c r="K91" s="1">
        <f>'Solar Availability and Gener GR'!F91</f>
        <v>1.3139999999999998</v>
      </c>
      <c r="L91" s="1">
        <v>0.39891472868217059</v>
      </c>
      <c r="M91" s="1">
        <f t="shared" si="38"/>
        <v>0.91508527131782924</v>
      </c>
      <c r="N91" s="1" t="str">
        <f t="shared" si="39"/>
        <v>sell the surplus or charge</v>
      </c>
      <c r="O91" s="1">
        <v>0.25</v>
      </c>
      <c r="P91" s="1">
        <f t="shared" si="45"/>
        <v>0.62670034978624167</v>
      </c>
      <c r="Q91" s="1">
        <f t="shared" si="46"/>
        <v>1.0639999999999998</v>
      </c>
      <c r="R91" s="1">
        <f t="shared" si="47"/>
        <v>63.03989446759244</v>
      </c>
      <c r="S91" s="1">
        <f t="shared" si="48"/>
        <v>54.221601203789319</v>
      </c>
      <c r="T91" s="1">
        <f t="shared" si="49"/>
        <v>50.985705889895179</v>
      </c>
      <c r="U91" s="1" t="str">
        <f t="shared" si="50"/>
        <v>charge</v>
      </c>
      <c r="Y91" s="1">
        <f t="shared" si="36"/>
        <v>2.364367596899225E-2</v>
      </c>
      <c r="AA91" s="1">
        <f t="shared" si="40"/>
        <v>13.684954440122084</v>
      </c>
      <c r="AD91" s="1">
        <f t="shared" si="41"/>
        <v>0.25</v>
      </c>
    </row>
    <row r="92" spans="1:30" ht="15">
      <c r="A92" s="1">
        <v>91</v>
      </c>
      <c r="B92" s="1">
        <f t="shared" si="44"/>
        <v>0</v>
      </c>
      <c r="C92" s="1">
        <f t="shared" si="37"/>
        <v>0</v>
      </c>
      <c r="D92" s="1">
        <f t="shared" si="42"/>
        <v>13.19217674418605</v>
      </c>
      <c r="E92">
        <v>59.27</v>
      </c>
      <c r="K92" s="1">
        <f>'Solar Availability and Gener GR'!F92</f>
        <v>0.67320000000000002</v>
      </c>
      <c r="L92" s="1">
        <v>0.39891472868217059</v>
      </c>
      <c r="M92" s="1">
        <f t="shared" si="38"/>
        <v>0.27428527131782943</v>
      </c>
      <c r="N92" s="1" t="str">
        <f t="shared" si="39"/>
        <v>sell the surplus or charge</v>
      </c>
      <c r="O92" s="1">
        <v>0.25</v>
      </c>
      <c r="P92" s="1">
        <f t="shared" si="45"/>
        <v>0.62670034978624167</v>
      </c>
      <c r="Q92" s="1">
        <f t="shared" si="46"/>
        <v>0.42320000000000002</v>
      </c>
      <c r="R92" s="1">
        <f t="shared" si="47"/>
        <v>25.059678467592448</v>
      </c>
      <c r="S92" s="1">
        <f t="shared" si="48"/>
        <v>16.241385203789328</v>
      </c>
      <c r="T92" s="1">
        <f t="shared" si="49"/>
        <v>38.462730953891267</v>
      </c>
      <c r="U92" s="1" t="str">
        <f t="shared" si="50"/>
        <v>sell to the Grid</v>
      </c>
      <c r="W92" s="1">
        <f>(Q92*E92)/1000</f>
        <v>2.5083064000000002E-2</v>
      </c>
      <c r="Y92" s="1">
        <f t="shared" si="36"/>
        <v>2.364367596899225E-2</v>
      </c>
      <c r="AA92" s="1">
        <f t="shared" si="40"/>
        <v>13.959239711439913</v>
      </c>
      <c r="AD92" s="1">
        <f t="shared" si="41"/>
        <v>0.25</v>
      </c>
    </row>
    <row r="93" spans="1:30" ht="15">
      <c r="A93" s="1">
        <v>92</v>
      </c>
      <c r="B93" s="1">
        <f t="shared" si="44"/>
        <v>0</v>
      </c>
      <c r="C93" s="1">
        <f t="shared" si="37"/>
        <v>0</v>
      </c>
      <c r="D93" s="1">
        <f t="shared" si="42"/>
        <v>13.19217674418605</v>
      </c>
      <c r="E93">
        <v>59.27</v>
      </c>
      <c r="K93" s="1">
        <f>'Solar Availability and Gener GR'!F93</f>
        <v>0.14399999999999999</v>
      </c>
      <c r="L93" s="1">
        <v>0.65627906976744199</v>
      </c>
      <c r="M93" s="1">
        <f t="shared" si="38"/>
        <v>-0.51227906976744197</v>
      </c>
      <c r="N93" s="1" t="str">
        <f t="shared" si="39"/>
        <v>Buy from Grid</v>
      </c>
      <c r="V93" s="1" t="str">
        <f t="shared" ref="V93:V105" si="51">IF(D93+M93&gt;0,"discharge","buy from the Grid")</f>
        <v>discharge</v>
      </c>
      <c r="Y93" s="1">
        <f t="shared" si="36"/>
        <v>3.8897660465116286E-2</v>
      </c>
      <c r="AA93" s="1">
        <f t="shared" si="40"/>
        <v>13.446960641672472</v>
      </c>
      <c r="AD93" s="1">
        <f t="shared" si="41"/>
        <v>0</v>
      </c>
    </row>
    <row r="94" spans="1:30" ht="15">
      <c r="A94" s="1">
        <v>93</v>
      </c>
      <c r="B94" s="1">
        <f t="shared" si="44"/>
        <v>0</v>
      </c>
      <c r="C94" s="1">
        <f t="shared" si="37"/>
        <v>-0.65505506976744199</v>
      </c>
      <c r="D94" s="1">
        <f t="shared" si="42"/>
        <v>12.373357906976747</v>
      </c>
      <c r="E94">
        <v>59.27</v>
      </c>
      <c r="K94" s="1">
        <f>'Solar Availability and Gener GR'!F94</f>
        <v>1.224E-3</v>
      </c>
      <c r="L94" s="1">
        <v>0.65627906976744199</v>
      </c>
      <c r="M94" s="1">
        <f t="shared" si="38"/>
        <v>-0.65505506976744199</v>
      </c>
      <c r="N94" s="1" t="str">
        <f t="shared" si="39"/>
        <v>Buy from Grid</v>
      </c>
      <c r="V94" s="1" t="str">
        <f t="shared" si="51"/>
        <v>discharge</v>
      </c>
      <c r="Y94" s="1">
        <f t="shared" si="36"/>
        <v>3.8897660465116286E-2</v>
      </c>
      <c r="AA94" s="1">
        <f t="shared" si="40"/>
        <v>12.79190557190503</v>
      </c>
      <c r="AD94" s="1">
        <f t="shared" si="41"/>
        <v>0</v>
      </c>
    </row>
    <row r="95" spans="1:30" ht="15">
      <c r="A95" s="1">
        <v>94</v>
      </c>
      <c r="B95" s="1">
        <f t="shared" si="44"/>
        <v>0</v>
      </c>
      <c r="C95" s="1">
        <f t="shared" si="37"/>
        <v>-0.39891472868217059</v>
      </c>
      <c r="D95" s="1">
        <f t="shared" si="42"/>
        <v>11.874714496124033</v>
      </c>
      <c r="E95">
        <v>59.27</v>
      </c>
      <c r="K95" s="1">
        <f>'Solar Availability and Gener GR'!F95</f>
        <v>0</v>
      </c>
      <c r="L95" s="1">
        <v>0.39891472868217059</v>
      </c>
      <c r="M95" s="1">
        <f t="shared" si="38"/>
        <v>-0.39891472868217059</v>
      </c>
      <c r="N95" s="1" t="str">
        <f t="shared" si="39"/>
        <v>Buy from Grid</v>
      </c>
      <c r="V95" s="1" t="str">
        <f t="shared" si="51"/>
        <v>discharge</v>
      </c>
      <c r="Y95" s="1">
        <f t="shared" si="36"/>
        <v>2.364367596899225E-2</v>
      </c>
      <c r="AA95" s="1">
        <f t="shared" si="40"/>
        <v>12.39299084322286</v>
      </c>
      <c r="AD95" s="1">
        <f t="shared" si="41"/>
        <v>0</v>
      </c>
    </row>
    <row r="96" spans="1:30" ht="15">
      <c r="A96" s="1">
        <v>95</v>
      </c>
      <c r="B96" s="1">
        <f t="shared" si="44"/>
        <v>0</v>
      </c>
      <c r="C96" s="1">
        <f t="shared" si="37"/>
        <v>-0.39891472868217059</v>
      </c>
      <c r="D96" s="1">
        <f t="shared" si="42"/>
        <v>11.37607108527132</v>
      </c>
      <c r="E96">
        <v>59.27</v>
      </c>
      <c r="K96" s="1">
        <f>'Solar Availability and Gener GR'!F96</f>
        <v>0</v>
      </c>
      <c r="L96" s="1">
        <v>0.39891472868217059</v>
      </c>
      <c r="M96" s="1">
        <f t="shared" si="38"/>
        <v>-0.39891472868217059</v>
      </c>
      <c r="N96" s="1" t="str">
        <f t="shared" si="39"/>
        <v>Buy from Grid</v>
      </c>
      <c r="V96" s="1" t="str">
        <f t="shared" si="51"/>
        <v>discharge</v>
      </c>
      <c r="Y96" s="1">
        <f t="shared" si="36"/>
        <v>2.364367596899225E-2</v>
      </c>
      <c r="AA96" s="1">
        <f t="shared" si="40"/>
        <v>11.99407611454069</v>
      </c>
      <c r="AD96" s="1">
        <f t="shared" si="41"/>
        <v>0</v>
      </c>
    </row>
    <row r="97" spans="1:30" ht="15">
      <c r="A97" s="1">
        <v>96</v>
      </c>
      <c r="B97" s="1">
        <f t="shared" si="44"/>
        <v>0</v>
      </c>
      <c r="C97" s="1">
        <f t="shared" si="37"/>
        <v>-0.39891472868217059</v>
      </c>
      <c r="D97" s="1">
        <f t="shared" si="42"/>
        <v>10.877427674418607</v>
      </c>
      <c r="E97">
        <v>59.27</v>
      </c>
      <c r="K97" s="1">
        <f>'Solar Availability and Gener GR'!F97</f>
        <v>0</v>
      </c>
      <c r="L97" s="1">
        <v>0.39891472868217059</v>
      </c>
      <c r="M97" s="1">
        <f t="shared" si="38"/>
        <v>-0.39891472868217059</v>
      </c>
      <c r="N97" s="1" t="str">
        <f t="shared" si="39"/>
        <v>Buy from Grid</v>
      </c>
      <c r="V97" s="1" t="str">
        <f t="shared" si="51"/>
        <v>discharge</v>
      </c>
      <c r="Y97" s="1">
        <f t="shared" si="36"/>
        <v>2.364367596899225E-2</v>
      </c>
      <c r="AA97" s="1">
        <f t="shared" si="40"/>
        <v>11.595161385858519</v>
      </c>
      <c r="AD97" s="1">
        <f t="shared" si="41"/>
        <v>0</v>
      </c>
    </row>
    <row r="98" spans="1:30" ht="15">
      <c r="A98" s="1">
        <v>97</v>
      </c>
      <c r="B98" s="1">
        <f t="shared" si="44"/>
        <v>0</v>
      </c>
      <c r="C98" s="1">
        <f t="shared" si="37"/>
        <v>-0.30883720930232561</v>
      </c>
      <c r="D98" s="1">
        <f t="shared" si="42"/>
        <v>10.491381162790701</v>
      </c>
      <c r="E98">
        <v>59.27</v>
      </c>
      <c r="K98" s="1">
        <f>'Solar Availability and Gener GR'!F98</f>
        <v>0</v>
      </c>
      <c r="L98" s="1">
        <v>0.30883720930232561</v>
      </c>
      <c r="M98" s="1">
        <f t="shared" si="38"/>
        <v>-0.30883720930232561</v>
      </c>
      <c r="N98" s="1" t="str">
        <f t="shared" si="39"/>
        <v>Buy from Grid</v>
      </c>
      <c r="V98" s="1" t="str">
        <f t="shared" si="51"/>
        <v>discharge</v>
      </c>
      <c r="Y98" s="1">
        <f t="shared" si="36"/>
        <v>1.830478139534884E-2</v>
      </c>
      <c r="AA98" s="1">
        <f t="shared" si="40"/>
        <v>11.286324176556194</v>
      </c>
      <c r="AD98" s="1">
        <f t="shared" si="41"/>
        <v>0</v>
      </c>
    </row>
    <row r="99" spans="1:30" ht="15">
      <c r="A99" s="1">
        <v>98</v>
      </c>
      <c r="B99" s="1">
        <f t="shared" si="44"/>
        <v>0</v>
      </c>
      <c r="C99" s="1">
        <f t="shared" si="37"/>
        <v>-0.29596899224806206</v>
      </c>
      <c r="D99" s="1">
        <f t="shared" si="42"/>
        <v>10.121419922480623</v>
      </c>
      <c r="E99">
        <v>59.27</v>
      </c>
      <c r="K99" s="1">
        <f>'Solar Availability and Gener GR'!F99</f>
        <v>0</v>
      </c>
      <c r="L99" s="1">
        <v>0.29596899224806206</v>
      </c>
      <c r="M99" s="1">
        <f t="shared" si="38"/>
        <v>-0.29596899224806206</v>
      </c>
      <c r="N99" s="1" t="str">
        <f t="shared" si="39"/>
        <v>Buy from Grid</v>
      </c>
      <c r="V99" s="1" t="str">
        <f t="shared" si="51"/>
        <v>discharge</v>
      </c>
      <c r="Y99" s="1">
        <f t="shared" si="36"/>
        <v>1.754208217054264E-2</v>
      </c>
      <c r="AA99" s="1">
        <f t="shared" si="40"/>
        <v>10.990355184308132</v>
      </c>
      <c r="AD99" s="1">
        <f t="shared" si="41"/>
        <v>0</v>
      </c>
    </row>
    <row r="100" spans="1:30" ht="15">
      <c r="A100" s="1">
        <v>99</v>
      </c>
      <c r="B100" s="1">
        <f t="shared" si="44"/>
        <v>0</v>
      </c>
      <c r="C100" s="1">
        <f t="shared" si="37"/>
        <v>-0.29596899224806206</v>
      </c>
      <c r="D100" s="1">
        <f t="shared" si="42"/>
        <v>9.7514586821705453</v>
      </c>
      <c r="E100">
        <v>59.27</v>
      </c>
      <c r="K100" s="1">
        <f>'Solar Availability and Gener GR'!F100</f>
        <v>0</v>
      </c>
      <c r="L100" s="1">
        <v>0.29596899224806206</v>
      </c>
      <c r="M100" s="1">
        <f t="shared" si="38"/>
        <v>-0.29596899224806206</v>
      </c>
      <c r="N100" s="1" t="str">
        <f t="shared" si="39"/>
        <v>Buy from Grid</v>
      </c>
      <c r="V100" s="1" t="str">
        <f t="shared" si="51"/>
        <v>discharge</v>
      </c>
      <c r="Y100" s="1">
        <f t="shared" si="36"/>
        <v>1.754208217054264E-2</v>
      </c>
      <c r="AA100" s="1">
        <f t="shared" si="40"/>
        <v>10.694386192060071</v>
      </c>
      <c r="AD100" s="1">
        <f t="shared" si="41"/>
        <v>0</v>
      </c>
    </row>
    <row r="101" spans="1:30" ht="15">
      <c r="A101" s="1">
        <v>100</v>
      </c>
      <c r="B101" s="1">
        <f t="shared" si="44"/>
        <v>0</v>
      </c>
      <c r="C101" s="1">
        <f t="shared" si="37"/>
        <v>-0.29596899224806206</v>
      </c>
      <c r="D101" s="1">
        <f t="shared" si="42"/>
        <v>9.3814974418604677</v>
      </c>
      <c r="E101">
        <v>59.27</v>
      </c>
      <c r="K101" s="1">
        <f>'Solar Availability and Gener GR'!F101</f>
        <v>0</v>
      </c>
      <c r="L101" s="1">
        <v>0.29596899224806206</v>
      </c>
      <c r="M101" s="1">
        <f t="shared" si="38"/>
        <v>-0.29596899224806206</v>
      </c>
      <c r="N101" s="1" t="str">
        <f t="shared" si="39"/>
        <v>Buy from Grid</v>
      </c>
      <c r="V101" s="1" t="str">
        <f t="shared" si="51"/>
        <v>discharge</v>
      </c>
      <c r="Y101" s="1">
        <f t="shared" si="36"/>
        <v>1.754208217054264E-2</v>
      </c>
      <c r="AA101" s="1">
        <f t="shared" si="40"/>
        <v>10.398417199812009</v>
      </c>
      <c r="AD101" s="1">
        <f t="shared" si="41"/>
        <v>0</v>
      </c>
    </row>
    <row r="102" spans="1:30" ht="15">
      <c r="A102" s="1">
        <v>101</v>
      </c>
      <c r="B102" s="1">
        <f t="shared" si="44"/>
        <v>0</v>
      </c>
      <c r="C102" s="1">
        <f t="shared" si="37"/>
        <v>-0.29596899224806206</v>
      </c>
      <c r="D102" s="1">
        <f t="shared" si="42"/>
        <v>9.0115362015503901</v>
      </c>
      <c r="E102">
        <v>59.27</v>
      </c>
      <c r="K102" s="1">
        <f>'Solar Availability and Gener GR'!F102</f>
        <v>0</v>
      </c>
      <c r="L102" s="1">
        <v>0.29596899224806206</v>
      </c>
      <c r="M102" s="1">
        <f t="shared" si="38"/>
        <v>-0.29596899224806206</v>
      </c>
      <c r="N102" s="1" t="str">
        <f t="shared" si="39"/>
        <v>Buy from Grid</v>
      </c>
      <c r="V102" s="1" t="str">
        <f t="shared" si="51"/>
        <v>discharge</v>
      </c>
      <c r="Y102" s="1">
        <f t="shared" si="36"/>
        <v>1.754208217054264E-2</v>
      </c>
      <c r="AA102" s="1">
        <f t="shared" si="40"/>
        <v>10.102448207563947</v>
      </c>
      <c r="AD102" s="1">
        <f t="shared" si="41"/>
        <v>0</v>
      </c>
    </row>
    <row r="103" spans="1:30" ht="15">
      <c r="A103" s="1">
        <v>102</v>
      </c>
      <c r="B103" s="1">
        <f t="shared" si="44"/>
        <v>0</v>
      </c>
      <c r="C103" s="1">
        <f t="shared" si="37"/>
        <v>-0.39891472868217059</v>
      </c>
      <c r="D103" s="1">
        <f t="shared" si="42"/>
        <v>8.512892790697677</v>
      </c>
      <c r="E103">
        <v>59.27</v>
      </c>
      <c r="K103" s="1">
        <f>'Solar Availability and Gener GR'!F103</f>
        <v>0</v>
      </c>
      <c r="L103" s="1">
        <v>0.39891472868217059</v>
      </c>
      <c r="M103" s="1">
        <f t="shared" si="38"/>
        <v>-0.39891472868217059</v>
      </c>
      <c r="N103" s="1" t="str">
        <f t="shared" si="39"/>
        <v>Buy from Grid</v>
      </c>
      <c r="V103" s="1" t="str">
        <f t="shared" si="51"/>
        <v>discharge</v>
      </c>
      <c r="Y103" s="1">
        <f t="shared" si="36"/>
        <v>2.364367596899225E-2</v>
      </c>
      <c r="AA103" s="1">
        <f t="shared" si="40"/>
        <v>9.7035334788817771</v>
      </c>
      <c r="AD103" s="1">
        <f t="shared" si="41"/>
        <v>0</v>
      </c>
    </row>
    <row r="104" spans="1:30" ht="15">
      <c r="A104" s="1">
        <v>103</v>
      </c>
      <c r="B104" s="1">
        <f t="shared" si="44"/>
        <v>0</v>
      </c>
      <c r="C104" s="1">
        <f t="shared" si="37"/>
        <v>-0.61514728682170539</v>
      </c>
      <c r="D104" s="1">
        <f t="shared" si="42"/>
        <v>7.7439586821705451</v>
      </c>
      <c r="E104">
        <v>59.27</v>
      </c>
      <c r="K104" s="1">
        <f>'Solar Availability and Gener GR'!F104</f>
        <v>5.3999999999999999E-2</v>
      </c>
      <c r="L104" s="1">
        <v>0.66914728682170543</v>
      </c>
      <c r="M104" s="1">
        <f t="shared" si="38"/>
        <v>-0.61514728682170539</v>
      </c>
      <c r="N104" s="1" t="str">
        <f t="shared" si="39"/>
        <v>Buy from Grid</v>
      </c>
      <c r="V104" s="1" t="str">
        <f t="shared" si="51"/>
        <v>discharge</v>
      </c>
      <c r="Y104" s="1">
        <f t="shared" si="36"/>
        <v>3.9660359689922479E-2</v>
      </c>
      <c r="AA104" s="1">
        <f t="shared" si="40"/>
        <v>9.0883861920600708</v>
      </c>
      <c r="AD104" s="1">
        <f t="shared" si="41"/>
        <v>0</v>
      </c>
    </row>
    <row r="105" spans="1:30" ht="15">
      <c r="A105" s="1">
        <v>104</v>
      </c>
      <c r="B105" s="1">
        <f t="shared" si="44"/>
        <v>0</v>
      </c>
      <c r="C105" s="1">
        <f t="shared" si="37"/>
        <v>-0.33794728682170549</v>
      </c>
      <c r="D105" s="1">
        <f t="shared" si="42"/>
        <v>7.3215245736434129</v>
      </c>
      <c r="E105">
        <v>59.27</v>
      </c>
      <c r="K105" s="1">
        <f>'Solar Availability and Gener GR'!F105</f>
        <v>0.33119999999999994</v>
      </c>
      <c r="L105" s="1">
        <v>0.66914728682170543</v>
      </c>
      <c r="M105" s="1">
        <f t="shared" si="38"/>
        <v>-0.33794728682170549</v>
      </c>
      <c r="N105" s="1" t="str">
        <f t="shared" si="39"/>
        <v>Buy from Grid</v>
      </c>
      <c r="V105" s="1" t="str">
        <f t="shared" si="51"/>
        <v>discharge</v>
      </c>
      <c r="Y105" s="1">
        <f t="shared" si="36"/>
        <v>3.9660359689922479E-2</v>
      </c>
      <c r="AA105" s="1">
        <f t="shared" si="40"/>
        <v>8.7504389052383651</v>
      </c>
      <c r="AD105" s="1">
        <f t="shared" si="41"/>
        <v>0</v>
      </c>
    </row>
    <row r="106" spans="1:30" ht="15">
      <c r="A106" s="1">
        <v>105</v>
      </c>
      <c r="B106" s="1">
        <f t="shared" si="44"/>
        <v>0</v>
      </c>
      <c r="C106" s="1">
        <f t="shared" si="37"/>
        <v>7.2452713178294603E-2</v>
      </c>
      <c r="D106" s="1">
        <f t="shared" si="42"/>
        <v>7.4120904651162816</v>
      </c>
      <c r="E106">
        <v>59.27</v>
      </c>
      <c r="K106" s="1">
        <f>'Solar Availability and Gener GR'!F106</f>
        <v>0.74160000000000004</v>
      </c>
      <c r="L106" s="1">
        <v>0.66914728682170543</v>
      </c>
      <c r="M106" s="1">
        <f t="shared" si="38"/>
        <v>7.2452713178294603E-2</v>
      </c>
      <c r="N106" s="1" t="str">
        <f t="shared" si="39"/>
        <v>sell the surplus or charge</v>
      </c>
      <c r="O106" s="1">
        <v>0.25</v>
      </c>
      <c r="P106" s="1">
        <f t="shared" ref="P106:P116" si="52">0.25/L106</f>
        <v>0.3736098239110287</v>
      </c>
      <c r="Q106" s="1">
        <f t="shared" ref="Q106:Q116" si="53">K106-P106*L106</f>
        <v>0.49160000000000004</v>
      </c>
      <c r="R106" s="1">
        <f t="shared" ref="R106:R116" si="54">((1/(E106+0.01))*LN(0.25))+(E106*(K106-0.25))</f>
        <v>29.113746467592449</v>
      </c>
      <c r="S106" s="1">
        <f t="shared" ref="S106:S116" si="55">((1/(E106+0.01))*LN(L106))+(E106*(K106-L106))</f>
        <v>4.2874951325570798</v>
      </c>
      <c r="T106" s="1">
        <f t="shared" ref="T106:T116" si="56">(S106+((S106^2)-4*(K106-L106*P106)*LN(L106*P106))^(0.5))/(2*(K106-L106*P106))</f>
        <v>9.0336730706039194</v>
      </c>
      <c r="U106" s="1" t="str">
        <f t="shared" ref="U106:U116" si="57">IF(E106&gt;=T106*1.2,"sell to the Grid","charge")</f>
        <v>sell to the Grid</v>
      </c>
      <c r="W106" s="1">
        <f>(Q106*E106)/1000</f>
        <v>2.9137132000000003E-2</v>
      </c>
      <c r="Y106" s="1">
        <f t="shared" si="36"/>
        <v>3.9660359689922479E-2</v>
      </c>
      <c r="AA106" s="1">
        <f t="shared" si="40"/>
        <v>8.8228916184166604</v>
      </c>
      <c r="AD106" s="1">
        <f t="shared" si="41"/>
        <v>0.25</v>
      </c>
    </row>
    <row r="107" spans="1:30" ht="15">
      <c r="A107" s="1">
        <v>106</v>
      </c>
      <c r="B107" s="1">
        <f t="shared" si="44"/>
        <v>1.0676000000000001</v>
      </c>
      <c r="C107" s="1">
        <f t="shared" si="37"/>
        <v>0</v>
      </c>
      <c r="D107" s="1">
        <f t="shared" si="42"/>
        <v>8.2661704651162822</v>
      </c>
      <c r="E107">
        <v>59.27</v>
      </c>
      <c r="K107" s="1">
        <f>'Solar Availability and Gener GR'!F107</f>
        <v>1.3176000000000001</v>
      </c>
      <c r="L107" s="1">
        <v>0.39891472868217059</v>
      </c>
      <c r="M107" s="1">
        <f t="shared" si="38"/>
        <v>0.91868527131782951</v>
      </c>
      <c r="N107" s="1" t="str">
        <f t="shared" si="39"/>
        <v>sell the surplus or charge</v>
      </c>
      <c r="O107" s="1">
        <v>0.25</v>
      </c>
      <c r="P107" s="1">
        <f t="shared" si="52"/>
        <v>0.62670034978624167</v>
      </c>
      <c r="Q107" s="1">
        <f t="shared" si="53"/>
        <v>1.0676000000000001</v>
      </c>
      <c r="R107" s="1">
        <f t="shared" si="54"/>
        <v>63.253266467592461</v>
      </c>
      <c r="S107" s="1">
        <f t="shared" si="55"/>
        <v>54.43497320378934</v>
      </c>
      <c r="T107" s="1">
        <f t="shared" si="56"/>
        <v>51.013626999921158</v>
      </c>
      <c r="U107" s="1" t="str">
        <f t="shared" si="57"/>
        <v>charge</v>
      </c>
      <c r="Y107" s="1">
        <f t="shared" si="36"/>
        <v>2.364367596899225E-2</v>
      </c>
      <c r="AA107" s="1">
        <f t="shared" si="40"/>
        <v>9.741576889734489</v>
      </c>
      <c r="AD107" s="1">
        <f t="shared" si="41"/>
        <v>0.25</v>
      </c>
    </row>
    <row r="108" spans="1:30" ht="15">
      <c r="A108" s="1">
        <v>107</v>
      </c>
      <c r="B108" s="1">
        <f t="shared" si="44"/>
        <v>1.9100000000000001</v>
      </c>
      <c r="C108" s="1">
        <f t="shared" si="37"/>
        <v>0</v>
      </c>
      <c r="D108" s="1">
        <f t="shared" si="42"/>
        <v>9.7941704651162826</v>
      </c>
      <c r="E108">
        <v>59.27</v>
      </c>
      <c r="K108" s="1">
        <f>'Solar Availability and Gener GR'!F108</f>
        <v>2.16</v>
      </c>
      <c r="L108" s="1">
        <v>0.39891472868217059</v>
      </c>
      <c r="M108" s="1">
        <f t="shared" si="38"/>
        <v>1.7610852713178295</v>
      </c>
      <c r="N108" s="1" t="str">
        <f t="shared" si="39"/>
        <v>sell the surplus or charge</v>
      </c>
      <c r="O108" s="1">
        <v>0.25</v>
      </c>
      <c r="P108" s="1">
        <f t="shared" si="52"/>
        <v>0.62670034978624167</v>
      </c>
      <c r="Q108" s="1">
        <f t="shared" si="53"/>
        <v>1.9100000000000001</v>
      </c>
      <c r="R108" s="1">
        <f t="shared" si="54"/>
        <v>113.18231446759245</v>
      </c>
      <c r="S108" s="1">
        <f t="shared" si="55"/>
        <v>104.36402120378933</v>
      </c>
      <c r="T108" s="1">
        <f t="shared" si="56"/>
        <v>54.654128829543751</v>
      </c>
      <c r="U108" s="1" t="str">
        <f t="shared" si="57"/>
        <v>charge</v>
      </c>
      <c r="Y108" s="1">
        <f t="shared" si="36"/>
        <v>2.364367596899225E-2</v>
      </c>
      <c r="AA108" s="1">
        <f t="shared" si="40"/>
        <v>11.502662161052319</v>
      </c>
      <c r="AD108" s="1">
        <f t="shared" si="41"/>
        <v>0.25</v>
      </c>
    </row>
    <row r="109" spans="1:30" ht="15">
      <c r="A109" s="1">
        <v>108</v>
      </c>
      <c r="B109" s="1">
        <f t="shared" si="44"/>
        <v>2.4068000000000001</v>
      </c>
      <c r="C109" s="1">
        <f t="shared" si="37"/>
        <v>0</v>
      </c>
      <c r="D109" s="1">
        <f t="shared" si="42"/>
        <v>11.719610465116283</v>
      </c>
      <c r="E109">
        <v>59.27</v>
      </c>
      <c r="K109" s="1">
        <f>'Solar Availability and Gener GR'!F109</f>
        <v>2.6568000000000001</v>
      </c>
      <c r="L109" s="1">
        <v>0.39891472868217059</v>
      </c>
      <c r="M109" s="1">
        <f t="shared" si="38"/>
        <v>2.2578852713178295</v>
      </c>
      <c r="N109" s="1" t="str">
        <f t="shared" si="39"/>
        <v>sell the surplus or charge</v>
      </c>
      <c r="O109" s="1">
        <v>0.25</v>
      </c>
      <c r="P109" s="1">
        <f t="shared" si="52"/>
        <v>0.62670034978624167</v>
      </c>
      <c r="Q109" s="1">
        <f t="shared" si="53"/>
        <v>2.4068000000000001</v>
      </c>
      <c r="R109" s="1">
        <f t="shared" si="54"/>
        <v>142.62765046759245</v>
      </c>
      <c r="S109" s="1">
        <f t="shared" si="55"/>
        <v>133.80935720378932</v>
      </c>
      <c r="T109" s="1">
        <f t="shared" si="56"/>
        <v>55.606734060221505</v>
      </c>
      <c r="U109" s="1" t="str">
        <f t="shared" si="57"/>
        <v>charge</v>
      </c>
      <c r="Y109" s="1">
        <f t="shared" si="36"/>
        <v>2.364367596899225E-2</v>
      </c>
      <c r="AA109" s="1">
        <f t="shared" si="40"/>
        <v>13.760547432370149</v>
      </c>
      <c r="AD109" s="1">
        <f t="shared" si="41"/>
        <v>0.25</v>
      </c>
    </row>
    <row r="110" spans="1:30" ht="15">
      <c r="A110" s="1">
        <v>109</v>
      </c>
      <c r="B110" s="1">
        <f t="shared" si="44"/>
        <v>2.6732000000000005</v>
      </c>
      <c r="C110" s="1">
        <f t="shared" si="37"/>
        <v>0</v>
      </c>
      <c r="D110" s="1">
        <f t="shared" si="42"/>
        <v>13.858170465116283</v>
      </c>
      <c r="E110">
        <v>59.27</v>
      </c>
      <c r="K110" s="1">
        <f>'Solar Availability and Gener GR'!F110</f>
        <v>2.9232000000000005</v>
      </c>
      <c r="L110" s="1">
        <v>0.39891472868217059</v>
      </c>
      <c r="M110" s="1">
        <f t="shared" si="38"/>
        <v>2.5242852713178299</v>
      </c>
      <c r="N110" s="1" t="str">
        <f t="shared" si="39"/>
        <v>sell the surplus or charge</v>
      </c>
      <c r="O110" s="1">
        <v>0.25</v>
      </c>
      <c r="P110" s="1">
        <f t="shared" si="52"/>
        <v>0.62670034978624167</v>
      </c>
      <c r="Q110" s="1">
        <f t="shared" si="53"/>
        <v>2.6732000000000005</v>
      </c>
      <c r="R110" s="1">
        <f t="shared" si="54"/>
        <v>158.41717846759246</v>
      </c>
      <c r="S110" s="1">
        <f t="shared" si="55"/>
        <v>149.59888520378937</v>
      </c>
      <c r="T110" s="1">
        <f t="shared" si="56"/>
        <v>55.971739099022678</v>
      </c>
      <c r="U110" s="1" t="str">
        <f t="shared" si="57"/>
        <v>charge</v>
      </c>
      <c r="Y110" s="1">
        <f t="shared" si="36"/>
        <v>2.364367596899225E-2</v>
      </c>
      <c r="AA110" s="1">
        <f t="shared" si="40"/>
        <v>16.284832703687979</v>
      </c>
      <c r="AD110" s="1">
        <f t="shared" si="41"/>
        <v>0.25</v>
      </c>
    </row>
    <row r="111" spans="1:30" ht="15">
      <c r="A111" s="1">
        <v>110</v>
      </c>
      <c r="B111" s="1">
        <f t="shared" si="44"/>
        <v>2.7307999999999995</v>
      </c>
      <c r="C111" s="1">
        <f t="shared" si="37"/>
        <v>0</v>
      </c>
      <c r="D111" s="1">
        <f t="shared" si="42"/>
        <v>16.042810465116283</v>
      </c>
      <c r="E111">
        <v>59.27</v>
      </c>
      <c r="K111" s="1">
        <f>'Solar Availability and Gener GR'!F111</f>
        <v>2.9807999999999995</v>
      </c>
      <c r="L111" s="1">
        <v>0.39891472868217059</v>
      </c>
      <c r="M111" s="1">
        <f t="shared" si="38"/>
        <v>2.5818852713178289</v>
      </c>
      <c r="N111" s="1" t="str">
        <f t="shared" si="39"/>
        <v>sell the surplus or charge</v>
      </c>
      <c r="O111" s="1">
        <v>0.25</v>
      </c>
      <c r="P111" s="1">
        <f t="shared" si="52"/>
        <v>0.62670034978624167</v>
      </c>
      <c r="Q111" s="1">
        <f t="shared" si="53"/>
        <v>2.7307999999999995</v>
      </c>
      <c r="R111" s="1">
        <f t="shared" si="54"/>
        <v>161.83113046759243</v>
      </c>
      <c r="S111" s="1">
        <f t="shared" si="55"/>
        <v>153.0128372037893</v>
      </c>
      <c r="T111" s="1">
        <f t="shared" si="56"/>
        <v>56.041297135621519</v>
      </c>
      <c r="U111" s="1" t="str">
        <f t="shared" si="57"/>
        <v>charge</v>
      </c>
      <c r="Y111" s="1">
        <f t="shared" si="36"/>
        <v>2.364367596899225E-2</v>
      </c>
      <c r="AA111" s="1">
        <f t="shared" si="40"/>
        <v>18.866717975005809</v>
      </c>
      <c r="AD111" s="1">
        <f t="shared" si="41"/>
        <v>0.25</v>
      </c>
    </row>
    <row r="112" spans="1:30" ht="15">
      <c r="A112" s="1">
        <v>111</v>
      </c>
      <c r="B112" s="1">
        <f t="shared" si="44"/>
        <v>2.5580000000000003</v>
      </c>
      <c r="C112" s="1">
        <f t="shared" si="37"/>
        <v>0</v>
      </c>
      <c r="D112" s="1">
        <f t="shared" si="42"/>
        <v>18.089210465116281</v>
      </c>
      <c r="E112">
        <v>59.27</v>
      </c>
      <c r="K112" s="1">
        <f>'Solar Availability and Gener GR'!F112</f>
        <v>2.8080000000000003</v>
      </c>
      <c r="L112" s="1">
        <v>0.39891472868217059</v>
      </c>
      <c r="M112" s="1">
        <f t="shared" si="38"/>
        <v>2.4090852713178297</v>
      </c>
      <c r="N112" s="1" t="str">
        <f t="shared" si="39"/>
        <v>sell the surplus or charge</v>
      </c>
      <c r="O112" s="1">
        <v>0.25</v>
      </c>
      <c r="P112" s="1">
        <f t="shared" si="52"/>
        <v>0.62670034978624167</v>
      </c>
      <c r="Q112" s="1">
        <f t="shared" si="53"/>
        <v>2.5580000000000003</v>
      </c>
      <c r="R112" s="1">
        <f t="shared" si="54"/>
        <v>151.58927446759247</v>
      </c>
      <c r="S112" s="1">
        <f t="shared" si="55"/>
        <v>142.77098120378935</v>
      </c>
      <c r="T112" s="1">
        <f t="shared" si="56"/>
        <v>55.823227072559099</v>
      </c>
      <c r="U112" s="1" t="str">
        <f t="shared" si="57"/>
        <v>charge</v>
      </c>
      <c r="Y112" s="1">
        <f t="shared" si="36"/>
        <v>2.364367596899225E-2</v>
      </c>
      <c r="AA112" s="1">
        <f t="shared" si="40"/>
        <v>21.27580324632364</v>
      </c>
      <c r="AD112" s="1">
        <f t="shared" si="41"/>
        <v>0.25</v>
      </c>
    </row>
    <row r="113" spans="1:30" ht="15">
      <c r="A113" s="1">
        <v>112</v>
      </c>
      <c r="B113" s="1">
        <f t="shared" si="44"/>
        <v>2.27</v>
      </c>
      <c r="C113" s="1">
        <f t="shared" si="37"/>
        <v>0</v>
      </c>
      <c r="D113" s="1">
        <f t="shared" si="42"/>
        <v>19.90521046511628</v>
      </c>
      <c r="E113">
        <v>59.27</v>
      </c>
      <c r="K113" s="1">
        <f>'Solar Availability and Gener GR'!F113</f>
        <v>2.52</v>
      </c>
      <c r="L113" s="1">
        <v>0.39891472868217059</v>
      </c>
      <c r="M113" s="1">
        <f t="shared" si="38"/>
        <v>2.1210852713178294</v>
      </c>
      <c r="N113" s="1" t="str">
        <f t="shared" si="39"/>
        <v>sell the surplus or charge</v>
      </c>
      <c r="O113" s="1">
        <v>0.25</v>
      </c>
      <c r="P113" s="1">
        <f t="shared" si="52"/>
        <v>0.62670034978624167</v>
      </c>
      <c r="Q113" s="1">
        <f t="shared" si="53"/>
        <v>2.27</v>
      </c>
      <c r="R113" s="1">
        <f t="shared" si="54"/>
        <v>134.51951446759244</v>
      </c>
      <c r="S113" s="1">
        <f t="shared" si="55"/>
        <v>125.70122120378933</v>
      </c>
      <c r="T113" s="1">
        <f t="shared" si="56"/>
        <v>55.386013606498544</v>
      </c>
      <c r="U113" s="1" t="str">
        <f t="shared" si="57"/>
        <v>charge</v>
      </c>
      <c r="Y113" s="1">
        <f t="shared" si="36"/>
        <v>2.364367596899225E-2</v>
      </c>
      <c r="AA113" s="1">
        <f t="shared" si="40"/>
        <v>23.396888517641472</v>
      </c>
      <c r="AD113" s="1">
        <f t="shared" si="41"/>
        <v>0.25</v>
      </c>
    </row>
    <row r="114" spans="1:30" ht="15">
      <c r="A114" s="1">
        <v>113</v>
      </c>
      <c r="B114" s="1">
        <f t="shared" si="44"/>
        <v>1.8487999999999998</v>
      </c>
      <c r="C114" s="1">
        <f t="shared" si="37"/>
        <v>0</v>
      </c>
      <c r="D114" s="1">
        <f t="shared" si="42"/>
        <v>21.384250465116281</v>
      </c>
      <c r="E114">
        <v>59.27</v>
      </c>
      <c r="K114" s="1">
        <f>'Solar Availability and Gener GR'!F114</f>
        <v>2.0987999999999998</v>
      </c>
      <c r="L114" s="1">
        <v>0.39891472868217059</v>
      </c>
      <c r="M114" s="1">
        <f t="shared" si="38"/>
        <v>1.6998852713178292</v>
      </c>
      <c r="N114" s="1" t="str">
        <f t="shared" si="39"/>
        <v>sell the surplus or charge</v>
      </c>
      <c r="O114" s="1">
        <v>0.25</v>
      </c>
      <c r="P114" s="1">
        <f t="shared" si="52"/>
        <v>0.62670034978624167</v>
      </c>
      <c r="Q114" s="1">
        <f t="shared" si="53"/>
        <v>1.8487999999999998</v>
      </c>
      <c r="R114" s="1">
        <f t="shared" si="54"/>
        <v>109.55499046759243</v>
      </c>
      <c r="S114" s="1">
        <f t="shared" si="55"/>
        <v>100.73669720378932</v>
      </c>
      <c r="T114" s="1">
        <f t="shared" si="56"/>
        <v>54.501370163401049</v>
      </c>
      <c r="U114" s="1" t="str">
        <f t="shared" si="57"/>
        <v>charge</v>
      </c>
      <c r="Y114" s="1">
        <f t="shared" si="36"/>
        <v>2.364367596899225E-2</v>
      </c>
      <c r="AA114" s="1">
        <f t="shared" si="40"/>
        <v>25.0967737889593</v>
      </c>
      <c r="AD114" s="1">
        <f t="shared" si="41"/>
        <v>0.25</v>
      </c>
    </row>
    <row r="115" spans="1:30" ht="15">
      <c r="A115" s="1">
        <v>114</v>
      </c>
      <c r="B115" s="1">
        <f t="shared" si="44"/>
        <v>0</v>
      </c>
      <c r="C115" s="1">
        <f t="shared" si="37"/>
        <v>0</v>
      </c>
      <c r="D115" s="1">
        <f t="shared" si="42"/>
        <v>21.384250465116281</v>
      </c>
      <c r="E115">
        <v>59.27</v>
      </c>
      <c r="K115" s="1">
        <f>'Solar Availability and Gener GR'!F115</f>
        <v>1.4867999999999999</v>
      </c>
      <c r="L115" s="1">
        <v>0.66914728682170543</v>
      </c>
      <c r="M115" s="1">
        <f t="shared" si="38"/>
        <v>0.81765271317829447</v>
      </c>
      <c r="N115" s="1" t="str">
        <f t="shared" si="39"/>
        <v>sell the surplus or charge</v>
      </c>
      <c r="O115" s="1">
        <v>0.25</v>
      </c>
      <c r="P115" s="1">
        <f t="shared" si="52"/>
        <v>0.3736098239110287</v>
      </c>
      <c r="Q115" s="1">
        <f t="shared" si="53"/>
        <v>1.2367999999999999</v>
      </c>
      <c r="R115" s="1">
        <f t="shared" si="54"/>
        <v>73.281750467592445</v>
      </c>
      <c r="S115" s="1">
        <f t="shared" si="55"/>
        <v>48.455499132557073</v>
      </c>
      <c r="T115" s="1">
        <f t="shared" si="56"/>
        <v>39.206709033832169</v>
      </c>
      <c r="U115" s="1" t="str">
        <f t="shared" si="57"/>
        <v>sell to the Grid</v>
      </c>
      <c r="W115" s="1">
        <f>(Q115*E115)/1000</f>
        <v>7.3305136000000007E-2</v>
      </c>
      <c r="Y115" s="1">
        <f t="shared" si="36"/>
        <v>3.9660359689922479E-2</v>
      </c>
      <c r="AA115" s="1">
        <f t="shared" si="40"/>
        <v>25.914426502137594</v>
      </c>
      <c r="AD115" s="1">
        <f t="shared" si="41"/>
        <v>0.25</v>
      </c>
    </row>
    <row r="116" spans="1:30" ht="15">
      <c r="A116" s="1">
        <v>115</v>
      </c>
      <c r="B116" s="1">
        <f t="shared" si="44"/>
        <v>0</v>
      </c>
      <c r="C116" s="1">
        <f t="shared" si="37"/>
        <v>0</v>
      </c>
      <c r="D116" s="1">
        <f t="shared" si="42"/>
        <v>21.384250465116281</v>
      </c>
      <c r="E116">
        <v>59.27</v>
      </c>
      <c r="K116" s="1">
        <f>'Solar Availability and Gener GR'!F116</f>
        <v>0.89279999999999993</v>
      </c>
      <c r="L116" s="1">
        <v>0.66914728682170543</v>
      </c>
      <c r="M116" s="1">
        <f t="shared" si="38"/>
        <v>0.22365271317829449</v>
      </c>
      <c r="N116" s="1" t="str">
        <f t="shared" si="39"/>
        <v>sell the surplus or charge</v>
      </c>
      <c r="O116" s="1">
        <v>0.25</v>
      </c>
      <c r="P116" s="1">
        <f t="shared" si="52"/>
        <v>0.3736098239110287</v>
      </c>
      <c r="Q116" s="1">
        <f t="shared" si="53"/>
        <v>0.64279999999999993</v>
      </c>
      <c r="R116" s="1">
        <f t="shared" si="54"/>
        <v>38.075370467592442</v>
      </c>
      <c r="S116" s="1">
        <f t="shared" si="55"/>
        <v>13.249119132557073</v>
      </c>
      <c r="T116" s="1">
        <f t="shared" si="56"/>
        <v>20.715680123074357</v>
      </c>
      <c r="U116" s="1" t="str">
        <f t="shared" si="57"/>
        <v>sell to the Grid</v>
      </c>
      <c r="W116" s="1">
        <f>(Q116*E116)/1000</f>
        <v>3.8098755999999998E-2</v>
      </c>
      <c r="Y116" s="1">
        <f t="shared" si="36"/>
        <v>3.9660359689922479E-2</v>
      </c>
      <c r="AA116" s="1">
        <f t="shared" si="40"/>
        <v>26.138079215315887</v>
      </c>
      <c r="AD116" s="1">
        <f t="shared" si="41"/>
        <v>0.25</v>
      </c>
    </row>
    <row r="117" spans="1:30" ht="15">
      <c r="A117" s="1">
        <v>116</v>
      </c>
      <c r="B117" s="1">
        <f t="shared" si="44"/>
        <v>0</v>
      </c>
      <c r="C117" s="1">
        <f t="shared" si="37"/>
        <v>0</v>
      </c>
      <c r="D117" s="1">
        <f t="shared" si="42"/>
        <v>21.384250465116281</v>
      </c>
      <c r="E117">
        <v>59.27</v>
      </c>
      <c r="K117" s="1">
        <f>'Solar Availability and Gener GR'!F117</f>
        <v>0.31679999999999997</v>
      </c>
      <c r="L117" s="1">
        <v>0.66914728682170543</v>
      </c>
      <c r="M117" s="1">
        <f t="shared" si="38"/>
        <v>-0.35234728682170546</v>
      </c>
      <c r="N117" s="1" t="str">
        <f t="shared" si="39"/>
        <v>Buy from Grid</v>
      </c>
      <c r="V117" s="1" t="str">
        <f t="shared" ref="V117:V129" si="58">IF(D117+M117&gt;0,"discharge","buy from the Grid")</f>
        <v>discharge</v>
      </c>
      <c r="Y117" s="1">
        <f t="shared" si="36"/>
        <v>3.9660359689922479E-2</v>
      </c>
      <c r="AA117" s="1">
        <f t="shared" si="40"/>
        <v>25.785731928494183</v>
      </c>
      <c r="AD117" s="1">
        <f t="shared" si="41"/>
        <v>0</v>
      </c>
    </row>
    <row r="118" spans="1:30" ht="15">
      <c r="A118" s="1">
        <v>117</v>
      </c>
      <c r="B118" s="1">
        <f t="shared" si="44"/>
        <v>0</v>
      </c>
      <c r="C118" s="1">
        <f t="shared" si="37"/>
        <v>-0.64754728682170548</v>
      </c>
      <c r="D118" s="1">
        <f t="shared" si="42"/>
        <v>20.57481635658915</v>
      </c>
      <c r="E118">
        <v>59.27</v>
      </c>
      <c r="K118" s="1">
        <f>'Solar Availability and Gener GR'!F118</f>
        <v>2.1599999999999998E-2</v>
      </c>
      <c r="L118" s="1">
        <v>0.66914728682170543</v>
      </c>
      <c r="M118" s="1">
        <f t="shared" si="38"/>
        <v>-0.64754728682170548</v>
      </c>
      <c r="N118" s="1" t="str">
        <f t="shared" si="39"/>
        <v>Buy from Grid</v>
      </c>
      <c r="V118" s="1" t="str">
        <f t="shared" si="58"/>
        <v>discharge</v>
      </c>
      <c r="Y118" s="1">
        <f t="shared" si="36"/>
        <v>3.9660359689922479E-2</v>
      </c>
      <c r="AA118" s="1">
        <f t="shared" si="40"/>
        <v>25.138184641672478</v>
      </c>
      <c r="AD118" s="1">
        <f t="shared" si="41"/>
        <v>0</v>
      </c>
    </row>
    <row r="119" spans="1:30" ht="15">
      <c r="A119" s="1">
        <v>118</v>
      </c>
      <c r="B119" s="1">
        <f t="shared" si="44"/>
        <v>0</v>
      </c>
      <c r="C119" s="1">
        <f t="shared" si="37"/>
        <v>-0.39891472868217059</v>
      </c>
      <c r="D119" s="1">
        <f t="shared" si="42"/>
        <v>20.076172945736435</v>
      </c>
      <c r="E119">
        <v>59.27</v>
      </c>
      <c r="K119" s="1">
        <f>'Solar Availability and Gener GR'!F119</f>
        <v>0</v>
      </c>
      <c r="L119" s="1">
        <v>0.39891472868217059</v>
      </c>
      <c r="M119" s="1">
        <f t="shared" si="38"/>
        <v>-0.39891472868217059</v>
      </c>
      <c r="N119" s="1" t="str">
        <f t="shared" si="39"/>
        <v>Buy from Grid</v>
      </c>
      <c r="V119" s="1" t="str">
        <f t="shared" si="58"/>
        <v>discharge</v>
      </c>
      <c r="Y119" s="1">
        <f t="shared" si="36"/>
        <v>2.364367596899225E-2</v>
      </c>
      <c r="AA119" s="1">
        <f t="shared" si="40"/>
        <v>24.739269912990306</v>
      </c>
      <c r="AD119" s="1">
        <f t="shared" si="41"/>
        <v>0</v>
      </c>
    </row>
    <row r="120" spans="1:30" ht="15">
      <c r="A120" s="1">
        <v>119</v>
      </c>
      <c r="B120" s="1">
        <f t="shared" si="44"/>
        <v>0</v>
      </c>
      <c r="C120" s="1">
        <f t="shared" si="37"/>
        <v>-0.39891472868217059</v>
      </c>
      <c r="D120" s="1">
        <f t="shared" si="42"/>
        <v>19.57752953488372</v>
      </c>
      <c r="E120">
        <v>59.27</v>
      </c>
      <c r="K120" s="1">
        <f>'Solar Availability and Gener GR'!F120</f>
        <v>0</v>
      </c>
      <c r="L120" s="1">
        <v>0.39891472868217059</v>
      </c>
      <c r="M120" s="1">
        <f t="shared" si="38"/>
        <v>-0.39891472868217059</v>
      </c>
      <c r="N120" s="1" t="str">
        <f t="shared" si="39"/>
        <v>Buy from Grid</v>
      </c>
      <c r="V120" s="1" t="str">
        <f t="shared" si="58"/>
        <v>discharge</v>
      </c>
      <c r="Y120" s="1">
        <f t="shared" si="36"/>
        <v>2.364367596899225E-2</v>
      </c>
      <c r="AA120" s="1">
        <f t="shared" si="40"/>
        <v>24.340355184308134</v>
      </c>
      <c r="AD120" s="1">
        <f t="shared" si="41"/>
        <v>0</v>
      </c>
    </row>
    <row r="121" spans="1:30" ht="15">
      <c r="A121" s="1">
        <v>120</v>
      </c>
      <c r="B121" s="1">
        <f t="shared" si="44"/>
        <v>0</v>
      </c>
      <c r="C121" s="1">
        <f t="shared" si="37"/>
        <v>-0.29596899224806206</v>
      </c>
      <c r="D121" s="1">
        <f t="shared" si="42"/>
        <v>19.207568294573644</v>
      </c>
      <c r="E121">
        <v>59.27</v>
      </c>
      <c r="K121" s="1">
        <f>'Solar Availability and Gener GR'!F121</f>
        <v>0</v>
      </c>
      <c r="L121" s="1">
        <v>0.29596899224806206</v>
      </c>
      <c r="M121" s="1">
        <f t="shared" si="38"/>
        <v>-0.29596899224806206</v>
      </c>
      <c r="N121" s="1" t="str">
        <f t="shared" si="39"/>
        <v>Buy from Grid</v>
      </c>
      <c r="V121" s="1" t="str">
        <f t="shared" si="58"/>
        <v>discharge</v>
      </c>
      <c r="Y121" s="1">
        <f t="shared" si="36"/>
        <v>1.754208217054264E-2</v>
      </c>
      <c r="AA121" s="1">
        <f t="shared" si="40"/>
        <v>24.04438619206007</v>
      </c>
      <c r="AD121" s="1">
        <f t="shared" si="41"/>
        <v>0</v>
      </c>
    </row>
    <row r="122" spans="1:30" ht="15">
      <c r="A122" s="1">
        <v>121</v>
      </c>
      <c r="B122" s="1">
        <f t="shared" si="44"/>
        <v>0</v>
      </c>
      <c r="C122" s="1">
        <f t="shared" si="37"/>
        <v>-0.29596899224806206</v>
      </c>
      <c r="D122" s="1">
        <f t="shared" si="42"/>
        <v>18.837607054263568</v>
      </c>
      <c r="E122">
        <v>59.27</v>
      </c>
      <c r="K122" s="1">
        <f>'Solar Availability and Gener GR'!F122</f>
        <v>0</v>
      </c>
      <c r="L122" s="1">
        <v>0.29596899224806206</v>
      </c>
      <c r="M122" s="1">
        <f t="shared" si="38"/>
        <v>-0.29596899224806206</v>
      </c>
      <c r="N122" s="1" t="str">
        <f t="shared" si="39"/>
        <v>Buy from Grid</v>
      </c>
      <c r="V122" s="1" t="str">
        <f t="shared" si="58"/>
        <v>discharge</v>
      </c>
      <c r="Y122" s="1">
        <f t="shared" si="36"/>
        <v>1.754208217054264E-2</v>
      </c>
      <c r="AA122" s="1">
        <f t="shared" si="40"/>
        <v>23.748417199812007</v>
      </c>
      <c r="AD122" s="1">
        <f t="shared" si="41"/>
        <v>0</v>
      </c>
    </row>
    <row r="123" spans="1:30" ht="15">
      <c r="A123" s="1">
        <v>122</v>
      </c>
      <c r="B123" s="1">
        <f t="shared" si="44"/>
        <v>0</v>
      </c>
      <c r="C123" s="1">
        <f t="shared" si="37"/>
        <v>-0.30883720930232561</v>
      </c>
      <c r="D123" s="1">
        <f t="shared" si="42"/>
        <v>18.451560542635661</v>
      </c>
      <c r="E123">
        <v>59.27</v>
      </c>
      <c r="K123" s="1">
        <f>'Solar Availability and Gener GR'!F123</f>
        <v>0</v>
      </c>
      <c r="L123" s="1">
        <v>0.30883720930232561</v>
      </c>
      <c r="M123" s="1">
        <f t="shared" si="38"/>
        <v>-0.30883720930232561</v>
      </c>
      <c r="N123" s="1" t="str">
        <f t="shared" si="39"/>
        <v>Buy from Grid</v>
      </c>
      <c r="V123" s="1" t="str">
        <f t="shared" si="58"/>
        <v>discharge</v>
      </c>
      <c r="Y123" s="1">
        <f t="shared" si="36"/>
        <v>1.830478139534884E-2</v>
      </c>
      <c r="AA123" s="1">
        <f t="shared" si="40"/>
        <v>23.439579990509682</v>
      </c>
      <c r="AD123" s="1">
        <f t="shared" si="41"/>
        <v>0</v>
      </c>
    </row>
    <row r="124" spans="1:30" ht="15">
      <c r="A124" s="1">
        <v>123</v>
      </c>
      <c r="B124" s="1">
        <f t="shared" si="44"/>
        <v>0</v>
      </c>
      <c r="C124" s="1">
        <f t="shared" si="37"/>
        <v>-0.30883720930232561</v>
      </c>
      <c r="D124" s="1">
        <f t="shared" si="42"/>
        <v>18.065514031007755</v>
      </c>
      <c r="E124">
        <v>59.27</v>
      </c>
      <c r="K124" s="1">
        <f>'Solar Availability and Gener GR'!F124</f>
        <v>0</v>
      </c>
      <c r="L124" s="1">
        <v>0.30883720930232561</v>
      </c>
      <c r="M124" s="1">
        <f t="shared" si="38"/>
        <v>-0.30883720930232561</v>
      </c>
      <c r="N124" s="1" t="str">
        <f t="shared" si="39"/>
        <v>Buy from Grid</v>
      </c>
      <c r="V124" s="1" t="str">
        <f t="shared" si="58"/>
        <v>discharge</v>
      </c>
      <c r="Y124" s="1">
        <f t="shared" si="36"/>
        <v>1.830478139534884E-2</v>
      </c>
      <c r="AA124" s="1">
        <f t="shared" si="40"/>
        <v>23.130742781207356</v>
      </c>
      <c r="AD124" s="1">
        <f t="shared" si="41"/>
        <v>0</v>
      </c>
    </row>
    <row r="125" spans="1:30" ht="15">
      <c r="A125" s="1">
        <v>124</v>
      </c>
      <c r="B125" s="1">
        <f t="shared" si="44"/>
        <v>0</v>
      </c>
      <c r="C125" s="1">
        <f t="shared" si="37"/>
        <v>-0.30883720930232561</v>
      </c>
      <c r="D125" s="1">
        <f t="shared" si="42"/>
        <v>17.679467519379848</v>
      </c>
      <c r="E125">
        <v>59.27</v>
      </c>
      <c r="K125" s="1">
        <f>'Solar Availability and Gener GR'!F125</f>
        <v>0</v>
      </c>
      <c r="L125" s="1">
        <v>0.30883720930232561</v>
      </c>
      <c r="M125" s="1">
        <f t="shared" si="38"/>
        <v>-0.30883720930232561</v>
      </c>
      <c r="N125" s="1" t="str">
        <f t="shared" si="39"/>
        <v>Buy from Grid</v>
      </c>
      <c r="V125" s="1" t="str">
        <f t="shared" si="58"/>
        <v>discharge</v>
      </c>
      <c r="Y125" s="1">
        <f t="shared" si="36"/>
        <v>1.830478139534884E-2</v>
      </c>
      <c r="AA125" s="1">
        <f t="shared" si="40"/>
        <v>22.821905571905031</v>
      </c>
      <c r="AD125" s="1">
        <f t="shared" si="41"/>
        <v>0</v>
      </c>
    </row>
    <row r="126" spans="1:30" ht="15">
      <c r="A126" s="1">
        <v>125</v>
      </c>
      <c r="B126" s="1">
        <f t="shared" si="44"/>
        <v>0</v>
      </c>
      <c r="C126" s="1">
        <f t="shared" si="37"/>
        <v>-0.39891472868217059</v>
      </c>
      <c r="D126" s="1">
        <f t="shared" si="42"/>
        <v>17.180824108527133</v>
      </c>
      <c r="E126">
        <v>59.27</v>
      </c>
      <c r="K126" s="1">
        <f>'Solar Availability and Gener GR'!F126</f>
        <v>0</v>
      </c>
      <c r="L126" s="1">
        <v>0.39891472868217059</v>
      </c>
      <c r="M126" s="1">
        <f t="shared" si="38"/>
        <v>-0.39891472868217059</v>
      </c>
      <c r="N126" s="1" t="str">
        <f t="shared" si="39"/>
        <v>Buy from Grid</v>
      </c>
      <c r="V126" s="1" t="str">
        <f t="shared" si="58"/>
        <v>discharge</v>
      </c>
      <c r="Y126" s="1">
        <f t="shared" si="36"/>
        <v>2.364367596899225E-2</v>
      </c>
      <c r="AA126" s="1">
        <f t="shared" si="40"/>
        <v>22.422990843222859</v>
      </c>
      <c r="AD126" s="1">
        <f t="shared" si="41"/>
        <v>0</v>
      </c>
    </row>
    <row r="127" spans="1:30" ht="15">
      <c r="A127" s="1">
        <v>126</v>
      </c>
      <c r="B127" s="1">
        <f t="shared" si="44"/>
        <v>0</v>
      </c>
      <c r="C127" s="1">
        <f t="shared" si="37"/>
        <v>-0.65627906976744199</v>
      </c>
      <c r="D127" s="1">
        <f t="shared" si="42"/>
        <v>16.360475271317831</v>
      </c>
      <c r="E127">
        <v>59.27</v>
      </c>
      <c r="K127" s="1">
        <f>'Solar Availability and Gener GR'!F127</f>
        <v>0</v>
      </c>
      <c r="L127" s="1">
        <v>0.65627906976744199</v>
      </c>
      <c r="M127" s="1">
        <f t="shared" si="38"/>
        <v>-0.65627906976744199</v>
      </c>
      <c r="N127" s="1" t="str">
        <f t="shared" si="39"/>
        <v>Buy from Grid</v>
      </c>
      <c r="V127" s="1" t="str">
        <f t="shared" si="58"/>
        <v>discharge</v>
      </c>
      <c r="Y127" s="1">
        <f t="shared" si="36"/>
        <v>3.8897660465116286E-2</v>
      </c>
      <c r="AA127" s="1">
        <f t="shared" si="40"/>
        <v>21.766711773455416</v>
      </c>
      <c r="AD127" s="1">
        <f t="shared" si="41"/>
        <v>0</v>
      </c>
    </row>
    <row r="128" spans="1:30" ht="15">
      <c r="A128" s="1">
        <v>127</v>
      </c>
      <c r="B128" s="1">
        <f t="shared" si="44"/>
        <v>0</v>
      </c>
      <c r="C128" s="1">
        <f t="shared" si="37"/>
        <v>-0.59504864887992681</v>
      </c>
      <c r="D128" s="1">
        <f t="shared" si="42"/>
        <v>15.616664460217923</v>
      </c>
      <c r="E128">
        <v>59.27</v>
      </c>
      <c r="K128" s="1">
        <f>'Solar Availability and Gener GR'!F128</f>
        <v>7.4098637941778636E-2</v>
      </c>
      <c r="L128" s="1">
        <v>0.66914728682170543</v>
      </c>
      <c r="M128" s="1">
        <f t="shared" si="38"/>
        <v>-0.59504864887992681</v>
      </c>
      <c r="N128" s="1" t="str">
        <f t="shared" si="39"/>
        <v>Buy from Grid</v>
      </c>
      <c r="V128" s="1" t="str">
        <f t="shared" si="58"/>
        <v>discharge</v>
      </c>
      <c r="Y128" s="1">
        <f t="shared" si="36"/>
        <v>3.9660359689922479E-2</v>
      </c>
      <c r="AA128" s="1">
        <f t="shared" si="40"/>
        <v>21.171663124575488</v>
      </c>
      <c r="AD128" s="1">
        <f t="shared" si="41"/>
        <v>0</v>
      </c>
    </row>
    <row r="129" spans="1:30" ht="15">
      <c r="A129" s="1">
        <v>128</v>
      </c>
      <c r="B129" s="1">
        <f t="shared" si="44"/>
        <v>0</v>
      </c>
      <c r="C129" s="1">
        <f t="shared" si="37"/>
        <v>-0.25706247580323083</v>
      </c>
      <c r="D129" s="1">
        <f t="shared" si="42"/>
        <v>15.295336365463884</v>
      </c>
      <c r="E129">
        <v>59.27</v>
      </c>
      <c r="K129" s="1">
        <f>'Solar Availability and Gener GR'!F129</f>
        <v>0.39921659396421116</v>
      </c>
      <c r="L129" s="1">
        <v>0.65627906976744199</v>
      </c>
      <c r="M129" s="1">
        <f t="shared" si="38"/>
        <v>-0.25706247580323083</v>
      </c>
      <c r="N129" s="1" t="str">
        <f t="shared" si="39"/>
        <v>Buy from Grid</v>
      </c>
      <c r="V129" s="1" t="str">
        <f t="shared" si="58"/>
        <v>discharge</v>
      </c>
      <c r="Y129" s="1">
        <f t="shared" si="36"/>
        <v>3.8897660465116286E-2</v>
      </c>
      <c r="AA129" s="1">
        <f t="shared" si="40"/>
        <v>20.914600648772257</v>
      </c>
      <c r="AD129" s="1">
        <f t="shared" si="41"/>
        <v>0</v>
      </c>
    </row>
    <row r="130" spans="1:30" ht="15">
      <c r="A130" s="1">
        <v>129</v>
      </c>
      <c r="B130" s="1">
        <f t="shared" si="44"/>
        <v>0</v>
      </c>
      <c r="C130" s="1">
        <f t="shared" si="37"/>
        <v>0.42115114864356307</v>
      </c>
      <c r="D130" s="1">
        <f t="shared" si="42"/>
        <v>15.821775301268337</v>
      </c>
      <c r="E130">
        <v>59.27</v>
      </c>
      <c r="K130" s="1">
        <f>'Solar Availability and Gener GR'!F130</f>
        <v>0.82006587732573366</v>
      </c>
      <c r="L130" s="1">
        <v>0.39891472868217059</v>
      </c>
      <c r="M130" s="1">
        <f t="shared" si="38"/>
        <v>0.42115114864356307</v>
      </c>
      <c r="N130" s="1" t="str">
        <f t="shared" si="39"/>
        <v>sell the surplus or charge</v>
      </c>
      <c r="O130" s="1">
        <v>0.25</v>
      </c>
      <c r="P130" s="1">
        <f t="shared" ref="P130:P140" si="59">0.25/L130</f>
        <v>0.62670034978624167</v>
      </c>
      <c r="Q130" s="1">
        <f t="shared" ref="Q130:Q140" si="60">K130-P130*L130</f>
        <v>0.57006587732573366</v>
      </c>
      <c r="R130" s="1">
        <f t="shared" ref="R130:R140" si="61">((1/(E130+0.01))*LN(0.25))+(E130*(K130-0.25))</f>
        <v>33.764419016688684</v>
      </c>
      <c r="S130" s="1">
        <f t="shared" ref="S130:S140" si="62">((1/(E130+0.01))*LN(L130))+(E130*(K130-L130))</f>
        <v>24.94612575288556</v>
      </c>
      <c r="T130" s="1">
        <f t="shared" ref="T130:T140" si="63">(S130+((S130^2)-4*(K130-L130*P130)*LN(L130*P130))^(0.5))/(2*(K130-L130*P130))</f>
        <v>43.815576498690056</v>
      </c>
      <c r="U130" s="1" t="str">
        <f t="shared" ref="U130:U140" si="64">IF(E130&gt;=T130*1.2,"sell to the Grid","charge")</f>
        <v>sell to the Grid</v>
      </c>
      <c r="W130" s="1">
        <f>(Q130*E130)/1000</f>
        <v>3.3787804549096238E-2</v>
      </c>
      <c r="Y130" s="1">
        <f t="shared" ref="Y130:Y193" si="65">(L130*E130)/1000</f>
        <v>2.364367596899225E-2</v>
      </c>
      <c r="AA130" s="1">
        <f t="shared" si="40"/>
        <v>21.335751797415821</v>
      </c>
      <c r="AD130" s="1">
        <f t="shared" si="41"/>
        <v>0.25</v>
      </c>
    </row>
    <row r="131" spans="1:30" ht="15">
      <c r="A131" s="1">
        <v>130</v>
      </c>
      <c r="B131" s="1">
        <f t="shared" si="44"/>
        <v>1.1632288791952279</v>
      </c>
      <c r="C131" s="1">
        <f t="shared" ref="C131:C194" si="66">IF(V130="discharge",M131,0)</f>
        <v>0</v>
      </c>
      <c r="D131" s="1">
        <f t="shared" si="42"/>
        <v>16.75235840462452</v>
      </c>
      <c r="E131">
        <v>59.27</v>
      </c>
      <c r="K131" s="1">
        <f>'Solar Availability and Gener GR'!F131</f>
        <v>1.4132288791952279</v>
      </c>
      <c r="L131" s="1">
        <v>0.39891472868217059</v>
      </c>
      <c r="M131" s="1">
        <f t="shared" ref="M131:M194" si="67">K131-L131</f>
        <v>1.0143141505130573</v>
      </c>
      <c r="N131" s="1" t="str">
        <f t="shared" ref="N131:N194" si="68">IF(M131&lt;0,"Buy from Grid","sell the surplus or charge")</f>
        <v>sell the surplus or charge</v>
      </c>
      <c r="O131" s="1">
        <v>0.25</v>
      </c>
      <c r="P131" s="1">
        <f t="shared" si="59"/>
        <v>0.62670034978624167</v>
      </c>
      <c r="Q131" s="1">
        <f t="shared" si="60"/>
        <v>1.1632288791952279</v>
      </c>
      <c r="R131" s="1">
        <f t="shared" si="61"/>
        <v>68.921190137493596</v>
      </c>
      <c r="S131" s="1">
        <f t="shared" si="62"/>
        <v>60.10289687369049</v>
      </c>
      <c r="T131" s="1">
        <f t="shared" si="63"/>
        <v>51.692075621589304</v>
      </c>
      <c r="U131" s="1" t="str">
        <f t="shared" si="64"/>
        <v>charge</v>
      </c>
      <c r="Y131" s="1">
        <f t="shared" si="65"/>
        <v>2.364367596899225E-2</v>
      </c>
      <c r="AA131" s="1">
        <f t="shared" ref="AA131:AA194" si="69">M131+AA130</f>
        <v>22.350065947928879</v>
      </c>
      <c r="AD131" s="1">
        <f t="shared" ref="AD131:AD194" si="70">AC131+O131</f>
        <v>0.25</v>
      </c>
    </row>
    <row r="132" spans="1:30" ht="15">
      <c r="A132" s="1">
        <v>131</v>
      </c>
      <c r="B132" s="1">
        <f t="shared" si="44"/>
        <v>2.1777485978812412</v>
      </c>
      <c r="C132" s="1">
        <f t="shared" si="66"/>
        <v>0</v>
      </c>
      <c r="D132" s="1">
        <f t="shared" ref="D132:D195" si="71">(D131)+(B132*0.8)+(C132/0.8)</f>
        <v>18.494557282929513</v>
      </c>
      <c r="E132">
        <v>59.27</v>
      </c>
      <c r="K132" s="1">
        <f>'Solar Availability and Gener GR'!F132</f>
        <v>2.4277485978812412</v>
      </c>
      <c r="L132" s="1">
        <v>0.39891472868217059</v>
      </c>
      <c r="M132" s="1">
        <f t="shared" si="67"/>
        <v>2.0288338691990706</v>
      </c>
      <c r="N132" s="1" t="str">
        <f t="shared" si="68"/>
        <v>sell the surplus or charge</v>
      </c>
      <c r="O132" s="1">
        <v>0.25</v>
      </c>
      <c r="P132" s="1">
        <f t="shared" si="59"/>
        <v>0.62670034978624167</v>
      </c>
      <c r="Q132" s="1">
        <f t="shared" si="60"/>
        <v>2.1777485978812412</v>
      </c>
      <c r="R132" s="1">
        <f t="shared" si="61"/>
        <v>129.05177386401363</v>
      </c>
      <c r="S132" s="1">
        <f t="shared" si="62"/>
        <v>120.2334806002105</v>
      </c>
      <c r="T132" s="1">
        <f t="shared" si="63"/>
        <v>55.221518663396019</v>
      </c>
      <c r="U132" s="1" t="str">
        <f t="shared" si="64"/>
        <v>charge</v>
      </c>
      <c r="Y132" s="1">
        <f t="shared" si="65"/>
        <v>2.364367596899225E-2</v>
      </c>
      <c r="AA132" s="1">
        <f t="shared" si="69"/>
        <v>24.378899817127952</v>
      </c>
      <c r="AD132" s="1">
        <f t="shared" si="70"/>
        <v>0.25</v>
      </c>
    </row>
    <row r="133" spans="1:30" ht="15">
      <c r="A133" s="1">
        <v>132</v>
      </c>
      <c r="B133" s="1">
        <f t="shared" si="44"/>
        <v>2.6751936259236153</v>
      </c>
      <c r="C133" s="1">
        <f t="shared" si="66"/>
        <v>0</v>
      </c>
      <c r="D133" s="1">
        <f t="shared" si="71"/>
        <v>20.634712183668405</v>
      </c>
      <c r="E133">
        <v>59.27</v>
      </c>
      <c r="K133" s="1">
        <f>'Solar Availability and Gener GR'!F133</f>
        <v>2.9251936259236153</v>
      </c>
      <c r="L133" s="1">
        <v>0.39891472868217059</v>
      </c>
      <c r="M133" s="1">
        <f t="shared" si="67"/>
        <v>2.5262788972414447</v>
      </c>
      <c r="N133" s="1" t="str">
        <f t="shared" si="68"/>
        <v>sell the surplus or charge</v>
      </c>
      <c r="O133" s="1">
        <v>0.25</v>
      </c>
      <c r="P133" s="1">
        <f t="shared" si="59"/>
        <v>0.62670034978624167</v>
      </c>
      <c r="Q133" s="1">
        <f t="shared" si="60"/>
        <v>2.6751936259236153</v>
      </c>
      <c r="R133" s="1">
        <f t="shared" si="61"/>
        <v>158.53534067608513</v>
      </c>
      <c r="S133" s="1">
        <f t="shared" si="62"/>
        <v>149.717047412282</v>
      </c>
      <c r="T133" s="1">
        <f t="shared" si="63"/>
        <v>55.974196644877878</v>
      </c>
      <c r="U133" s="1" t="str">
        <f t="shared" si="64"/>
        <v>charge</v>
      </c>
      <c r="Y133" s="1">
        <f t="shared" si="65"/>
        <v>2.364367596899225E-2</v>
      </c>
      <c r="AA133" s="1">
        <f t="shared" si="69"/>
        <v>26.905178714369395</v>
      </c>
      <c r="AD133" s="1">
        <f t="shared" si="70"/>
        <v>0.25</v>
      </c>
    </row>
    <row r="134" spans="1:30" ht="15">
      <c r="A134" s="1">
        <v>133</v>
      </c>
      <c r="B134" s="1">
        <f t="shared" si="44"/>
        <v>2.9428647734354128</v>
      </c>
      <c r="C134" s="1">
        <f t="shared" si="66"/>
        <v>0</v>
      </c>
      <c r="D134" s="1">
        <f t="shared" si="71"/>
        <v>22.989004002416735</v>
      </c>
      <c r="E134">
        <v>59.27</v>
      </c>
      <c r="K134" s="1">
        <f>'Solar Availability and Gener GR'!F134</f>
        <v>3.1928647734354128</v>
      </c>
      <c r="L134" s="1">
        <v>0.38604651162790704</v>
      </c>
      <c r="M134" s="1">
        <f t="shared" si="67"/>
        <v>2.8068182618075057</v>
      </c>
      <c r="N134" s="1" t="str">
        <f t="shared" si="68"/>
        <v>sell the surplus or charge</v>
      </c>
      <c r="O134" s="1">
        <v>0.25</v>
      </c>
      <c r="P134" s="1">
        <f t="shared" si="59"/>
        <v>0.64759036144578308</v>
      </c>
      <c r="Q134" s="1">
        <f t="shared" si="60"/>
        <v>2.9428647734354128</v>
      </c>
      <c r="R134" s="1">
        <f t="shared" si="61"/>
        <v>174.40020958910935</v>
      </c>
      <c r="S134" s="1">
        <f t="shared" si="62"/>
        <v>166.34406241544946</v>
      </c>
      <c r="T134" s="1">
        <f t="shared" si="63"/>
        <v>56.532867509092235</v>
      </c>
      <c r="U134" s="1" t="str">
        <f t="shared" si="64"/>
        <v>charge</v>
      </c>
      <c r="Y134" s="1">
        <f t="shared" si="65"/>
        <v>2.288097674418605E-2</v>
      </c>
      <c r="AA134" s="1">
        <f t="shared" si="69"/>
        <v>29.711996976176902</v>
      </c>
      <c r="AD134" s="1">
        <f t="shared" si="70"/>
        <v>0.25</v>
      </c>
    </row>
    <row r="135" spans="1:30" ht="15">
      <c r="A135" s="1">
        <v>134</v>
      </c>
      <c r="B135" s="1">
        <f t="shared" si="44"/>
        <v>2.9424241075402815</v>
      </c>
      <c r="C135" s="1">
        <f t="shared" si="66"/>
        <v>0</v>
      </c>
      <c r="D135" s="1">
        <f t="shared" si="71"/>
        <v>25.342943288448961</v>
      </c>
      <c r="E135">
        <v>59.27</v>
      </c>
      <c r="K135" s="1">
        <f>'Solar Availability and Gener GR'!F135</f>
        <v>3.1924241075402815</v>
      </c>
      <c r="L135" s="1">
        <v>0.39891472868217059</v>
      </c>
      <c r="M135" s="1">
        <f t="shared" si="67"/>
        <v>2.7935093788581109</v>
      </c>
      <c r="N135" s="1" t="str">
        <f t="shared" si="68"/>
        <v>sell the surplus or charge</v>
      </c>
      <c r="O135" s="1">
        <v>0.25</v>
      </c>
      <c r="P135" s="1">
        <f t="shared" si="59"/>
        <v>0.62670034978624167</v>
      </c>
      <c r="Q135" s="1">
        <f t="shared" si="60"/>
        <v>2.9424241075402815</v>
      </c>
      <c r="R135" s="1">
        <f t="shared" si="61"/>
        <v>174.37409132150492</v>
      </c>
      <c r="S135" s="1">
        <f t="shared" si="62"/>
        <v>165.55579805770182</v>
      </c>
      <c r="T135" s="1">
        <f t="shared" si="63"/>
        <v>56.273476207918179</v>
      </c>
      <c r="U135" s="1" t="str">
        <f t="shared" si="64"/>
        <v>charge</v>
      </c>
      <c r="Y135" s="1">
        <f t="shared" si="65"/>
        <v>2.364367596899225E-2</v>
      </c>
      <c r="AA135" s="1">
        <f t="shared" si="69"/>
        <v>32.50550635503501</v>
      </c>
      <c r="AD135" s="1">
        <f t="shared" si="70"/>
        <v>0.25</v>
      </c>
    </row>
    <row r="136" spans="1:30" ht="15">
      <c r="A136" s="1">
        <v>135</v>
      </c>
      <c r="B136" s="1">
        <f t="shared" si="44"/>
        <v>2.8079809489895817</v>
      </c>
      <c r="C136" s="1">
        <f t="shared" si="66"/>
        <v>0</v>
      </c>
      <c r="D136" s="1">
        <f t="shared" si="71"/>
        <v>27.589328047640628</v>
      </c>
      <c r="E136">
        <v>59.27</v>
      </c>
      <c r="K136" s="1">
        <f>'Solar Availability and Gener GR'!F136</f>
        <v>3.0579809489895817</v>
      </c>
      <c r="L136" s="1">
        <v>0.39891472868217059</v>
      </c>
      <c r="M136" s="1">
        <f t="shared" si="67"/>
        <v>2.6590662203074111</v>
      </c>
      <c r="N136" s="1" t="str">
        <f t="shared" si="68"/>
        <v>sell the surplus or charge</v>
      </c>
      <c r="O136" s="1">
        <v>0.25</v>
      </c>
      <c r="P136" s="1">
        <f t="shared" si="59"/>
        <v>0.62670034978624167</v>
      </c>
      <c r="Q136" s="1">
        <f t="shared" si="60"/>
        <v>2.8079809489895817</v>
      </c>
      <c r="R136" s="1">
        <f t="shared" si="61"/>
        <v>166.40564531420495</v>
      </c>
      <c r="S136" s="1">
        <f t="shared" si="62"/>
        <v>157.58735205040185</v>
      </c>
      <c r="T136" s="1">
        <f t="shared" si="63"/>
        <v>56.130028238502895</v>
      </c>
      <c r="U136" s="1" t="str">
        <f t="shared" si="64"/>
        <v>charge</v>
      </c>
      <c r="Y136" s="1">
        <f t="shared" si="65"/>
        <v>2.364367596899225E-2</v>
      </c>
      <c r="AA136" s="1">
        <f t="shared" si="69"/>
        <v>35.164572575342419</v>
      </c>
      <c r="AD136" s="1">
        <f t="shared" si="70"/>
        <v>0.25</v>
      </c>
    </row>
    <row r="137" spans="1:30" ht="15">
      <c r="A137" s="1">
        <v>136</v>
      </c>
      <c r="B137" s="1">
        <f t="shared" si="44"/>
        <v>2.5394952372473929</v>
      </c>
      <c r="C137" s="1">
        <f t="shared" si="66"/>
        <v>0</v>
      </c>
      <c r="D137" s="1">
        <f t="shared" si="71"/>
        <v>29.62092423743854</v>
      </c>
      <c r="E137">
        <v>59.27</v>
      </c>
      <c r="K137" s="1">
        <f>'Solar Availability and Gener GR'!F137</f>
        <v>2.7894952372473929</v>
      </c>
      <c r="L137" s="1">
        <v>0.39891472868217059</v>
      </c>
      <c r="M137" s="1">
        <f t="shared" si="67"/>
        <v>2.3905805085652223</v>
      </c>
      <c r="N137" s="1" t="str">
        <f t="shared" si="68"/>
        <v>sell the surplus or charge</v>
      </c>
      <c r="O137" s="1">
        <v>0.25</v>
      </c>
      <c r="P137" s="1">
        <f t="shared" si="59"/>
        <v>0.62670034978624167</v>
      </c>
      <c r="Q137" s="1">
        <f t="shared" si="60"/>
        <v>2.5394952372473929</v>
      </c>
      <c r="R137" s="1">
        <f t="shared" si="61"/>
        <v>150.49249717924542</v>
      </c>
      <c r="S137" s="1">
        <f t="shared" si="62"/>
        <v>141.67420391544232</v>
      </c>
      <c r="T137" s="1">
        <f t="shared" si="63"/>
        <v>55.798115570807987</v>
      </c>
      <c r="U137" s="1" t="str">
        <f t="shared" si="64"/>
        <v>charge</v>
      </c>
      <c r="Y137" s="1">
        <f t="shared" si="65"/>
        <v>2.364367596899225E-2</v>
      </c>
      <c r="AA137" s="1">
        <f t="shared" si="69"/>
        <v>37.555153083907641</v>
      </c>
      <c r="AD137" s="1">
        <f t="shared" si="70"/>
        <v>0.25</v>
      </c>
    </row>
    <row r="138" spans="1:30" ht="15">
      <c r="A138" s="1">
        <v>137</v>
      </c>
      <c r="B138" s="1">
        <f t="shared" si="44"/>
        <v>0</v>
      </c>
      <c r="C138" s="1">
        <f t="shared" si="66"/>
        <v>0</v>
      </c>
      <c r="D138" s="1">
        <f t="shared" si="71"/>
        <v>29.62092423743854</v>
      </c>
      <c r="E138">
        <v>59.27</v>
      </c>
      <c r="K138" s="1">
        <f>'Solar Availability and Gener GR'!F138</f>
        <v>2.3678046826315309</v>
      </c>
      <c r="L138" s="1">
        <v>0.66914728682170543</v>
      </c>
      <c r="M138" s="1">
        <f t="shared" si="67"/>
        <v>1.6986573958098254</v>
      </c>
      <c r="N138" s="1" t="str">
        <f t="shared" si="68"/>
        <v>sell the surplus or charge</v>
      </c>
      <c r="O138" s="1">
        <v>0.25</v>
      </c>
      <c r="P138" s="1">
        <f t="shared" si="59"/>
        <v>0.3736098239110287</v>
      </c>
      <c r="Q138" s="1">
        <f t="shared" si="60"/>
        <v>2.1178046826315309</v>
      </c>
      <c r="R138" s="1">
        <f t="shared" si="61"/>
        <v>125.49889800716328</v>
      </c>
      <c r="S138" s="1">
        <f t="shared" si="62"/>
        <v>100.67264667212791</v>
      </c>
      <c r="T138" s="1">
        <f t="shared" si="63"/>
        <v>47.550088966653043</v>
      </c>
      <c r="U138" s="1" t="str">
        <f t="shared" si="64"/>
        <v>sell to the Grid</v>
      </c>
      <c r="W138" s="1">
        <f>(Q138*E138)/1000</f>
        <v>0.12552228353957084</v>
      </c>
      <c r="Y138" s="1">
        <f t="shared" si="65"/>
        <v>3.9660359689922479E-2</v>
      </c>
      <c r="AA138" s="1">
        <f t="shared" si="69"/>
        <v>39.253810479717465</v>
      </c>
      <c r="AD138" s="1">
        <f t="shared" si="70"/>
        <v>0.25</v>
      </c>
    </row>
    <row r="139" spans="1:30" ht="15">
      <c r="A139" s="1">
        <v>138</v>
      </c>
      <c r="B139" s="1">
        <f t="shared" si="44"/>
        <v>0</v>
      </c>
      <c r="C139" s="1">
        <f t="shared" si="66"/>
        <v>0</v>
      </c>
      <c r="D139" s="1">
        <f t="shared" si="71"/>
        <v>29.62092423743854</v>
      </c>
      <c r="E139">
        <v>59.27</v>
      </c>
      <c r="K139" s="1">
        <f>'Solar Availability and Gener GR'!F139</f>
        <v>1.7929226386539647</v>
      </c>
      <c r="L139" s="1">
        <v>0.65627906976744199</v>
      </c>
      <c r="M139" s="1">
        <f t="shared" si="67"/>
        <v>1.1366435688865226</v>
      </c>
      <c r="N139" s="1" t="str">
        <f t="shared" si="68"/>
        <v>sell the surplus or charge</v>
      </c>
      <c r="O139" s="1">
        <v>0.25</v>
      </c>
      <c r="P139" s="1">
        <f t="shared" si="59"/>
        <v>0.38093550673281351</v>
      </c>
      <c r="Q139" s="1">
        <f t="shared" si="60"/>
        <v>1.5429226386539647</v>
      </c>
      <c r="R139" s="1">
        <f t="shared" si="61"/>
        <v>91.42563926061294</v>
      </c>
      <c r="S139" s="1">
        <f t="shared" si="62"/>
        <v>67.361759584832868</v>
      </c>
      <c r="T139" s="1">
        <f t="shared" si="63"/>
        <v>43.679116532910804</v>
      </c>
      <c r="U139" s="1" t="str">
        <f t="shared" si="64"/>
        <v>sell to the Grid</v>
      </c>
      <c r="W139" s="1">
        <f>(Q139*E139)/1000</f>
        <v>9.14490247930205E-2</v>
      </c>
      <c r="Y139" s="1">
        <f t="shared" si="65"/>
        <v>3.8897660465116286E-2</v>
      </c>
      <c r="AA139" s="1">
        <f t="shared" si="69"/>
        <v>40.390454048603985</v>
      </c>
      <c r="AD139" s="1">
        <f t="shared" si="70"/>
        <v>0.25</v>
      </c>
    </row>
    <row r="140" spans="1:30" ht="15">
      <c r="A140" s="1">
        <v>139</v>
      </c>
      <c r="B140" s="1">
        <f t="shared" si="44"/>
        <v>0</v>
      </c>
      <c r="C140" s="1">
        <f t="shared" si="66"/>
        <v>0</v>
      </c>
      <c r="D140" s="1">
        <f t="shared" si="71"/>
        <v>29.62092423743854</v>
      </c>
      <c r="E140">
        <v>59.27</v>
      </c>
      <c r="K140" s="1">
        <f>'Solar Availability and Gener GR'!F140</f>
        <v>1.1222825603133602</v>
      </c>
      <c r="L140" s="1">
        <v>0.66914728682170543</v>
      </c>
      <c r="M140" s="1">
        <f t="shared" si="67"/>
        <v>0.45313527349165472</v>
      </c>
      <c r="N140" s="1" t="str">
        <f t="shared" si="68"/>
        <v>sell the surplus or charge</v>
      </c>
      <c r="O140" s="1">
        <v>0.25</v>
      </c>
      <c r="P140" s="1">
        <f t="shared" si="59"/>
        <v>0.3736098239110287</v>
      </c>
      <c r="Q140" s="1">
        <f t="shared" si="60"/>
        <v>0.87228256031336016</v>
      </c>
      <c r="R140" s="1">
        <f t="shared" si="61"/>
        <v>51.676801817365309</v>
      </c>
      <c r="S140" s="1">
        <f t="shared" si="62"/>
        <v>26.850550482329936</v>
      </c>
      <c r="T140" s="1">
        <f t="shared" si="63"/>
        <v>30.833484908653574</v>
      </c>
      <c r="U140" s="1" t="str">
        <f t="shared" si="64"/>
        <v>sell to the Grid</v>
      </c>
      <c r="W140" s="1">
        <f>(Q140*E140)/1000</f>
        <v>5.1700187349772858E-2</v>
      </c>
      <c r="Y140" s="1">
        <f t="shared" si="65"/>
        <v>3.9660359689922479E-2</v>
      </c>
      <c r="AA140" s="1">
        <f t="shared" si="69"/>
        <v>40.843589322095639</v>
      </c>
      <c r="AD140" s="1">
        <f t="shared" si="70"/>
        <v>0.25</v>
      </c>
    </row>
    <row r="141" spans="1:30" ht="15">
      <c r="A141" s="1">
        <v>140</v>
      </c>
      <c r="B141" s="1">
        <f t="shared" si="44"/>
        <v>0</v>
      </c>
      <c r="C141" s="1">
        <f t="shared" si="66"/>
        <v>0</v>
      </c>
      <c r="D141" s="1">
        <f t="shared" si="71"/>
        <v>29.62092423743854</v>
      </c>
      <c r="E141">
        <v>59.27</v>
      </c>
      <c r="K141" s="1">
        <f>'Solar Availability and Gener GR'!F141</f>
        <v>0.45164248197275875</v>
      </c>
      <c r="L141" s="1">
        <v>0.65627906976744199</v>
      </c>
      <c r="M141" s="1">
        <f t="shared" si="67"/>
        <v>-0.20463658779468324</v>
      </c>
      <c r="N141" s="1" t="str">
        <f t="shared" si="68"/>
        <v>Buy from Grid</v>
      </c>
      <c r="V141" s="1" t="str">
        <f t="shared" ref="V141:V153" si="72">IF(D141+M141&gt;0,"discharge","buy from the Grid")</f>
        <v>discharge</v>
      </c>
      <c r="Y141" s="1">
        <f t="shared" si="65"/>
        <v>3.8897660465116286E-2</v>
      </c>
      <c r="AA141" s="1">
        <f t="shared" si="69"/>
        <v>40.638952734300958</v>
      </c>
      <c r="AD141" s="1">
        <f t="shared" si="70"/>
        <v>0</v>
      </c>
    </row>
    <row r="142" spans="1:30" ht="15">
      <c r="A142" s="1">
        <v>141</v>
      </c>
      <c r="B142" s="1">
        <f t="shared" si="44"/>
        <v>0</v>
      </c>
      <c r="C142" s="1">
        <f t="shared" si="66"/>
        <v>-0.34980051164308917</v>
      </c>
      <c r="D142" s="1">
        <f t="shared" si="71"/>
        <v>29.183673597884678</v>
      </c>
      <c r="E142">
        <v>59.27</v>
      </c>
      <c r="K142" s="1">
        <f>'Solar Availability and Gener GR'!F142</f>
        <v>4.91142170390814E-2</v>
      </c>
      <c r="L142" s="1">
        <v>0.39891472868217059</v>
      </c>
      <c r="M142" s="1">
        <f t="shared" si="67"/>
        <v>-0.34980051164308917</v>
      </c>
      <c r="N142" s="1" t="str">
        <f t="shared" si="68"/>
        <v>Buy from Grid</v>
      </c>
      <c r="V142" s="1" t="str">
        <f t="shared" si="72"/>
        <v>discharge</v>
      </c>
      <c r="Y142" s="1">
        <f t="shared" si="65"/>
        <v>2.364367596899225E-2</v>
      </c>
      <c r="AA142" s="1">
        <f t="shared" si="69"/>
        <v>40.289152222657869</v>
      </c>
      <c r="AD142" s="1">
        <f t="shared" si="70"/>
        <v>0</v>
      </c>
    </row>
    <row r="143" spans="1:30" ht="15">
      <c r="A143" s="1">
        <v>142</v>
      </c>
      <c r="B143" s="1">
        <f t="shared" si="44"/>
        <v>0</v>
      </c>
      <c r="C143" s="1">
        <f t="shared" si="66"/>
        <v>-0.39891472868217059</v>
      </c>
      <c r="D143" s="1">
        <f t="shared" si="71"/>
        <v>28.685030187031963</v>
      </c>
      <c r="E143">
        <v>59.27</v>
      </c>
      <c r="K143" s="1">
        <f>'Solar Availability and Gener GR'!F143</f>
        <v>0</v>
      </c>
      <c r="L143" s="1">
        <v>0.39891472868217059</v>
      </c>
      <c r="M143" s="1">
        <f t="shared" si="67"/>
        <v>-0.39891472868217059</v>
      </c>
      <c r="N143" s="1" t="str">
        <f t="shared" si="68"/>
        <v>Buy from Grid</v>
      </c>
      <c r="V143" s="1" t="str">
        <f t="shared" si="72"/>
        <v>discharge</v>
      </c>
      <c r="Y143" s="1">
        <f t="shared" si="65"/>
        <v>2.364367596899225E-2</v>
      </c>
      <c r="AA143" s="1">
        <f t="shared" si="69"/>
        <v>39.890237493975697</v>
      </c>
      <c r="AD143" s="1">
        <f t="shared" si="70"/>
        <v>0</v>
      </c>
    </row>
    <row r="144" spans="1:30" ht="15">
      <c r="A144" s="1">
        <v>143</v>
      </c>
      <c r="B144" s="1">
        <f t="shared" ref="B144:B207" si="73">IF(U144="charge",Q144,0)</f>
        <v>0</v>
      </c>
      <c r="C144" s="1">
        <f t="shared" si="66"/>
        <v>-0.39891472868217059</v>
      </c>
      <c r="D144" s="1">
        <f t="shared" si="71"/>
        <v>28.186386776179248</v>
      </c>
      <c r="E144">
        <v>59.27</v>
      </c>
      <c r="K144" s="1">
        <f>'Solar Availability and Gener GR'!F144</f>
        <v>0</v>
      </c>
      <c r="L144" s="1">
        <v>0.39891472868217059</v>
      </c>
      <c r="M144" s="1">
        <f t="shared" si="67"/>
        <v>-0.39891472868217059</v>
      </c>
      <c r="N144" s="1" t="str">
        <f t="shared" si="68"/>
        <v>Buy from Grid</v>
      </c>
      <c r="V144" s="1" t="str">
        <f t="shared" si="72"/>
        <v>discharge</v>
      </c>
      <c r="Y144" s="1">
        <f t="shared" si="65"/>
        <v>2.364367596899225E-2</v>
      </c>
      <c r="AA144" s="1">
        <f t="shared" si="69"/>
        <v>39.491322765293525</v>
      </c>
      <c r="AD144" s="1">
        <f t="shared" si="70"/>
        <v>0</v>
      </c>
    </row>
    <row r="145" spans="1:30" ht="15">
      <c r="A145" s="1">
        <v>144</v>
      </c>
      <c r="B145" s="1">
        <f t="shared" si="73"/>
        <v>0</v>
      </c>
      <c r="C145" s="1">
        <f t="shared" si="66"/>
        <v>-0.29596899224806206</v>
      </c>
      <c r="D145" s="1">
        <f t="shared" si="71"/>
        <v>27.816425535869172</v>
      </c>
      <c r="E145">
        <v>59.27</v>
      </c>
      <c r="K145" s="1">
        <f>'Solar Availability and Gener GR'!F145</f>
        <v>0</v>
      </c>
      <c r="L145" s="1">
        <v>0.29596899224806206</v>
      </c>
      <c r="M145" s="1">
        <f t="shared" si="67"/>
        <v>-0.29596899224806206</v>
      </c>
      <c r="N145" s="1" t="str">
        <f t="shared" si="68"/>
        <v>Buy from Grid</v>
      </c>
      <c r="V145" s="1" t="str">
        <f t="shared" si="72"/>
        <v>discharge</v>
      </c>
      <c r="Y145" s="1">
        <f t="shared" si="65"/>
        <v>1.754208217054264E-2</v>
      </c>
      <c r="AA145" s="1">
        <f t="shared" si="69"/>
        <v>39.195353773045461</v>
      </c>
      <c r="AD145" s="1">
        <f t="shared" si="70"/>
        <v>0</v>
      </c>
    </row>
    <row r="146" spans="1:30" ht="15">
      <c r="A146" s="1">
        <v>145</v>
      </c>
      <c r="B146" s="1">
        <f t="shared" si="73"/>
        <v>0</v>
      </c>
      <c r="C146" s="1">
        <f t="shared" si="66"/>
        <v>-0.29596899224806206</v>
      </c>
      <c r="D146" s="1">
        <f t="shared" si="71"/>
        <v>27.446464295559096</v>
      </c>
      <c r="E146">
        <v>59.27</v>
      </c>
      <c r="K146" s="1">
        <f>'Solar Availability and Gener GR'!F146</f>
        <v>0</v>
      </c>
      <c r="L146" s="1">
        <v>0.29596899224806206</v>
      </c>
      <c r="M146" s="1">
        <f t="shared" si="67"/>
        <v>-0.29596899224806206</v>
      </c>
      <c r="N146" s="1" t="str">
        <f t="shared" si="68"/>
        <v>Buy from Grid</v>
      </c>
      <c r="V146" s="1" t="str">
        <f t="shared" si="72"/>
        <v>discharge</v>
      </c>
      <c r="Y146" s="1">
        <f t="shared" si="65"/>
        <v>1.754208217054264E-2</v>
      </c>
      <c r="AA146" s="1">
        <f t="shared" si="69"/>
        <v>38.899384780797398</v>
      </c>
      <c r="AD146" s="1">
        <f t="shared" si="70"/>
        <v>0</v>
      </c>
    </row>
    <row r="147" spans="1:30" ht="15">
      <c r="A147" s="1">
        <v>146</v>
      </c>
      <c r="B147" s="1">
        <f t="shared" si="73"/>
        <v>0</v>
      </c>
      <c r="C147" s="1">
        <f t="shared" si="66"/>
        <v>-0.29596899224806206</v>
      </c>
      <c r="D147" s="1">
        <f t="shared" si="71"/>
        <v>27.07650305524902</v>
      </c>
      <c r="E147">
        <v>59.27</v>
      </c>
      <c r="K147" s="1">
        <f>'Solar Availability and Gener GR'!F147</f>
        <v>0</v>
      </c>
      <c r="L147" s="1">
        <v>0.29596899224806206</v>
      </c>
      <c r="M147" s="1">
        <f t="shared" si="67"/>
        <v>-0.29596899224806206</v>
      </c>
      <c r="N147" s="1" t="str">
        <f t="shared" si="68"/>
        <v>Buy from Grid</v>
      </c>
      <c r="V147" s="1" t="str">
        <f t="shared" si="72"/>
        <v>discharge</v>
      </c>
      <c r="Y147" s="1">
        <f t="shared" si="65"/>
        <v>1.754208217054264E-2</v>
      </c>
      <c r="AA147" s="1">
        <f t="shared" si="69"/>
        <v>38.603415788549334</v>
      </c>
      <c r="AD147" s="1">
        <f t="shared" si="70"/>
        <v>0</v>
      </c>
    </row>
    <row r="148" spans="1:30" ht="15">
      <c r="A148" s="1">
        <v>147</v>
      </c>
      <c r="B148" s="1">
        <f t="shared" si="73"/>
        <v>0</v>
      </c>
      <c r="C148" s="1">
        <f t="shared" si="66"/>
        <v>-0.30883720930232561</v>
      </c>
      <c r="D148" s="1">
        <f t="shared" si="71"/>
        <v>26.690456543621114</v>
      </c>
      <c r="E148">
        <v>59.27</v>
      </c>
      <c r="K148" s="1">
        <f>'Solar Availability and Gener GR'!F148</f>
        <v>0</v>
      </c>
      <c r="L148" s="1">
        <v>0.30883720930232561</v>
      </c>
      <c r="M148" s="1">
        <f t="shared" si="67"/>
        <v>-0.30883720930232561</v>
      </c>
      <c r="N148" s="1" t="str">
        <f t="shared" si="68"/>
        <v>Buy from Grid</v>
      </c>
      <c r="V148" s="1" t="str">
        <f t="shared" si="72"/>
        <v>discharge</v>
      </c>
      <c r="Y148" s="1">
        <f t="shared" si="65"/>
        <v>1.830478139534884E-2</v>
      </c>
      <c r="AA148" s="1">
        <f t="shared" si="69"/>
        <v>38.294578579247009</v>
      </c>
      <c r="AD148" s="1">
        <f t="shared" si="70"/>
        <v>0</v>
      </c>
    </row>
    <row r="149" spans="1:30" ht="15">
      <c r="A149" s="1">
        <v>148</v>
      </c>
      <c r="B149" s="1">
        <f t="shared" si="73"/>
        <v>0</v>
      </c>
      <c r="C149" s="1">
        <f t="shared" si="66"/>
        <v>-0.29596899224806206</v>
      </c>
      <c r="D149" s="1">
        <f t="shared" si="71"/>
        <v>26.320495303311038</v>
      </c>
      <c r="E149">
        <v>59.27</v>
      </c>
      <c r="K149" s="1">
        <f>'Solar Availability and Gener GR'!F149</f>
        <v>0</v>
      </c>
      <c r="L149" s="1">
        <v>0.29596899224806206</v>
      </c>
      <c r="M149" s="1">
        <f t="shared" si="67"/>
        <v>-0.29596899224806206</v>
      </c>
      <c r="N149" s="1" t="str">
        <f t="shared" si="68"/>
        <v>Buy from Grid</v>
      </c>
      <c r="V149" s="1" t="str">
        <f t="shared" si="72"/>
        <v>discharge</v>
      </c>
      <c r="Y149" s="1">
        <f t="shared" si="65"/>
        <v>1.754208217054264E-2</v>
      </c>
      <c r="AA149" s="1">
        <f t="shared" si="69"/>
        <v>37.998609586998946</v>
      </c>
      <c r="AD149" s="1">
        <f t="shared" si="70"/>
        <v>0</v>
      </c>
    </row>
    <row r="150" spans="1:30" ht="15">
      <c r="A150" s="1">
        <v>149</v>
      </c>
      <c r="B150" s="1">
        <f t="shared" si="73"/>
        <v>0</v>
      </c>
      <c r="C150" s="1">
        <f t="shared" si="66"/>
        <v>-0.39891472868217059</v>
      </c>
      <c r="D150" s="1">
        <f t="shared" si="71"/>
        <v>25.821851892458323</v>
      </c>
      <c r="E150">
        <v>59.27</v>
      </c>
      <c r="K150" s="1">
        <f>'Solar Availability and Gener GR'!F150</f>
        <v>0</v>
      </c>
      <c r="L150" s="1">
        <v>0.39891472868217059</v>
      </c>
      <c r="M150" s="1">
        <f t="shared" si="67"/>
        <v>-0.39891472868217059</v>
      </c>
      <c r="N150" s="1" t="str">
        <f t="shared" si="68"/>
        <v>Buy from Grid</v>
      </c>
      <c r="V150" s="1" t="str">
        <f t="shared" si="72"/>
        <v>discharge</v>
      </c>
      <c r="Y150" s="1">
        <f t="shared" si="65"/>
        <v>2.364367596899225E-2</v>
      </c>
      <c r="AA150" s="1">
        <f t="shared" si="69"/>
        <v>37.599694858316774</v>
      </c>
      <c r="AD150" s="1">
        <f t="shared" si="70"/>
        <v>0</v>
      </c>
    </row>
    <row r="151" spans="1:30" ht="15">
      <c r="A151" s="1">
        <v>150</v>
      </c>
      <c r="B151" s="1">
        <f t="shared" si="73"/>
        <v>0</v>
      </c>
      <c r="C151" s="1">
        <f t="shared" si="66"/>
        <v>-0.66914728682170543</v>
      </c>
      <c r="D151" s="1">
        <f t="shared" si="71"/>
        <v>24.98541778393119</v>
      </c>
      <c r="E151">
        <v>59.27</v>
      </c>
      <c r="K151" s="1">
        <f>'Solar Availability and Gener GR'!F151</f>
        <v>0</v>
      </c>
      <c r="L151" s="1">
        <v>0.66914728682170543</v>
      </c>
      <c r="M151" s="1">
        <f t="shared" si="67"/>
        <v>-0.66914728682170543</v>
      </c>
      <c r="N151" s="1" t="str">
        <f t="shared" si="68"/>
        <v>Buy from Grid</v>
      </c>
      <c r="V151" s="1" t="str">
        <f t="shared" si="72"/>
        <v>discharge</v>
      </c>
      <c r="Y151" s="1">
        <f t="shared" si="65"/>
        <v>3.9660359689922479E-2</v>
      </c>
      <c r="AA151" s="1">
        <f t="shared" si="69"/>
        <v>36.930547571495069</v>
      </c>
      <c r="AD151" s="1">
        <f t="shared" si="70"/>
        <v>0</v>
      </c>
    </row>
    <row r="152" spans="1:30" ht="15">
      <c r="A152" s="1">
        <v>151</v>
      </c>
      <c r="B152" s="1">
        <f t="shared" si="73"/>
        <v>0</v>
      </c>
      <c r="C152" s="1">
        <f t="shared" si="66"/>
        <v>-0.61514728682170539</v>
      </c>
      <c r="D152" s="1">
        <f t="shared" si="71"/>
        <v>24.21648367540406</v>
      </c>
      <c r="E152">
        <v>59.27</v>
      </c>
      <c r="K152" s="1">
        <f>'Solar Availability and Gener GR'!F152</f>
        <v>5.3999999999999999E-2</v>
      </c>
      <c r="L152" s="1">
        <v>0.66914728682170543</v>
      </c>
      <c r="M152" s="1">
        <f t="shared" si="67"/>
        <v>-0.61514728682170539</v>
      </c>
      <c r="N152" s="1" t="str">
        <f t="shared" si="68"/>
        <v>Buy from Grid</v>
      </c>
      <c r="V152" s="1" t="str">
        <f t="shared" si="72"/>
        <v>discharge</v>
      </c>
      <c r="Y152" s="1">
        <f t="shared" si="65"/>
        <v>3.9660359689922479E-2</v>
      </c>
      <c r="AA152" s="1">
        <f t="shared" si="69"/>
        <v>36.315400284673366</v>
      </c>
      <c r="AD152" s="1">
        <f t="shared" si="70"/>
        <v>0</v>
      </c>
    </row>
    <row r="153" spans="1:30" ht="15">
      <c r="A153" s="1">
        <v>152</v>
      </c>
      <c r="B153" s="1">
        <f t="shared" si="73"/>
        <v>0</v>
      </c>
      <c r="C153" s="1">
        <f t="shared" si="66"/>
        <v>-0.33794728682170549</v>
      </c>
      <c r="D153" s="1">
        <f t="shared" si="71"/>
        <v>23.794049566876929</v>
      </c>
      <c r="E153">
        <v>59.27</v>
      </c>
      <c r="K153" s="1">
        <f>'Solar Availability and Gener GR'!F153</f>
        <v>0.33119999999999994</v>
      </c>
      <c r="L153" s="1">
        <v>0.66914728682170543</v>
      </c>
      <c r="M153" s="1">
        <f t="shared" si="67"/>
        <v>-0.33794728682170549</v>
      </c>
      <c r="N153" s="1" t="str">
        <f t="shared" si="68"/>
        <v>Buy from Grid</v>
      </c>
      <c r="V153" s="1" t="str">
        <f t="shared" si="72"/>
        <v>discharge</v>
      </c>
      <c r="Y153" s="1">
        <f t="shared" si="65"/>
        <v>3.9660359689922479E-2</v>
      </c>
      <c r="AA153" s="1">
        <f t="shared" si="69"/>
        <v>35.977452997851664</v>
      </c>
      <c r="AD153" s="1">
        <f t="shared" si="70"/>
        <v>0</v>
      </c>
    </row>
    <row r="154" spans="1:30" ht="15">
      <c r="A154" s="1">
        <v>153</v>
      </c>
      <c r="B154" s="1">
        <f t="shared" si="73"/>
        <v>0</v>
      </c>
      <c r="C154" s="1">
        <f t="shared" si="66"/>
        <v>0.28710859545207545</v>
      </c>
      <c r="D154" s="1">
        <f t="shared" si="71"/>
        <v>24.152935311192024</v>
      </c>
      <c r="E154">
        <v>59.27</v>
      </c>
      <c r="K154" s="1">
        <f>'Solar Availability and Gener GR'!F154</f>
        <v>0.68602332413424605</v>
      </c>
      <c r="L154" s="1">
        <v>0.39891472868217059</v>
      </c>
      <c r="M154" s="1">
        <f t="shared" si="67"/>
        <v>0.28710859545207545</v>
      </c>
      <c r="N154" s="1" t="str">
        <f t="shared" si="68"/>
        <v>sell the surplus or charge</v>
      </c>
      <c r="O154" s="1">
        <v>0.25</v>
      </c>
      <c r="P154" s="1">
        <f t="shared" ref="P154:P165" si="74">0.25/L154</f>
        <v>0.62670034978624167</v>
      </c>
      <c r="Q154" s="1">
        <f t="shared" ref="Q154:Q165" si="75">K154-P154*L154</f>
        <v>0.43602332413424605</v>
      </c>
      <c r="R154" s="1">
        <f t="shared" ref="R154:R165" si="76">((1/(E154+0.01))*LN(0.25))+(E154*(K154-0.25))</f>
        <v>25.819716889029209</v>
      </c>
      <c r="S154" s="1">
        <f t="shared" ref="S154:S165" si="77">((1/(E154+0.01))*LN(L154))+(E154*(K154-L154))</f>
        <v>17.001423625226089</v>
      </c>
      <c r="T154" s="1">
        <f t="shared" ref="T154:T165" si="78">(S154+((S154^2)-4*(K154-L154*P154)*LN(L154*P154))^(0.5))/(2*(K154-L154*P154))</f>
        <v>39.073375070494656</v>
      </c>
      <c r="U154" s="1" t="str">
        <f t="shared" ref="U154:U165" si="79">IF(E154&gt;=T154*1.2,"sell to the Grid","charge")</f>
        <v>sell to the Grid</v>
      </c>
      <c r="W154" s="1">
        <f>(Q154*E154)/1000</f>
        <v>2.5843102421436764E-2</v>
      </c>
      <c r="Y154" s="1">
        <f t="shared" si="65"/>
        <v>2.364367596899225E-2</v>
      </c>
      <c r="AA154" s="1">
        <f t="shared" si="69"/>
        <v>36.264561593303739</v>
      </c>
      <c r="AD154" s="1">
        <f t="shared" si="70"/>
        <v>0.25</v>
      </c>
    </row>
    <row r="155" spans="1:30" ht="15">
      <c r="A155" s="1">
        <v>154</v>
      </c>
      <c r="B155" s="1">
        <f t="shared" si="73"/>
        <v>1.0100640968574714</v>
      </c>
      <c r="C155" s="1">
        <f t="shared" si="66"/>
        <v>0</v>
      </c>
      <c r="D155" s="1">
        <f t="shared" si="71"/>
        <v>24.960986588678001</v>
      </c>
      <c r="E155">
        <v>59.27</v>
      </c>
      <c r="K155" s="1">
        <f>'Solar Availability and Gener GR'!F155</f>
        <v>1.2600640968574714</v>
      </c>
      <c r="L155" s="1">
        <v>0.39891472868217059</v>
      </c>
      <c r="M155" s="1">
        <f t="shared" si="67"/>
        <v>0.86114936817530086</v>
      </c>
      <c r="N155" s="1" t="str">
        <f t="shared" si="68"/>
        <v>sell the surplus or charge</v>
      </c>
      <c r="O155" s="1">
        <v>0.25</v>
      </c>
      <c r="P155" s="1">
        <f t="shared" si="74"/>
        <v>0.62670034978624167</v>
      </c>
      <c r="Q155" s="1">
        <f t="shared" si="75"/>
        <v>1.0100640968574714</v>
      </c>
      <c r="R155" s="1">
        <f t="shared" si="76"/>
        <v>59.843113488334787</v>
      </c>
      <c r="S155" s="1">
        <f t="shared" si="77"/>
        <v>51.024820224531666</v>
      </c>
      <c r="T155" s="1">
        <f t="shared" si="78"/>
        <v>50.543572523384405</v>
      </c>
      <c r="U155" s="1" t="str">
        <f t="shared" si="79"/>
        <v>charge</v>
      </c>
      <c r="Y155" s="1">
        <f t="shared" si="65"/>
        <v>2.364367596899225E-2</v>
      </c>
      <c r="AA155" s="1">
        <f t="shared" si="69"/>
        <v>37.125710961479037</v>
      </c>
      <c r="AD155" s="1">
        <f t="shared" si="70"/>
        <v>0.25</v>
      </c>
    </row>
    <row r="156" spans="1:30" ht="15">
      <c r="A156" s="1">
        <v>155</v>
      </c>
      <c r="B156" s="1">
        <f t="shared" si="73"/>
        <v>1.9766981216059798</v>
      </c>
      <c r="C156" s="1">
        <f t="shared" si="66"/>
        <v>0</v>
      </c>
      <c r="D156" s="1">
        <f t="shared" si="71"/>
        <v>26.542345085962786</v>
      </c>
      <c r="E156">
        <v>59.27</v>
      </c>
      <c r="K156" s="1">
        <f>'Solar Availability and Gener GR'!F156</f>
        <v>2.2266981216059798</v>
      </c>
      <c r="L156" s="1">
        <v>0.39891472868217059</v>
      </c>
      <c r="M156" s="1">
        <f t="shared" si="67"/>
        <v>1.8277833929238092</v>
      </c>
      <c r="N156" s="1" t="str">
        <f t="shared" si="68"/>
        <v>sell the surplus or charge</v>
      </c>
      <c r="O156" s="1">
        <v>0.25</v>
      </c>
      <c r="P156" s="1">
        <f t="shared" si="74"/>
        <v>0.62670034978624167</v>
      </c>
      <c r="Q156" s="1">
        <f t="shared" si="75"/>
        <v>1.9766981216059798</v>
      </c>
      <c r="R156" s="1">
        <f t="shared" si="76"/>
        <v>117.13551213517887</v>
      </c>
      <c r="S156" s="1">
        <f t="shared" si="77"/>
        <v>108.31721887137574</v>
      </c>
      <c r="T156" s="1">
        <f t="shared" si="78"/>
        <v>54.809841971808794</v>
      </c>
      <c r="U156" s="1" t="str">
        <f t="shared" si="79"/>
        <v>charge</v>
      </c>
      <c r="Y156" s="1">
        <f t="shared" si="65"/>
        <v>2.364367596899225E-2</v>
      </c>
      <c r="AA156" s="1">
        <f t="shared" si="69"/>
        <v>38.953494354402849</v>
      </c>
      <c r="AD156" s="1">
        <f t="shared" si="70"/>
        <v>0.25</v>
      </c>
    </row>
    <row r="157" spans="1:30" ht="15">
      <c r="A157" s="1">
        <v>156</v>
      </c>
      <c r="B157" s="1">
        <f t="shared" si="73"/>
        <v>2.6560179827294559</v>
      </c>
      <c r="C157" s="1">
        <f t="shared" si="66"/>
        <v>0</v>
      </c>
      <c r="D157" s="1">
        <f t="shared" si="71"/>
        <v>28.667159472146352</v>
      </c>
      <c r="E157">
        <v>59.27</v>
      </c>
      <c r="K157" s="1">
        <f>'Solar Availability and Gener GR'!F157</f>
        <v>2.9060179827294559</v>
      </c>
      <c r="L157" s="1">
        <v>0.39891472868217059</v>
      </c>
      <c r="M157" s="1">
        <f t="shared" si="67"/>
        <v>2.5071032540472853</v>
      </c>
      <c r="N157" s="1" t="str">
        <f t="shared" si="68"/>
        <v>sell the surplus or charge</v>
      </c>
      <c r="O157" s="1">
        <v>0.25</v>
      </c>
      <c r="P157" s="1">
        <f t="shared" si="74"/>
        <v>0.62670034978624167</v>
      </c>
      <c r="Q157" s="1">
        <f t="shared" si="75"/>
        <v>2.6560179827294559</v>
      </c>
      <c r="R157" s="1">
        <f t="shared" si="76"/>
        <v>157.39880030396731</v>
      </c>
      <c r="S157" s="1">
        <f t="shared" si="77"/>
        <v>148.58050704016418</v>
      </c>
      <c r="T157" s="1">
        <f t="shared" si="78"/>
        <v>55.950405910581559</v>
      </c>
      <c r="U157" s="1" t="str">
        <f t="shared" si="79"/>
        <v>charge</v>
      </c>
      <c r="Y157" s="1">
        <f t="shared" si="65"/>
        <v>2.364367596899225E-2</v>
      </c>
      <c r="AA157" s="1">
        <f t="shared" si="69"/>
        <v>41.460597608450136</v>
      </c>
      <c r="AD157" s="1">
        <f t="shared" si="70"/>
        <v>0.25</v>
      </c>
    </row>
    <row r="158" spans="1:30" ht="15">
      <c r="A158" s="1">
        <v>157</v>
      </c>
      <c r="B158" s="1">
        <f t="shared" si="73"/>
        <v>2.923729190777173</v>
      </c>
      <c r="C158" s="1">
        <f t="shared" si="66"/>
        <v>0</v>
      </c>
      <c r="D158" s="1">
        <f t="shared" si="71"/>
        <v>31.006142824768091</v>
      </c>
      <c r="E158">
        <v>59.27</v>
      </c>
      <c r="K158" s="1">
        <f>'Solar Availability and Gener GR'!F158</f>
        <v>3.173729190777173</v>
      </c>
      <c r="L158" s="1">
        <v>0.39891472868217059</v>
      </c>
      <c r="M158" s="1">
        <f t="shared" si="67"/>
        <v>2.7748144620950024</v>
      </c>
      <c r="N158" s="1" t="str">
        <f t="shared" si="68"/>
        <v>sell the surplus or charge</v>
      </c>
      <c r="O158" s="1">
        <v>0.25</v>
      </c>
      <c r="P158" s="1">
        <f t="shared" si="74"/>
        <v>0.62670034978624167</v>
      </c>
      <c r="Q158" s="1">
        <f t="shared" si="75"/>
        <v>2.923729190777173</v>
      </c>
      <c r="R158" s="1">
        <f t="shared" si="76"/>
        <v>173.26604360495548</v>
      </c>
      <c r="S158" s="1">
        <f t="shared" si="77"/>
        <v>164.44775034115239</v>
      </c>
      <c r="T158" s="1">
        <f t="shared" si="78"/>
        <v>56.254318697171058</v>
      </c>
      <c r="U158" s="1" t="str">
        <f t="shared" si="79"/>
        <v>charge</v>
      </c>
      <c r="Y158" s="1">
        <f t="shared" si="65"/>
        <v>2.364367596899225E-2</v>
      </c>
      <c r="AA158" s="1">
        <f t="shared" si="69"/>
        <v>44.235412070545138</v>
      </c>
      <c r="AD158" s="1">
        <f t="shared" si="70"/>
        <v>0.25</v>
      </c>
    </row>
    <row r="159" spans="1:30" ht="15">
      <c r="A159" s="1">
        <v>158</v>
      </c>
      <c r="B159" s="1">
        <f t="shared" si="73"/>
        <v>3.0190465592450799</v>
      </c>
      <c r="C159" s="1">
        <f t="shared" si="66"/>
        <v>0</v>
      </c>
      <c r="D159" s="1">
        <f t="shared" si="71"/>
        <v>33.421380072164155</v>
      </c>
      <c r="E159">
        <v>59.27</v>
      </c>
      <c r="K159" s="1">
        <f>'Solar Availability and Gener GR'!F159</f>
        <v>3.2690465592450799</v>
      </c>
      <c r="L159" s="1">
        <v>0.39891472868217059</v>
      </c>
      <c r="M159" s="1">
        <f t="shared" si="67"/>
        <v>2.8701318305629093</v>
      </c>
      <c r="N159" s="1" t="str">
        <f t="shared" si="68"/>
        <v>sell the surplus or charge</v>
      </c>
      <c r="O159" s="1">
        <v>0.25</v>
      </c>
      <c r="P159" s="1">
        <f t="shared" si="74"/>
        <v>0.62670034978624167</v>
      </c>
      <c r="Q159" s="1">
        <f t="shared" si="75"/>
        <v>3.0190465592450799</v>
      </c>
      <c r="R159" s="1">
        <f t="shared" si="76"/>
        <v>178.91550403404833</v>
      </c>
      <c r="S159" s="1">
        <f t="shared" si="77"/>
        <v>170.09721077024523</v>
      </c>
      <c r="T159" s="1">
        <f t="shared" si="78"/>
        <v>56.349516027726523</v>
      </c>
      <c r="U159" s="1" t="str">
        <f t="shared" si="79"/>
        <v>charge</v>
      </c>
      <c r="Y159" s="1">
        <f t="shared" si="65"/>
        <v>2.364367596899225E-2</v>
      </c>
      <c r="AA159" s="1">
        <f t="shared" si="69"/>
        <v>47.105543901108049</v>
      </c>
      <c r="AD159" s="1">
        <f t="shared" si="70"/>
        <v>0.25</v>
      </c>
    </row>
    <row r="160" spans="1:30" ht="15">
      <c r="A160" s="1">
        <v>159</v>
      </c>
      <c r="B160" s="1">
        <f t="shared" si="73"/>
        <v>2.9228745660108606</v>
      </c>
      <c r="C160" s="1">
        <f t="shared" si="66"/>
        <v>0</v>
      </c>
      <c r="D160" s="1">
        <f t="shared" si="71"/>
        <v>35.759679724972841</v>
      </c>
      <c r="E160">
        <v>59.27</v>
      </c>
      <c r="K160" s="1">
        <f>'Solar Availability and Gener GR'!F160</f>
        <v>3.1728745660108606</v>
      </c>
      <c r="L160" s="1">
        <v>0.39891472868217059</v>
      </c>
      <c r="M160" s="1">
        <f t="shared" si="67"/>
        <v>2.77395983732869</v>
      </c>
      <c r="N160" s="1" t="str">
        <f t="shared" si="68"/>
        <v>sell the surplus or charge</v>
      </c>
      <c r="O160" s="1">
        <v>0.25</v>
      </c>
      <c r="P160" s="1">
        <f t="shared" si="74"/>
        <v>0.62670034978624167</v>
      </c>
      <c r="Q160" s="1">
        <f t="shared" si="75"/>
        <v>2.9228745660108606</v>
      </c>
      <c r="R160" s="1">
        <f t="shared" si="76"/>
        <v>173.21538999505617</v>
      </c>
      <c r="S160" s="1">
        <f t="shared" si="77"/>
        <v>164.39709673125304</v>
      </c>
      <c r="T160" s="1">
        <f t="shared" si="78"/>
        <v>56.253437068606701</v>
      </c>
      <c r="U160" s="1" t="str">
        <f t="shared" si="79"/>
        <v>charge</v>
      </c>
      <c r="Y160" s="1">
        <f t="shared" si="65"/>
        <v>2.364367596899225E-2</v>
      </c>
      <c r="AA160" s="1">
        <f t="shared" si="69"/>
        <v>49.879503738436739</v>
      </c>
      <c r="AD160" s="1">
        <f t="shared" si="70"/>
        <v>0.25</v>
      </c>
    </row>
    <row r="161" spans="1:30" ht="15">
      <c r="A161" s="1">
        <v>160</v>
      </c>
      <c r="B161" s="1">
        <f t="shared" si="73"/>
        <v>2.6926733730971213</v>
      </c>
      <c r="C161" s="1">
        <f t="shared" si="66"/>
        <v>0</v>
      </c>
      <c r="D161" s="1">
        <f t="shared" si="71"/>
        <v>37.913818423450536</v>
      </c>
      <c r="E161">
        <v>59.27</v>
      </c>
      <c r="K161" s="1">
        <f>'Solar Availability and Gener GR'!F161</f>
        <v>2.9426733730971213</v>
      </c>
      <c r="L161" s="1">
        <v>0.66914728682170543</v>
      </c>
      <c r="M161" s="1">
        <f t="shared" si="67"/>
        <v>2.2735260862754156</v>
      </c>
      <c r="N161" s="1" t="str">
        <f t="shared" si="68"/>
        <v>sell the surplus or charge</v>
      </c>
      <c r="O161" s="1">
        <v>0.25</v>
      </c>
      <c r="P161" s="1">
        <f t="shared" si="74"/>
        <v>0.3736098239110287</v>
      </c>
      <c r="Q161" s="1">
        <f t="shared" si="75"/>
        <v>2.6926733730971213</v>
      </c>
      <c r="R161" s="1">
        <f t="shared" si="76"/>
        <v>159.57136529105884</v>
      </c>
      <c r="S161" s="1">
        <f t="shared" si="77"/>
        <v>134.74511395602346</v>
      </c>
      <c r="T161" s="1">
        <f t="shared" si="78"/>
        <v>50.051674504948707</v>
      </c>
      <c r="U161" s="1" t="str">
        <f t="shared" si="79"/>
        <v>charge</v>
      </c>
      <c r="Y161" s="1">
        <f t="shared" si="65"/>
        <v>3.9660359689922479E-2</v>
      </c>
      <c r="AA161" s="1">
        <f t="shared" si="69"/>
        <v>52.153029824712156</v>
      </c>
      <c r="AD161" s="1">
        <f t="shared" si="70"/>
        <v>0.25</v>
      </c>
    </row>
    <row r="162" spans="1:30" ht="15">
      <c r="A162" s="1">
        <v>161</v>
      </c>
      <c r="B162" s="1">
        <f t="shared" si="73"/>
        <v>0</v>
      </c>
      <c r="C162" s="1">
        <f t="shared" si="66"/>
        <v>0</v>
      </c>
      <c r="D162" s="1">
        <f t="shared" si="71"/>
        <v>37.913818423450536</v>
      </c>
      <c r="E162">
        <v>59.27</v>
      </c>
      <c r="K162" s="1">
        <f>'Solar Availability and Gener GR'!F162</f>
        <v>2.5114083503961528</v>
      </c>
      <c r="L162" s="1">
        <v>0.66914728682170543</v>
      </c>
      <c r="M162" s="1">
        <f t="shared" si="67"/>
        <v>1.8422610635744474</v>
      </c>
      <c r="N162" s="1" t="str">
        <f t="shared" si="68"/>
        <v>sell the surplus or charge</v>
      </c>
      <c r="O162" s="1">
        <v>0.25</v>
      </c>
      <c r="P162" s="1">
        <f t="shared" si="74"/>
        <v>0.3736098239110287</v>
      </c>
      <c r="Q162" s="1">
        <f t="shared" si="75"/>
        <v>2.2614083503961528</v>
      </c>
      <c r="R162" s="1">
        <f t="shared" si="76"/>
        <v>134.01028739557242</v>
      </c>
      <c r="S162" s="1">
        <f t="shared" si="77"/>
        <v>109.18403606053705</v>
      </c>
      <c r="T162" s="1">
        <f t="shared" si="78"/>
        <v>48.294126657225078</v>
      </c>
      <c r="U162" s="1" t="str">
        <f t="shared" si="79"/>
        <v>sell to the Grid</v>
      </c>
      <c r="W162" s="1">
        <f>(Q162*E162)/1000</f>
        <v>0.13403367292797999</v>
      </c>
      <c r="Y162" s="1">
        <f t="shared" si="65"/>
        <v>3.9660359689922479E-2</v>
      </c>
      <c r="AA162" s="1">
        <f t="shared" si="69"/>
        <v>53.995290888286604</v>
      </c>
      <c r="AD162" s="1">
        <f t="shared" si="70"/>
        <v>0.25</v>
      </c>
    </row>
    <row r="163" spans="1:30" ht="15">
      <c r="A163" s="1">
        <v>162</v>
      </c>
      <c r="B163" s="1">
        <f t="shared" si="73"/>
        <v>0</v>
      </c>
      <c r="C163" s="1">
        <f t="shared" si="66"/>
        <v>0</v>
      </c>
      <c r="D163" s="1">
        <f t="shared" si="71"/>
        <v>37.913818423450536</v>
      </c>
      <c r="E163">
        <v>59.27</v>
      </c>
      <c r="K163" s="1">
        <f>'Solar Availability and Gener GR'!F163</f>
        <v>1.8790794979079473</v>
      </c>
      <c r="L163" s="1">
        <v>0.66914728682170543</v>
      </c>
      <c r="M163" s="1">
        <f t="shared" si="67"/>
        <v>1.2099322110862418</v>
      </c>
      <c r="N163" s="1" t="str">
        <f t="shared" si="68"/>
        <v>sell the surplus or charge</v>
      </c>
      <c r="O163" s="1">
        <v>0.25</v>
      </c>
      <c r="P163" s="1">
        <f t="shared" si="74"/>
        <v>0.3736098239110287</v>
      </c>
      <c r="Q163" s="1">
        <f t="shared" si="75"/>
        <v>1.6290794979079473</v>
      </c>
      <c r="R163" s="1">
        <f t="shared" si="76"/>
        <v>96.532156308596484</v>
      </c>
      <c r="S163" s="1">
        <f t="shared" si="77"/>
        <v>71.705904973561104</v>
      </c>
      <c r="T163" s="1">
        <f t="shared" si="78"/>
        <v>44.035534380890958</v>
      </c>
      <c r="U163" s="1" t="str">
        <f t="shared" si="79"/>
        <v>sell to the Grid</v>
      </c>
      <c r="W163" s="1">
        <f>(Q163*E163)/1000</f>
        <v>9.6555541841004039E-2</v>
      </c>
      <c r="Y163" s="1">
        <f t="shared" si="65"/>
        <v>3.9660359689922479E-2</v>
      </c>
      <c r="AA163" s="1">
        <f t="shared" si="69"/>
        <v>55.205223099372844</v>
      </c>
      <c r="AD163" s="1">
        <f t="shared" si="70"/>
        <v>0.25</v>
      </c>
    </row>
    <row r="164" spans="1:30" ht="15">
      <c r="A164" s="1">
        <v>163</v>
      </c>
      <c r="B164" s="1">
        <f t="shared" si="73"/>
        <v>0</v>
      </c>
      <c r="C164" s="1">
        <f t="shared" si="66"/>
        <v>0</v>
      </c>
      <c r="D164" s="1">
        <f t="shared" si="71"/>
        <v>37.913818423450536</v>
      </c>
      <c r="E164">
        <v>59.27</v>
      </c>
      <c r="K164" s="1">
        <f>'Solar Availability and Gener GR'!F164</f>
        <v>1.2276017092495295</v>
      </c>
      <c r="L164" s="1">
        <v>0.65627906976744199</v>
      </c>
      <c r="M164" s="1">
        <f t="shared" si="67"/>
        <v>0.5713226394820875</v>
      </c>
      <c r="N164" s="1" t="str">
        <f t="shared" si="68"/>
        <v>sell the surplus or charge</v>
      </c>
      <c r="O164" s="1">
        <v>0.25</v>
      </c>
      <c r="P164" s="1">
        <f t="shared" si="74"/>
        <v>0.38093550673281351</v>
      </c>
      <c r="Q164" s="1">
        <f t="shared" si="75"/>
        <v>0.97760170924952949</v>
      </c>
      <c r="R164" s="1">
        <f t="shared" si="76"/>
        <v>57.919067774812063</v>
      </c>
      <c r="S164" s="1">
        <f t="shared" si="77"/>
        <v>33.855188099031992</v>
      </c>
      <c r="T164" s="1">
        <f t="shared" si="78"/>
        <v>34.671759638599369</v>
      </c>
      <c r="U164" s="1" t="str">
        <f t="shared" si="79"/>
        <v>sell to the Grid</v>
      </c>
      <c r="W164" s="1">
        <f>(Q164*E164)/1000</f>
        <v>5.7942453307219616E-2</v>
      </c>
      <c r="Y164" s="1">
        <f t="shared" si="65"/>
        <v>3.8897660465116286E-2</v>
      </c>
      <c r="AA164" s="1">
        <f t="shared" si="69"/>
        <v>55.776545738854935</v>
      </c>
      <c r="AD164" s="1">
        <f t="shared" si="70"/>
        <v>0.25</v>
      </c>
    </row>
    <row r="165" spans="1:30" ht="15">
      <c r="A165" s="1">
        <v>164</v>
      </c>
      <c r="B165" s="1">
        <f t="shared" si="73"/>
        <v>0</v>
      </c>
      <c r="C165" s="1">
        <f t="shared" si="66"/>
        <v>0</v>
      </c>
      <c r="D165" s="1">
        <f t="shared" si="71"/>
        <v>37.913818423450536</v>
      </c>
      <c r="E165">
        <v>59.27</v>
      </c>
      <c r="K165" s="1">
        <f>'Solar Availability and Gener GR'!F165</f>
        <v>0.48992700080121115</v>
      </c>
      <c r="L165" s="1">
        <v>0.39891472868217059</v>
      </c>
      <c r="M165" s="1">
        <f t="shared" si="67"/>
        <v>9.101227211904056E-2</v>
      </c>
      <c r="N165" s="1" t="str">
        <f t="shared" si="68"/>
        <v>sell the surplus or charge</v>
      </c>
      <c r="O165" s="1">
        <v>0.25</v>
      </c>
      <c r="P165" s="1">
        <f t="shared" si="74"/>
        <v>0.62670034978624167</v>
      </c>
      <c r="Q165" s="1">
        <f t="shared" si="75"/>
        <v>0.23992700080121115</v>
      </c>
      <c r="R165" s="1">
        <f t="shared" si="76"/>
        <v>14.19708780508023</v>
      </c>
      <c r="S165" s="1">
        <f t="shared" si="77"/>
        <v>5.3787945412771121</v>
      </c>
      <c r="T165" s="1">
        <f t="shared" si="78"/>
        <v>22.673299284008422</v>
      </c>
      <c r="U165" s="1" t="str">
        <f t="shared" si="79"/>
        <v>sell to the Grid</v>
      </c>
      <c r="W165" s="1">
        <f>(Q165*E165)/1000</f>
        <v>1.4220473337487785E-2</v>
      </c>
      <c r="Y165" s="1">
        <f t="shared" si="65"/>
        <v>2.364367596899225E-2</v>
      </c>
      <c r="AA165" s="1">
        <f t="shared" si="69"/>
        <v>55.867558010973973</v>
      </c>
      <c r="AD165" s="1">
        <f t="shared" si="70"/>
        <v>0.25</v>
      </c>
    </row>
    <row r="166" spans="1:30" ht="15">
      <c r="A166" s="1">
        <v>165</v>
      </c>
      <c r="B166" s="1">
        <f t="shared" si="73"/>
        <v>0</v>
      </c>
      <c r="C166" s="1">
        <f t="shared" si="66"/>
        <v>0</v>
      </c>
      <c r="D166" s="1">
        <f t="shared" si="71"/>
        <v>37.913818423450536</v>
      </c>
      <c r="E166">
        <v>59.27</v>
      </c>
      <c r="K166" s="1">
        <f>'Solar Availability and Gener GR'!F166</f>
        <v>6.8263153209294117E-2</v>
      </c>
      <c r="L166" s="1">
        <v>0.39891472868217059</v>
      </c>
      <c r="M166" s="1">
        <f t="shared" si="67"/>
        <v>-0.33065157547287649</v>
      </c>
      <c r="N166" s="1" t="str">
        <f t="shared" si="68"/>
        <v>Buy from Grid</v>
      </c>
      <c r="V166" s="1" t="str">
        <f t="shared" ref="V166:V177" si="80">IF(D166+M166&gt;0,"discharge","buy from the Grid")</f>
        <v>discharge</v>
      </c>
      <c r="Y166" s="1">
        <f t="shared" si="65"/>
        <v>2.364367596899225E-2</v>
      </c>
      <c r="AA166" s="1">
        <f t="shared" si="69"/>
        <v>55.536906435501095</v>
      </c>
      <c r="AD166" s="1">
        <f t="shared" si="70"/>
        <v>0</v>
      </c>
    </row>
    <row r="167" spans="1:30" ht="15">
      <c r="A167" s="1">
        <v>166</v>
      </c>
      <c r="B167" s="1">
        <f t="shared" si="73"/>
        <v>0</v>
      </c>
      <c r="C167" s="1">
        <f t="shared" si="66"/>
        <v>-0.39891472868217059</v>
      </c>
      <c r="D167" s="1">
        <f t="shared" si="71"/>
        <v>37.415175012597821</v>
      </c>
      <c r="E167">
        <v>59.27</v>
      </c>
      <c r="K167" s="1">
        <f>'Solar Availability and Gener GR'!F167</f>
        <v>0</v>
      </c>
      <c r="L167" s="1">
        <v>0.39891472868217059</v>
      </c>
      <c r="M167" s="1">
        <f t="shared" si="67"/>
        <v>-0.39891472868217059</v>
      </c>
      <c r="N167" s="1" t="str">
        <f t="shared" si="68"/>
        <v>Buy from Grid</v>
      </c>
      <c r="V167" s="1" t="str">
        <f t="shared" si="80"/>
        <v>discharge</v>
      </c>
      <c r="Y167" s="1">
        <f t="shared" si="65"/>
        <v>2.364367596899225E-2</v>
      </c>
      <c r="AA167" s="1">
        <f t="shared" si="69"/>
        <v>55.137991706818923</v>
      </c>
      <c r="AD167" s="1">
        <f t="shared" si="70"/>
        <v>0</v>
      </c>
    </row>
    <row r="168" spans="1:30" ht="15">
      <c r="A168" s="1">
        <v>167</v>
      </c>
      <c r="B168" s="1">
        <f t="shared" si="73"/>
        <v>0</v>
      </c>
      <c r="C168" s="1">
        <f t="shared" si="66"/>
        <v>-0.29596899224806206</v>
      </c>
      <c r="D168" s="1">
        <f t="shared" si="71"/>
        <v>37.045213772287745</v>
      </c>
      <c r="E168">
        <v>59.27</v>
      </c>
      <c r="K168" s="1">
        <f>'Solar Availability and Gener GR'!F168</f>
        <v>0</v>
      </c>
      <c r="L168" s="1">
        <v>0.29596899224806206</v>
      </c>
      <c r="M168" s="1">
        <f t="shared" si="67"/>
        <v>-0.29596899224806206</v>
      </c>
      <c r="N168" s="1" t="str">
        <f t="shared" si="68"/>
        <v>Buy from Grid</v>
      </c>
      <c r="V168" s="1" t="str">
        <f t="shared" si="80"/>
        <v>discharge</v>
      </c>
      <c r="Y168" s="1">
        <f t="shared" si="65"/>
        <v>1.754208217054264E-2</v>
      </c>
      <c r="AA168" s="1">
        <f t="shared" si="69"/>
        <v>54.842022714570859</v>
      </c>
      <c r="AD168" s="1">
        <f t="shared" si="70"/>
        <v>0</v>
      </c>
    </row>
    <row r="169" spans="1:30" ht="15">
      <c r="A169" s="1">
        <v>168</v>
      </c>
      <c r="B169" s="1">
        <f t="shared" si="73"/>
        <v>0</v>
      </c>
      <c r="C169" s="1">
        <f t="shared" si="66"/>
        <v>-0.29596899224806206</v>
      </c>
      <c r="D169" s="1">
        <f t="shared" si="71"/>
        <v>36.675252531977669</v>
      </c>
      <c r="E169">
        <v>59.27</v>
      </c>
      <c r="K169" s="1">
        <f>'Solar Availability and Gener GR'!F169</f>
        <v>0</v>
      </c>
      <c r="L169" s="1">
        <v>0.29596899224806206</v>
      </c>
      <c r="M169" s="1">
        <f t="shared" si="67"/>
        <v>-0.29596899224806206</v>
      </c>
      <c r="N169" s="1" t="str">
        <f t="shared" si="68"/>
        <v>Buy from Grid</v>
      </c>
      <c r="V169" s="1" t="str">
        <f t="shared" si="80"/>
        <v>discharge</v>
      </c>
      <c r="Y169" s="1">
        <f t="shared" si="65"/>
        <v>1.754208217054264E-2</v>
      </c>
      <c r="AA169" s="1">
        <f t="shared" si="69"/>
        <v>54.546053722322796</v>
      </c>
      <c r="AD169" s="1">
        <f t="shared" si="70"/>
        <v>0</v>
      </c>
    </row>
    <row r="170" spans="1:30" ht="15">
      <c r="A170" s="1">
        <v>169</v>
      </c>
      <c r="B170" s="1">
        <f t="shared" si="73"/>
        <v>0</v>
      </c>
      <c r="C170" s="1">
        <f t="shared" si="66"/>
        <v>-0.29596899224806206</v>
      </c>
      <c r="D170" s="1">
        <f t="shared" si="71"/>
        <v>36.305291291667594</v>
      </c>
      <c r="E170">
        <v>59.27</v>
      </c>
      <c r="K170" s="1">
        <f>'Solar Availability and Gener GR'!F170</f>
        <v>0</v>
      </c>
      <c r="L170" s="1">
        <v>0.29596899224806206</v>
      </c>
      <c r="M170" s="1">
        <f t="shared" si="67"/>
        <v>-0.29596899224806206</v>
      </c>
      <c r="N170" s="1" t="str">
        <f t="shared" si="68"/>
        <v>Buy from Grid</v>
      </c>
      <c r="V170" s="1" t="str">
        <f t="shared" si="80"/>
        <v>discharge</v>
      </c>
      <c r="Y170" s="1">
        <f t="shared" si="65"/>
        <v>1.754208217054264E-2</v>
      </c>
      <c r="AA170" s="1">
        <f t="shared" si="69"/>
        <v>54.250084730074732</v>
      </c>
      <c r="AD170" s="1">
        <f t="shared" si="70"/>
        <v>0</v>
      </c>
    </row>
    <row r="171" spans="1:30" ht="15">
      <c r="A171" s="1">
        <v>170</v>
      </c>
      <c r="B171" s="1">
        <f t="shared" si="73"/>
        <v>0</v>
      </c>
      <c r="C171" s="1">
        <f t="shared" si="66"/>
        <v>-0.29596899224806206</v>
      </c>
      <c r="D171" s="1">
        <f t="shared" si="71"/>
        <v>35.935330051357518</v>
      </c>
      <c r="E171">
        <v>59.27</v>
      </c>
      <c r="K171" s="1">
        <f>'Solar Availability and Gener GR'!F171</f>
        <v>0</v>
      </c>
      <c r="L171" s="1">
        <v>0.29596899224806206</v>
      </c>
      <c r="M171" s="1">
        <f t="shared" si="67"/>
        <v>-0.29596899224806206</v>
      </c>
      <c r="N171" s="1" t="str">
        <f t="shared" si="68"/>
        <v>Buy from Grid</v>
      </c>
      <c r="V171" s="1" t="str">
        <f t="shared" si="80"/>
        <v>discharge</v>
      </c>
      <c r="Y171" s="1">
        <f t="shared" si="65"/>
        <v>1.754208217054264E-2</v>
      </c>
      <c r="AA171" s="1">
        <f t="shared" si="69"/>
        <v>53.954115737826669</v>
      </c>
      <c r="AD171" s="1">
        <f t="shared" si="70"/>
        <v>0</v>
      </c>
    </row>
    <row r="172" spans="1:30" ht="15">
      <c r="A172" s="1">
        <v>171</v>
      </c>
      <c r="B172" s="1">
        <f t="shared" si="73"/>
        <v>0</v>
      </c>
      <c r="C172" s="1">
        <f t="shared" si="66"/>
        <v>-0.39891472868217059</v>
      </c>
      <c r="D172" s="1">
        <f t="shared" si="71"/>
        <v>35.436686640504803</v>
      </c>
      <c r="E172">
        <v>59.27</v>
      </c>
      <c r="K172" s="1">
        <f>'Solar Availability and Gener GR'!F172</f>
        <v>0</v>
      </c>
      <c r="L172" s="1">
        <v>0.39891472868217059</v>
      </c>
      <c r="M172" s="1">
        <f t="shared" si="67"/>
        <v>-0.39891472868217059</v>
      </c>
      <c r="N172" s="1" t="str">
        <f t="shared" si="68"/>
        <v>Buy from Grid</v>
      </c>
      <c r="V172" s="1" t="str">
        <f t="shared" si="80"/>
        <v>discharge</v>
      </c>
      <c r="Y172" s="1">
        <f t="shared" si="65"/>
        <v>2.364367596899225E-2</v>
      </c>
      <c r="AA172" s="1">
        <f t="shared" si="69"/>
        <v>53.555201009144497</v>
      </c>
      <c r="AD172" s="1">
        <f t="shared" si="70"/>
        <v>0</v>
      </c>
    </row>
    <row r="173" spans="1:30" ht="15">
      <c r="A173" s="1">
        <v>172</v>
      </c>
      <c r="B173" s="1">
        <f t="shared" si="73"/>
        <v>0</v>
      </c>
      <c r="C173" s="1">
        <f t="shared" si="66"/>
        <v>-0.66914728682170543</v>
      </c>
      <c r="D173" s="1">
        <f t="shared" si="71"/>
        <v>34.600252531977674</v>
      </c>
      <c r="E173">
        <v>59.27</v>
      </c>
      <c r="K173" s="1">
        <f>'Solar Availability and Gener GR'!F173</f>
        <v>0</v>
      </c>
      <c r="L173" s="1">
        <v>0.66914728682170543</v>
      </c>
      <c r="M173" s="1">
        <f t="shared" si="67"/>
        <v>-0.66914728682170543</v>
      </c>
      <c r="N173" s="1" t="str">
        <f t="shared" si="68"/>
        <v>Buy from Grid</v>
      </c>
      <c r="V173" s="1" t="str">
        <f t="shared" si="80"/>
        <v>discharge</v>
      </c>
      <c r="Y173" s="1">
        <f t="shared" si="65"/>
        <v>3.9660359689922479E-2</v>
      </c>
      <c r="AA173" s="1">
        <f t="shared" si="69"/>
        <v>52.886053722322792</v>
      </c>
      <c r="AD173" s="1">
        <f t="shared" si="70"/>
        <v>0</v>
      </c>
    </row>
    <row r="174" spans="1:30" ht="15">
      <c r="A174" s="1">
        <v>173</v>
      </c>
      <c r="B174" s="1">
        <f t="shared" si="73"/>
        <v>0</v>
      </c>
      <c r="C174" s="1">
        <f t="shared" si="66"/>
        <v>-0.66914728682170543</v>
      </c>
      <c r="D174" s="1">
        <f t="shared" si="71"/>
        <v>33.763818423450545</v>
      </c>
      <c r="E174">
        <v>59.27</v>
      </c>
      <c r="K174" s="1">
        <f>'Solar Availability and Gener GR'!F174</f>
        <v>0</v>
      </c>
      <c r="L174" s="1">
        <v>0.66914728682170543</v>
      </c>
      <c r="M174" s="1">
        <f t="shared" si="67"/>
        <v>-0.66914728682170543</v>
      </c>
      <c r="N174" s="1" t="str">
        <f t="shared" si="68"/>
        <v>Buy from Grid</v>
      </c>
      <c r="V174" s="1" t="str">
        <f t="shared" si="80"/>
        <v>discharge</v>
      </c>
      <c r="Y174" s="1">
        <f t="shared" si="65"/>
        <v>3.9660359689922479E-2</v>
      </c>
      <c r="AA174" s="1">
        <f t="shared" si="69"/>
        <v>52.216906435501087</v>
      </c>
      <c r="AD174" s="1">
        <f t="shared" si="70"/>
        <v>0</v>
      </c>
    </row>
    <row r="175" spans="1:30" ht="15">
      <c r="A175" s="1">
        <v>174</v>
      </c>
      <c r="B175" s="1">
        <f t="shared" si="73"/>
        <v>0</v>
      </c>
      <c r="C175" s="1">
        <f t="shared" si="66"/>
        <v>-0.65627906976744199</v>
      </c>
      <c r="D175" s="1">
        <f t="shared" si="71"/>
        <v>32.943469586241243</v>
      </c>
      <c r="E175">
        <v>59.27</v>
      </c>
      <c r="K175" s="1">
        <f>'Solar Availability and Gener GR'!F175</f>
        <v>0</v>
      </c>
      <c r="L175" s="1">
        <v>0.65627906976744199</v>
      </c>
      <c r="M175" s="1">
        <f t="shared" si="67"/>
        <v>-0.65627906976744199</v>
      </c>
      <c r="N175" s="1" t="str">
        <f t="shared" si="68"/>
        <v>Buy from Grid</v>
      </c>
      <c r="V175" s="1" t="str">
        <f t="shared" si="80"/>
        <v>discharge</v>
      </c>
      <c r="Y175" s="1">
        <f t="shared" si="65"/>
        <v>3.8897660465116286E-2</v>
      </c>
      <c r="AA175" s="1">
        <f t="shared" si="69"/>
        <v>51.560627365733644</v>
      </c>
      <c r="AD175" s="1">
        <f t="shared" si="70"/>
        <v>0</v>
      </c>
    </row>
    <row r="176" spans="1:30" ht="15">
      <c r="A176" s="1">
        <v>175</v>
      </c>
      <c r="B176" s="1">
        <f t="shared" si="73"/>
        <v>0</v>
      </c>
      <c r="C176" s="1">
        <f t="shared" si="66"/>
        <v>-0.38230295978695067</v>
      </c>
      <c r="D176" s="1">
        <f t="shared" si="71"/>
        <v>32.465590886507556</v>
      </c>
      <c r="E176">
        <v>59.27</v>
      </c>
      <c r="K176" s="1">
        <f>'Solar Availability and Gener GR'!F176</f>
        <v>1.6611768895219918E-2</v>
      </c>
      <c r="L176" s="1">
        <v>0.39891472868217059</v>
      </c>
      <c r="M176" s="1">
        <f t="shared" si="67"/>
        <v>-0.38230295978695067</v>
      </c>
      <c r="N176" s="1" t="str">
        <f t="shared" si="68"/>
        <v>Buy from Grid</v>
      </c>
      <c r="V176" s="1" t="str">
        <f t="shared" si="80"/>
        <v>discharge</v>
      </c>
      <c r="Y176" s="1">
        <f t="shared" si="65"/>
        <v>2.364367596899225E-2</v>
      </c>
      <c r="AA176" s="1">
        <f t="shared" si="69"/>
        <v>51.178324405946697</v>
      </c>
      <c r="AD176" s="1">
        <f t="shared" si="70"/>
        <v>0</v>
      </c>
    </row>
    <row r="177" spans="1:30" ht="15">
      <c r="A177" s="1">
        <v>176</v>
      </c>
      <c r="B177" s="1">
        <f t="shared" si="73"/>
        <v>0</v>
      </c>
      <c r="C177" s="1">
        <f t="shared" si="66"/>
        <v>-0.21033643259029858</v>
      </c>
      <c r="D177" s="1">
        <f t="shared" si="71"/>
        <v>32.202670345769683</v>
      </c>
      <c r="E177">
        <v>59.27</v>
      </c>
      <c r="K177" s="1">
        <f>'Solar Availability and Gener GR'!F177</f>
        <v>0.18857829609187202</v>
      </c>
      <c r="L177" s="1">
        <v>0.39891472868217059</v>
      </c>
      <c r="M177" s="1">
        <f t="shared" si="67"/>
        <v>-0.21033643259029858</v>
      </c>
      <c r="N177" s="1" t="str">
        <f t="shared" si="68"/>
        <v>Buy from Grid</v>
      </c>
      <c r="V177" s="1" t="str">
        <f t="shared" si="80"/>
        <v>discharge</v>
      </c>
      <c r="Y177" s="1">
        <f t="shared" si="65"/>
        <v>2.364367596899225E-2</v>
      </c>
      <c r="AA177" s="1">
        <f t="shared" si="69"/>
        <v>50.967987973356401</v>
      </c>
      <c r="AD177" s="1">
        <f t="shared" si="70"/>
        <v>0</v>
      </c>
    </row>
    <row r="178" spans="1:30" ht="15">
      <c r="A178" s="1">
        <v>177</v>
      </c>
      <c r="B178" s="1">
        <f t="shared" si="73"/>
        <v>0</v>
      </c>
      <c r="C178" s="1">
        <f t="shared" si="66"/>
        <v>7.6483651091707794E-2</v>
      </c>
      <c r="D178" s="1">
        <f t="shared" si="71"/>
        <v>32.298274909634316</v>
      </c>
      <c r="E178">
        <v>59.27</v>
      </c>
      <c r="K178" s="1">
        <f>'Solar Availability and Gener GR'!F178</f>
        <v>0.47539837977387839</v>
      </c>
      <c r="L178" s="1">
        <v>0.39891472868217059</v>
      </c>
      <c r="M178" s="1">
        <f t="shared" si="67"/>
        <v>7.6483651091707794E-2</v>
      </c>
      <c r="N178" s="1" t="str">
        <f t="shared" si="68"/>
        <v>sell the surplus or charge</v>
      </c>
      <c r="O178" s="1">
        <v>0.25</v>
      </c>
      <c r="P178" s="1">
        <f t="shared" ref="P178:P189" si="81">0.25/L178</f>
        <v>0.62670034978624167</v>
      </c>
      <c r="Q178" s="1">
        <f t="shared" ref="Q178:Q189" si="82">K178-P178*L178</f>
        <v>0.22539837977387839</v>
      </c>
      <c r="R178" s="1">
        <f t="shared" ref="R178:R189" si="83">((1/(E178+0.01))*LN(0.25))+(E178*(K178-0.25))</f>
        <v>13.335976436790217</v>
      </c>
      <c r="S178" s="1">
        <f t="shared" ref="S178:S189" si="84">((1/(E178+0.01))*LN(L178))+(E178*(K178-L178))</f>
        <v>4.5176831729870992</v>
      </c>
      <c r="T178" s="1">
        <f t="shared" ref="T178:T189" si="85">(S178+((S178^2)-4*(K178-L178*P178)*LN(L178*P178))^(0.5))/(2*(K178-L178*P178))</f>
        <v>20.345404163366876</v>
      </c>
      <c r="U178" s="1" t="str">
        <f t="shared" ref="U178:U189" si="86">IF(E178&gt;=T178*1.2,"sell to the Grid","charge")</f>
        <v>sell to the Grid</v>
      </c>
      <c r="W178" s="1">
        <f>(Q178*E178)/1000</f>
        <v>1.3359361969197773E-2</v>
      </c>
      <c r="Y178" s="1">
        <f t="shared" si="65"/>
        <v>2.364367596899225E-2</v>
      </c>
      <c r="AA178" s="1">
        <f t="shared" si="69"/>
        <v>51.044471624448107</v>
      </c>
      <c r="AD178" s="1">
        <f t="shared" si="70"/>
        <v>0.25</v>
      </c>
    </row>
    <row r="179" spans="1:30" ht="15">
      <c r="A179" s="1">
        <v>178</v>
      </c>
      <c r="B179" s="1">
        <f t="shared" si="73"/>
        <v>0</v>
      </c>
      <c r="C179" s="1">
        <f t="shared" si="66"/>
        <v>0</v>
      </c>
      <c r="D179" s="1">
        <f t="shared" si="71"/>
        <v>32.298274909634316</v>
      </c>
      <c r="E179">
        <v>59.27</v>
      </c>
      <c r="K179" s="1">
        <f>'Solar Availability and Gener GR'!F179</f>
        <v>0.86753761239205807</v>
      </c>
      <c r="L179" s="1">
        <v>0.39891472868217059</v>
      </c>
      <c r="M179" s="1">
        <f t="shared" si="67"/>
        <v>0.46862288370988747</v>
      </c>
      <c r="N179" s="1" t="str">
        <f t="shared" si="68"/>
        <v>sell the surplus or charge</v>
      </c>
      <c r="O179" s="1">
        <v>0.25</v>
      </c>
      <c r="P179" s="1">
        <f t="shared" si="81"/>
        <v>0.62670034978624167</v>
      </c>
      <c r="Q179" s="1">
        <f t="shared" si="82"/>
        <v>0.61753761239205807</v>
      </c>
      <c r="R179" s="1">
        <f t="shared" si="83"/>
        <v>36.578068754069733</v>
      </c>
      <c r="S179" s="1">
        <f t="shared" si="84"/>
        <v>27.759775490266609</v>
      </c>
      <c r="T179" s="1">
        <f t="shared" si="85"/>
        <v>45.002247531800236</v>
      </c>
      <c r="U179" s="1" t="str">
        <f t="shared" si="86"/>
        <v>sell to the Grid</v>
      </c>
      <c r="W179" s="1">
        <f>(Q179*E179)/1000</f>
        <v>3.6601454286477285E-2</v>
      </c>
      <c r="Y179" s="1">
        <f t="shared" si="65"/>
        <v>2.364367596899225E-2</v>
      </c>
      <c r="AA179" s="1">
        <f t="shared" si="69"/>
        <v>51.513094508157998</v>
      </c>
      <c r="AD179" s="1">
        <f t="shared" si="70"/>
        <v>0.25</v>
      </c>
    </row>
    <row r="180" spans="1:30" ht="15">
      <c r="A180" s="1">
        <v>179</v>
      </c>
      <c r="B180" s="1">
        <f t="shared" si="73"/>
        <v>1.5937193982017253</v>
      </c>
      <c r="C180" s="1">
        <f t="shared" si="66"/>
        <v>0</v>
      </c>
      <c r="D180" s="1">
        <f t="shared" si="71"/>
        <v>33.573250428195699</v>
      </c>
      <c r="E180">
        <v>59.27</v>
      </c>
      <c r="K180" s="1">
        <f>'Solar Availability and Gener GR'!F180</f>
        <v>1.8437193982017253</v>
      </c>
      <c r="L180" s="1">
        <v>0.39891472868217059</v>
      </c>
      <c r="M180" s="1">
        <f t="shared" si="67"/>
        <v>1.4448046695195547</v>
      </c>
      <c r="N180" s="1" t="str">
        <f t="shared" si="68"/>
        <v>sell the surplus or charge</v>
      </c>
      <c r="O180" s="1">
        <v>0.25</v>
      </c>
      <c r="P180" s="1">
        <f t="shared" si="81"/>
        <v>0.62670034978624167</v>
      </c>
      <c r="Q180" s="1">
        <f t="shared" si="82"/>
        <v>1.5937193982017253</v>
      </c>
      <c r="R180" s="1">
        <f t="shared" si="83"/>
        <v>94.436363199008696</v>
      </c>
      <c r="S180" s="1">
        <f t="shared" si="84"/>
        <v>85.618069935205583</v>
      </c>
      <c r="T180" s="1">
        <f t="shared" si="85"/>
        <v>53.738360178917098</v>
      </c>
      <c r="U180" s="1" t="str">
        <f t="shared" si="86"/>
        <v>charge</v>
      </c>
      <c r="Y180" s="1">
        <f t="shared" si="65"/>
        <v>2.364367596899225E-2</v>
      </c>
      <c r="AA180" s="1">
        <f t="shared" si="69"/>
        <v>52.957899177677554</v>
      </c>
      <c r="AD180" s="1">
        <f t="shared" si="70"/>
        <v>0.25</v>
      </c>
    </row>
    <row r="181" spans="1:30" ht="15">
      <c r="A181" s="1">
        <v>180</v>
      </c>
      <c r="B181" s="1">
        <f t="shared" si="73"/>
        <v>2.4645820350752228</v>
      </c>
      <c r="C181" s="1">
        <f t="shared" si="66"/>
        <v>0</v>
      </c>
      <c r="D181" s="1">
        <f t="shared" si="71"/>
        <v>35.544916056255879</v>
      </c>
      <c r="E181">
        <v>59.27</v>
      </c>
      <c r="K181" s="1">
        <f>'Solar Availability and Gener GR'!F181</f>
        <v>2.7145820350752228</v>
      </c>
      <c r="L181" s="1">
        <v>0.39891472868217059</v>
      </c>
      <c r="M181" s="1">
        <f t="shared" si="67"/>
        <v>2.3156673063930522</v>
      </c>
      <c r="N181" s="1" t="str">
        <f t="shared" si="68"/>
        <v>sell the surplus or charge</v>
      </c>
      <c r="O181" s="1">
        <v>0.25</v>
      </c>
      <c r="P181" s="1">
        <f t="shared" si="81"/>
        <v>0.62670034978624167</v>
      </c>
      <c r="Q181" s="1">
        <f t="shared" si="82"/>
        <v>2.4645820350752228</v>
      </c>
      <c r="R181" s="1">
        <f t="shared" si="83"/>
        <v>146.0523916865009</v>
      </c>
      <c r="S181" s="1">
        <f t="shared" si="84"/>
        <v>137.23409842269777</v>
      </c>
      <c r="T181" s="1">
        <f t="shared" si="85"/>
        <v>55.692603598838232</v>
      </c>
      <c r="U181" s="1" t="str">
        <f t="shared" si="86"/>
        <v>charge</v>
      </c>
      <c r="Y181" s="1">
        <f t="shared" si="65"/>
        <v>2.364367596899225E-2</v>
      </c>
      <c r="AA181" s="1">
        <f t="shared" si="69"/>
        <v>55.273566484070606</v>
      </c>
      <c r="AD181" s="1">
        <f t="shared" si="70"/>
        <v>0.25</v>
      </c>
    </row>
    <row r="182" spans="1:30" ht="15">
      <c r="A182" s="1">
        <v>181</v>
      </c>
      <c r="B182" s="1">
        <f t="shared" si="73"/>
        <v>2.7705377014154697</v>
      </c>
      <c r="C182" s="1">
        <f t="shared" si="66"/>
        <v>0</v>
      </c>
      <c r="D182" s="1">
        <f t="shared" si="71"/>
        <v>37.761346217388251</v>
      </c>
      <c r="E182">
        <v>59.27</v>
      </c>
      <c r="K182" s="1">
        <f>'Solar Availability and Gener GR'!F182</f>
        <v>3.0205377014154697</v>
      </c>
      <c r="L182" s="1">
        <v>0.39891472868217059</v>
      </c>
      <c r="M182" s="1">
        <f t="shared" si="67"/>
        <v>2.6216229727332991</v>
      </c>
      <c r="N182" s="1" t="str">
        <f t="shared" si="68"/>
        <v>sell the surplus or charge</v>
      </c>
      <c r="O182" s="1">
        <v>0.25</v>
      </c>
      <c r="P182" s="1">
        <f t="shared" si="81"/>
        <v>0.62670034978624167</v>
      </c>
      <c r="Q182" s="1">
        <f t="shared" si="82"/>
        <v>2.7705377014154697</v>
      </c>
      <c r="R182" s="1">
        <f t="shared" si="83"/>
        <v>164.18638403048735</v>
      </c>
      <c r="S182" s="1">
        <f t="shared" si="84"/>
        <v>155.36809076668422</v>
      </c>
      <c r="T182" s="1">
        <f t="shared" si="85"/>
        <v>56.087598909197453</v>
      </c>
      <c r="U182" s="1" t="str">
        <f t="shared" si="86"/>
        <v>charge</v>
      </c>
      <c r="Y182" s="1">
        <f t="shared" si="65"/>
        <v>2.364367596899225E-2</v>
      </c>
      <c r="AA182" s="1">
        <f t="shared" si="69"/>
        <v>57.895189456803905</v>
      </c>
      <c r="AD182" s="1">
        <f t="shared" si="70"/>
        <v>0.25</v>
      </c>
    </row>
    <row r="183" spans="1:30" ht="15">
      <c r="A183" s="1">
        <v>182</v>
      </c>
      <c r="B183" s="1">
        <f t="shared" si="73"/>
        <v>2.8658417163714054</v>
      </c>
      <c r="C183" s="1">
        <f t="shared" si="66"/>
        <v>0</v>
      </c>
      <c r="D183" s="1">
        <f t="shared" si="71"/>
        <v>40.054019590485375</v>
      </c>
      <c r="E183">
        <v>59.27</v>
      </c>
      <c r="K183" s="1">
        <f>'Solar Availability and Gener GR'!F183</f>
        <v>3.1158417163714054</v>
      </c>
      <c r="L183" s="1">
        <v>0.39891472868217059</v>
      </c>
      <c r="M183" s="1">
        <f t="shared" si="67"/>
        <v>2.7169269876892348</v>
      </c>
      <c r="N183" s="1" t="str">
        <f t="shared" si="68"/>
        <v>sell the surplus or charge</v>
      </c>
      <c r="O183" s="1">
        <v>0.25</v>
      </c>
      <c r="P183" s="1">
        <f t="shared" si="81"/>
        <v>0.62670034978624167</v>
      </c>
      <c r="Q183" s="1">
        <f t="shared" si="82"/>
        <v>2.8658417163714054</v>
      </c>
      <c r="R183" s="1">
        <f t="shared" si="83"/>
        <v>169.83505299692564</v>
      </c>
      <c r="S183" s="1">
        <f t="shared" si="84"/>
        <v>161.01675973312254</v>
      </c>
      <c r="T183" s="1">
        <f t="shared" si="85"/>
        <v>56.193413915253622</v>
      </c>
      <c r="U183" s="1" t="str">
        <f t="shared" si="86"/>
        <v>charge</v>
      </c>
      <c r="Y183" s="1">
        <f t="shared" si="65"/>
        <v>2.364367596899225E-2</v>
      </c>
      <c r="AA183" s="1">
        <f t="shared" si="69"/>
        <v>60.61211644449314</v>
      </c>
      <c r="AD183" s="1">
        <f t="shared" si="70"/>
        <v>0.25</v>
      </c>
    </row>
    <row r="184" spans="1:30" ht="15">
      <c r="A184" s="1">
        <v>183</v>
      </c>
      <c r="B184" s="1">
        <f t="shared" si="73"/>
        <v>2.7601086085640518</v>
      </c>
      <c r="C184" s="1">
        <f t="shared" si="66"/>
        <v>0</v>
      </c>
      <c r="D184" s="1">
        <f t="shared" si="71"/>
        <v>42.262106477336616</v>
      </c>
      <c r="E184">
        <v>59.27</v>
      </c>
      <c r="K184" s="1">
        <f>'Solar Availability and Gener GR'!F184</f>
        <v>3.0101086085640518</v>
      </c>
      <c r="L184" s="1">
        <v>0.39891472868217059</v>
      </c>
      <c r="M184" s="1">
        <f t="shared" si="67"/>
        <v>2.6111938798818812</v>
      </c>
      <c r="N184" s="1" t="str">
        <f t="shared" si="68"/>
        <v>sell the surplus or charge</v>
      </c>
      <c r="O184" s="1">
        <v>0.25</v>
      </c>
      <c r="P184" s="1">
        <f t="shared" si="81"/>
        <v>0.62670034978624167</v>
      </c>
      <c r="Q184" s="1">
        <f t="shared" si="82"/>
        <v>2.7601086085640518</v>
      </c>
      <c r="R184" s="1">
        <f t="shared" si="83"/>
        <v>163.5682516971838</v>
      </c>
      <c r="S184" s="1">
        <f t="shared" si="84"/>
        <v>154.74995843338067</v>
      </c>
      <c r="T184" s="1">
        <f t="shared" si="85"/>
        <v>56.075576100734189</v>
      </c>
      <c r="U184" s="1" t="str">
        <f t="shared" si="86"/>
        <v>charge</v>
      </c>
      <c r="Y184" s="1">
        <f t="shared" si="65"/>
        <v>2.364367596899225E-2</v>
      </c>
      <c r="AA184" s="1">
        <f t="shared" si="69"/>
        <v>63.223310324375021</v>
      </c>
      <c r="AD184" s="1">
        <f t="shared" si="70"/>
        <v>0.25</v>
      </c>
    </row>
    <row r="185" spans="1:30" ht="15">
      <c r="A185" s="1">
        <v>184</v>
      </c>
      <c r="B185" s="1">
        <f t="shared" si="73"/>
        <v>2.482048428736757</v>
      </c>
      <c r="C185" s="1">
        <f t="shared" si="66"/>
        <v>0</v>
      </c>
      <c r="D185" s="1">
        <f t="shared" si="71"/>
        <v>44.247745220326024</v>
      </c>
      <c r="E185">
        <v>59.27</v>
      </c>
      <c r="K185" s="1">
        <f>'Solar Availability and Gener GR'!F185</f>
        <v>2.732048428736757</v>
      </c>
      <c r="L185" s="1">
        <v>0.65627906976744199</v>
      </c>
      <c r="M185" s="1">
        <f t="shared" si="67"/>
        <v>2.0757693589693149</v>
      </c>
      <c r="N185" s="1" t="str">
        <f t="shared" si="68"/>
        <v>sell the surplus or charge</v>
      </c>
      <c r="O185" s="1">
        <v>0.25</v>
      </c>
      <c r="P185" s="1">
        <f t="shared" si="81"/>
        <v>0.38093550673281351</v>
      </c>
      <c r="Q185" s="1">
        <f t="shared" si="82"/>
        <v>2.482048428736757</v>
      </c>
      <c r="R185" s="1">
        <f t="shared" si="83"/>
        <v>147.08762483882003</v>
      </c>
      <c r="S185" s="1">
        <f t="shared" si="84"/>
        <v>123.02374516303996</v>
      </c>
      <c r="T185" s="1">
        <f t="shared" si="85"/>
        <v>49.576674802687911</v>
      </c>
      <c r="U185" s="1" t="str">
        <f t="shared" si="86"/>
        <v>charge</v>
      </c>
      <c r="Y185" s="1">
        <f t="shared" si="65"/>
        <v>3.8897660465116286E-2</v>
      </c>
      <c r="AA185" s="1">
        <f t="shared" si="69"/>
        <v>65.299079683344331</v>
      </c>
      <c r="AD185" s="1">
        <f t="shared" si="70"/>
        <v>0.25</v>
      </c>
    </row>
    <row r="186" spans="1:30" ht="15">
      <c r="A186" s="1">
        <v>185</v>
      </c>
      <c r="B186" s="1">
        <f t="shared" si="73"/>
        <v>0</v>
      </c>
      <c r="C186" s="1">
        <f t="shared" si="66"/>
        <v>0</v>
      </c>
      <c r="D186" s="1">
        <f t="shared" si="71"/>
        <v>44.247745220326024</v>
      </c>
      <c r="E186">
        <v>59.27</v>
      </c>
      <c r="K186" s="1">
        <f>'Solar Availability and Gener GR'!F186</f>
        <v>2.2528977120982803</v>
      </c>
      <c r="L186" s="1">
        <v>0.66914728682170543</v>
      </c>
      <c r="M186" s="1">
        <f t="shared" si="67"/>
        <v>1.5837504252765748</v>
      </c>
      <c r="N186" s="1" t="str">
        <f t="shared" si="68"/>
        <v>sell the surplus or charge</v>
      </c>
      <c r="O186" s="1">
        <v>0.25</v>
      </c>
      <c r="P186" s="1">
        <f t="shared" si="81"/>
        <v>0.3736098239110287</v>
      </c>
      <c r="Q186" s="1">
        <f t="shared" si="82"/>
        <v>2.0028977120982803</v>
      </c>
      <c r="R186" s="1">
        <f t="shared" si="83"/>
        <v>118.68836186365752</v>
      </c>
      <c r="S186" s="1">
        <f t="shared" si="84"/>
        <v>93.862110528622154</v>
      </c>
      <c r="T186" s="1">
        <f t="shared" si="85"/>
        <v>46.877922121374368</v>
      </c>
      <c r="U186" s="1" t="str">
        <f t="shared" si="86"/>
        <v>sell to the Grid</v>
      </c>
      <c r="W186" s="1">
        <f>(Q186*E186)/1000</f>
        <v>0.11871174739606508</v>
      </c>
      <c r="Y186" s="1">
        <f t="shared" si="65"/>
        <v>3.9660359689922479E-2</v>
      </c>
      <c r="AA186" s="1">
        <f t="shared" si="69"/>
        <v>66.882830108620908</v>
      </c>
      <c r="AD186" s="1">
        <f t="shared" si="70"/>
        <v>0.25</v>
      </c>
    </row>
    <row r="187" spans="1:30" ht="15">
      <c r="A187" s="1">
        <v>186</v>
      </c>
      <c r="B187" s="1">
        <f t="shared" si="73"/>
        <v>0</v>
      </c>
      <c r="C187" s="1">
        <f t="shared" si="66"/>
        <v>0</v>
      </c>
      <c r="D187" s="1">
        <f t="shared" si="71"/>
        <v>44.247745220326024</v>
      </c>
      <c r="E187">
        <v>59.27</v>
      </c>
      <c r="K187" s="1">
        <f>'Solar Availability and Gener GR'!F187</f>
        <v>1.6588800854624735</v>
      </c>
      <c r="L187" s="1">
        <v>0.65627906976744199</v>
      </c>
      <c r="M187" s="1">
        <f t="shared" si="67"/>
        <v>1.0026010156950314</v>
      </c>
      <c r="N187" s="1" t="str">
        <f t="shared" si="68"/>
        <v>sell the surplus or charge</v>
      </c>
      <c r="O187" s="1">
        <v>0.25</v>
      </c>
      <c r="P187" s="1">
        <f t="shared" si="81"/>
        <v>0.38093550673281351</v>
      </c>
      <c r="Q187" s="1">
        <f t="shared" si="82"/>
        <v>1.4088800854624735</v>
      </c>
      <c r="R187" s="1">
        <f t="shared" si="83"/>
        <v>83.480937132953244</v>
      </c>
      <c r="S187" s="1">
        <f t="shared" si="84"/>
        <v>59.417057457173172</v>
      </c>
      <c r="T187" s="1">
        <f t="shared" si="85"/>
        <v>42.196572523254211</v>
      </c>
      <c r="U187" s="1" t="str">
        <f t="shared" si="86"/>
        <v>sell to the Grid</v>
      </c>
      <c r="W187" s="1">
        <f>(Q187*E187)/1000</f>
        <v>8.35043226653608E-2</v>
      </c>
      <c r="Y187" s="1">
        <f t="shared" si="65"/>
        <v>3.8897660465116286E-2</v>
      </c>
      <c r="AA187" s="1">
        <f t="shared" si="69"/>
        <v>67.885431124315943</v>
      </c>
      <c r="AD187" s="1">
        <f t="shared" si="70"/>
        <v>0.25</v>
      </c>
    </row>
    <row r="188" spans="1:30" ht="15">
      <c r="A188" s="1">
        <v>187</v>
      </c>
      <c r="B188" s="1">
        <f t="shared" si="73"/>
        <v>0</v>
      </c>
      <c r="C188" s="1">
        <f t="shared" si="66"/>
        <v>0</v>
      </c>
      <c r="D188" s="1">
        <f t="shared" si="71"/>
        <v>44.247745220326024</v>
      </c>
      <c r="E188">
        <v>59.27</v>
      </c>
      <c r="K188" s="1">
        <f>'Solar Availability and Gener GR'!F188</f>
        <v>1.6588800854624735</v>
      </c>
      <c r="L188" s="1">
        <v>0.66914728682170543</v>
      </c>
      <c r="M188" s="1">
        <f t="shared" si="67"/>
        <v>0.98973279864076802</v>
      </c>
      <c r="N188" s="1" t="str">
        <f t="shared" si="68"/>
        <v>sell the surplus or charge</v>
      </c>
      <c r="O188" s="1">
        <v>0.25</v>
      </c>
      <c r="P188" s="1">
        <f t="shared" si="81"/>
        <v>0.3736098239110287</v>
      </c>
      <c r="Q188" s="1">
        <f t="shared" si="82"/>
        <v>1.4088800854624735</v>
      </c>
      <c r="R188" s="1">
        <f t="shared" si="83"/>
        <v>83.480937132953244</v>
      </c>
      <c r="S188" s="1">
        <f t="shared" si="84"/>
        <v>58.654685797917885</v>
      </c>
      <c r="T188" s="1">
        <f t="shared" si="85"/>
        <v>41.655756357393898</v>
      </c>
      <c r="U188" s="1" t="str">
        <f t="shared" si="86"/>
        <v>sell to the Grid</v>
      </c>
      <c r="W188" s="1">
        <f>(Q188*E188)/1000</f>
        <v>8.35043226653608E-2</v>
      </c>
      <c r="Y188" s="1">
        <f t="shared" si="65"/>
        <v>3.9660359689922479E-2</v>
      </c>
      <c r="AA188" s="1">
        <f t="shared" si="69"/>
        <v>68.875163922956716</v>
      </c>
      <c r="AD188" s="1">
        <f t="shared" si="70"/>
        <v>0.25</v>
      </c>
    </row>
    <row r="189" spans="1:30" ht="15">
      <c r="A189" s="1">
        <v>188</v>
      </c>
      <c r="B189" s="1">
        <f t="shared" si="73"/>
        <v>0</v>
      </c>
      <c r="C189" s="1">
        <f t="shared" si="66"/>
        <v>0</v>
      </c>
      <c r="D189" s="1">
        <f t="shared" si="71"/>
        <v>44.247745220326024</v>
      </c>
      <c r="E189">
        <v>59.27</v>
      </c>
      <c r="K189" s="1">
        <f>'Solar Availability and Gener GR'!F189</f>
        <v>0.89248197275883356</v>
      </c>
      <c r="L189" s="1">
        <v>0.39891472868217059</v>
      </c>
      <c r="M189" s="1">
        <f t="shared" si="67"/>
        <v>0.49356724407666297</v>
      </c>
      <c r="N189" s="1" t="str">
        <f t="shared" si="68"/>
        <v>sell the surplus or charge</v>
      </c>
      <c r="O189" s="1">
        <v>0.25</v>
      </c>
      <c r="P189" s="1">
        <f t="shared" si="81"/>
        <v>0.62670034978624167</v>
      </c>
      <c r="Q189" s="1">
        <f t="shared" si="82"/>
        <v>0.64248197275883356</v>
      </c>
      <c r="R189" s="1">
        <f t="shared" si="83"/>
        <v>38.056520993008512</v>
      </c>
      <c r="S189" s="1">
        <f t="shared" si="84"/>
        <v>29.238227729205391</v>
      </c>
      <c r="T189" s="1">
        <f t="shared" si="85"/>
        <v>45.555610562286077</v>
      </c>
      <c r="U189" s="1" t="str">
        <f t="shared" si="86"/>
        <v>sell to the Grid</v>
      </c>
      <c r="W189" s="1">
        <f>(Q189*E189)/1000</f>
        <v>3.8079906525416062E-2</v>
      </c>
      <c r="Y189" s="1">
        <f t="shared" si="65"/>
        <v>2.364367596899225E-2</v>
      </c>
      <c r="AA189" s="1">
        <f t="shared" si="69"/>
        <v>69.368731167033374</v>
      </c>
      <c r="AD189" s="1">
        <f t="shared" si="70"/>
        <v>0.25</v>
      </c>
    </row>
    <row r="190" spans="1:30" ht="15">
      <c r="A190" s="1">
        <v>189</v>
      </c>
      <c r="B190" s="1">
        <f t="shared" si="73"/>
        <v>0</v>
      </c>
      <c r="C190" s="1">
        <f t="shared" si="66"/>
        <v>0</v>
      </c>
      <c r="D190" s="1">
        <f t="shared" si="71"/>
        <v>44.247745220326024</v>
      </c>
      <c r="E190">
        <v>59.27</v>
      </c>
      <c r="K190" s="1">
        <f>'Solar Availability and Gener GR'!F190</f>
        <v>0.26016647378260532</v>
      </c>
      <c r="L190" s="1">
        <v>0.39891472868217059</v>
      </c>
      <c r="M190" s="1">
        <f t="shared" si="67"/>
        <v>-0.13874825489956527</v>
      </c>
      <c r="N190" s="1" t="str">
        <f t="shared" si="68"/>
        <v>Buy from Grid</v>
      </c>
      <c r="V190" s="1" t="str">
        <f t="shared" ref="V190:V202" si="87">IF(D190+M190&gt;0,"discharge","buy from the Grid")</f>
        <v>discharge</v>
      </c>
      <c r="Y190" s="1">
        <f t="shared" si="65"/>
        <v>2.364367596899225E-2</v>
      </c>
      <c r="AA190" s="1">
        <f t="shared" si="69"/>
        <v>69.229982912133806</v>
      </c>
      <c r="AD190" s="1">
        <f t="shared" si="70"/>
        <v>0</v>
      </c>
    </row>
    <row r="191" spans="1:30" ht="15">
      <c r="A191" s="1">
        <v>190</v>
      </c>
      <c r="B191" s="1">
        <f t="shared" si="73"/>
        <v>0</v>
      </c>
      <c r="C191" s="1">
        <f t="shared" si="66"/>
        <v>-0.38805832344759345</v>
      </c>
      <c r="D191" s="1">
        <f t="shared" si="71"/>
        <v>43.762672316016534</v>
      </c>
      <c r="E191">
        <v>59.27</v>
      </c>
      <c r="K191" s="1">
        <f>'Solar Availability and Gener GR'!F191</f>
        <v>1.0856405234577132E-2</v>
      </c>
      <c r="L191" s="1">
        <v>0.39891472868217059</v>
      </c>
      <c r="M191" s="1">
        <f t="shared" si="67"/>
        <v>-0.38805832344759345</v>
      </c>
      <c r="N191" s="1" t="str">
        <f t="shared" si="68"/>
        <v>Buy from Grid</v>
      </c>
      <c r="V191" s="1" t="str">
        <f t="shared" si="87"/>
        <v>discharge</v>
      </c>
      <c r="Y191" s="1">
        <f t="shared" si="65"/>
        <v>2.364367596899225E-2</v>
      </c>
      <c r="AA191" s="1">
        <f t="shared" si="69"/>
        <v>68.841924588686211</v>
      </c>
      <c r="AD191" s="1">
        <f t="shared" si="70"/>
        <v>0</v>
      </c>
    </row>
    <row r="192" spans="1:30" ht="15">
      <c r="A192" s="1">
        <v>191</v>
      </c>
      <c r="B192" s="1">
        <f t="shared" si="73"/>
        <v>0</v>
      </c>
      <c r="C192" s="1">
        <f t="shared" si="66"/>
        <v>-0.29596899224806206</v>
      </c>
      <c r="D192" s="1">
        <f t="shared" si="71"/>
        <v>43.392711075706458</v>
      </c>
      <c r="E192">
        <v>59.27</v>
      </c>
      <c r="K192" s="1">
        <f>'Solar Availability and Gener GR'!F192</f>
        <v>0</v>
      </c>
      <c r="L192" s="1">
        <v>0.29596899224806206</v>
      </c>
      <c r="M192" s="1">
        <f t="shared" si="67"/>
        <v>-0.29596899224806206</v>
      </c>
      <c r="N192" s="1" t="str">
        <f t="shared" si="68"/>
        <v>Buy from Grid</v>
      </c>
      <c r="V192" s="1" t="str">
        <f t="shared" si="87"/>
        <v>discharge</v>
      </c>
      <c r="Y192" s="1">
        <f t="shared" si="65"/>
        <v>1.754208217054264E-2</v>
      </c>
      <c r="AA192" s="1">
        <f t="shared" si="69"/>
        <v>68.545955596438148</v>
      </c>
      <c r="AD192" s="1">
        <f t="shared" si="70"/>
        <v>0</v>
      </c>
    </row>
    <row r="193" spans="1:30" ht="15">
      <c r="A193" s="1">
        <v>192</v>
      </c>
      <c r="B193" s="1">
        <f t="shared" si="73"/>
        <v>0</v>
      </c>
      <c r="C193" s="1">
        <f t="shared" si="66"/>
        <v>-0.30883720930232561</v>
      </c>
      <c r="D193" s="1">
        <f t="shared" si="71"/>
        <v>43.006664564078548</v>
      </c>
      <c r="E193">
        <v>59.27</v>
      </c>
      <c r="K193" s="1">
        <f>'Solar Availability and Gener GR'!F193</f>
        <v>0</v>
      </c>
      <c r="L193" s="1">
        <v>0.30883720930232561</v>
      </c>
      <c r="M193" s="1">
        <f t="shared" si="67"/>
        <v>-0.30883720930232561</v>
      </c>
      <c r="N193" s="1" t="str">
        <f t="shared" si="68"/>
        <v>Buy from Grid</v>
      </c>
      <c r="V193" s="1" t="str">
        <f t="shared" si="87"/>
        <v>discharge</v>
      </c>
      <c r="Y193" s="1">
        <f t="shared" si="65"/>
        <v>1.830478139534884E-2</v>
      </c>
      <c r="AA193" s="1">
        <f t="shared" si="69"/>
        <v>68.237118387135823</v>
      </c>
      <c r="AD193" s="1">
        <f t="shared" si="70"/>
        <v>0</v>
      </c>
    </row>
    <row r="194" spans="1:30" ht="15">
      <c r="A194" s="1">
        <v>193</v>
      </c>
      <c r="B194" s="1">
        <f t="shared" si="73"/>
        <v>0</v>
      </c>
      <c r="C194" s="1">
        <f t="shared" si="66"/>
        <v>-0.29596899224806206</v>
      </c>
      <c r="D194" s="1">
        <f t="shared" si="71"/>
        <v>42.636703323768472</v>
      </c>
      <c r="E194">
        <v>59.27</v>
      </c>
      <c r="K194" s="1">
        <f>'Solar Availability and Gener GR'!F194</f>
        <v>0</v>
      </c>
      <c r="L194" s="1">
        <v>0.29596899224806206</v>
      </c>
      <c r="M194" s="1">
        <f t="shared" si="67"/>
        <v>-0.29596899224806206</v>
      </c>
      <c r="N194" s="1" t="str">
        <f t="shared" si="68"/>
        <v>Buy from Grid</v>
      </c>
      <c r="V194" s="1" t="str">
        <f t="shared" si="87"/>
        <v>discharge</v>
      </c>
      <c r="Y194" s="1">
        <f t="shared" ref="Y194:Y257" si="88">(L194*E194)/1000</f>
        <v>1.754208217054264E-2</v>
      </c>
      <c r="AA194" s="1">
        <f t="shared" si="69"/>
        <v>67.941149394887759</v>
      </c>
      <c r="AD194" s="1">
        <f t="shared" si="70"/>
        <v>0</v>
      </c>
    </row>
    <row r="195" spans="1:30" ht="15">
      <c r="A195" s="1">
        <v>194</v>
      </c>
      <c r="B195" s="1">
        <f t="shared" si="73"/>
        <v>0</v>
      </c>
      <c r="C195" s="1">
        <f t="shared" ref="C195:C258" si="89">IF(V194="discharge",M195,0)</f>
        <v>-0.29596899224806206</v>
      </c>
      <c r="D195" s="1">
        <f t="shared" si="71"/>
        <v>42.266742083458396</v>
      </c>
      <c r="E195">
        <v>59.27</v>
      </c>
      <c r="K195" s="1">
        <f>'Solar Availability and Gener GR'!F195</f>
        <v>0</v>
      </c>
      <c r="L195" s="1">
        <v>0.29596899224806206</v>
      </c>
      <c r="M195" s="1">
        <f t="shared" ref="M195:M258" si="90">K195-L195</f>
        <v>-0.29596899224806206</v>
      </c>
      <c r="N195" s="1" t="str">
        <f t="shared" ref="N195:N258" si="91">IF(M195&lt;0,"Buy from Grid","sell the surplus or charge")</f>
        <v>Buy from Grid</v>
      </c>
      <c r="V195" s="1" t="str">
        <f t="shared" si="87"/>
        <v>discharge</v>
      </c>
      <c r="Y195" s="1">
        <f t="shared" si="88"/>
        <v>1.754208217054264E-2</v>
      </c>
      <c r="AA195" s="1">
        <f t="shared" ref="AA195:AA258" si="92">M195+AA194</f>
        <v>67.645180402639696</v>
      </c>
      <c r="AD195" s="1">
        <f t="shared" ref="AD195:AD258" si="93">AC195+O195</f>
        <v>0</v>
      </c>
    </row>
    <row r="196" spans="1:30" ht="15">
      <c r="A196" s="1">
        <v>195</v>
      </c>
      <c r="B196" s="1">
        <f t="shared" si="73"/>
        <v>0</v>
      </c>
      <c r="C196" s="1">
        <f t="shared" si="89"/>
        <v>-0.29596899224806206</v>
      </c>
      <c r="D196" s="1">
        <f t="shared" ref="D196:D259" si="94">(D195)+(B196*0.8)+(C196/0.8)</f>
        <v>41.896780843148321</v>
      </c>
      <c r="E196">
        <v>59.27</v>
      </c>
      <c r="K196" s="1">
        <f>'Solar Availability and Gener GR'!F196</f>
        <v>0</v>
      </c>
      <c r="L196" s="1">
        <v>0.29596899224806206</v>
      </c>
      <c r="M196" s="1">
        <f t="shared" si="90"/>
        <v>-0.29596899224806206</v>
      </c>
      <c r="N196" s="1" t="str">
        <f t="shared" si="91"/>
        <v>Buy from Grid</v>
      </c>
      <c r="V196" s="1" t="str">
        <f t="shared" si="87"/>
        <v>discharge</v>
      </c>
      <c r="Y196" s="1">
        <f t="shared" si="88"/>
        <v>1.754208217054264E-2</v>
      </c>
      <c r="AA196" s="1">
        <f t="shared" si="92"/>
        <v>67.349211410391632</v>
      </c>
      <c r="AD196" s="1">
        <f t="shared" si="93"/>
        <v>0</v>
      </c>
    </row>
    <row r="197" spans="1:30" ht="15">
      <c r="A197" s="1">
        <v>196</v>
      </c>
      <c r="B197" s="1">
        <f t="shared" si="73"/>
        <v>0</v>
      </c>
      <c r="C197" s="1">
        <f t="shared" si="89"/>
        <v>-0.39891472868217059</v>
      </c>
      <c r="D197" s="1">
        <f t="shared" si="94"/>
        <v>41.398137432295606</v>
      </c>
      <c r="E197">
        <v>59.27</v>
      </c>
      <c r="K197" s="1">
        <f>'Solar Availability and Gener GR'!F197</f>
        <v>0</v>
      </c>
      <c r="L197" s="1">
        <v>0.39891472868217059</v>
      </c>
      <c r="M197" s="1">
        <f t="shared" si="90"/>
        <v>-0.39891472868217059</v>
      </c>
      <c r="N197" s="1" t="str">
        <f t="shared" si="91"/>
        <v>Buy from Grid</v>
      </c>
      <c r="V197" s="1" t="str">
        <f t="shared" si="87"/>
        <v>discharge</v>
      </c>
      <c r="Y197" s="1">
        <f t="shared" si="88"/>
        <v>2.364367596899225E-2</v>
      </c>
      <c r="AA197" s="1">
        <f t="shared" si="92"/>
        <v>66.95029668170946</v>
      </c>
      <c r="AD197" s="1">
        <f t="shared" si="93"/>
        <v>0</v>
      </c>
    </row>
    <row r="198" spans="1:30" ht="15">
      <c r="A198" s="1">
        <v>197</v>
      </c>
      <c r="B198" s="1">
        <f t="shared" si="73"/>
        <v>0</v>
      </c>
      <c r="C198" s="1">
        <f t="shared" si="89"/>
        <v>-0.66914728682170543</v>
      </c>
      <c r="D198" s="1">
        <f t="shared" si="94"/>
        <v>40.561703323768477</v>
      </c>
      <c r="E198">
        <v>59.27</v>
      </c>
      <c r="K198" s="1">
        <f>'Solar Availability and Gener GR'!F198</f>
        <v>0</v>
      </c>
      <c r="L198" s="1">
        <v>0.66914728682170543</v>
      </c>
      <c r="M198" s="1">
        <f t="shared" si="90"/>
        <v>-0.66914728682170543</v>
      </c>
      <c r="N198" s="1" t="str">
        <f t="shared" si="91"/>
        <v>Buy from Grid</v>
      </c>
      <c r="V198" s="1" t="str">
        <f t="shared" si="87"/>
        <v>discharge</v>
      </c>
      <c r="Y198" s="1">
        <f t="shared" si="88"/>
        <v>3.9660359689922479E-2</v>
      </c>
      <c r="AA198" s="1">
        <f t="shared" si="92"/>
        <v>66.281149394887748</v>
      </c>
      <c r="AD198" s="1">
        <f t="shared" si="93"/>
        <v>0</v>
      </c>
    </row>
    <row r="199" spans="1:30" ht="15">
      <c r="A199" s="1">
        <v>198</v>
      </c>
      <c r="B199" s="1">
        <f t="shared" si="73"/>
        <v>0</v>
      </c>
      <c r="C199" s="1">
        <f t="shared" si="89"/>
        <v>-0.65627906976744199</v>
      </c>
      <c r="D199" s="1">
        <f t="shared" si="94"/>
        <v>39.741354486559175</v>
      </c>
      <c r="E199">
        <v>59.27</v>
      </c>
      <c r="K199" s="1">
        <f>'Solar Availability and Gener GR'!F199</f>
        <v>0</v>
      </c>
      <c r="L199" s="1">
        <v>0.65627906976744199</v>
      </c>
      <c r="M199" s="1">
        <f t="shared" si="90"/>
        <v>-0.65627906976744199</v>
      </c>
      <c r="N199" s="1" t="str">
        <f t="shared" si="91"/>
        <v>Buy from Grid</v>
      </c>
      <c r="V199" s="1" t="str">
        <f t="shared" si="87"/>
        <v>discharge</v>
      </c>
      <c r="Y199" s="1">
        <f t="shared" si="88"/>
        <v>3.8897660465116286E-2</v>
      </c>
      <c r="AA199" s="1">
        <f t="shared" si="92"/>
        <v>65.624870325120312</v>
      </c>
      <c r="AD199" s="1">
        <f t="shared" si="93"/>
        <v>0</v>
      </c>
    </row>
    <row r="200" spans="1:30" ht="15">
      <c r="A200" s="1">
        <v>199</v>
      </c>
      <c r="B200" s="1">
        <f t="shared" si="73"/>
        <v>0</v>
      </c>
      <c r="C200" s="1">
        <f t="shared" si="89"/>
        <v>-0.63966730087222212</v>
      </c>
      <c r="D200" s="1">
        <f t="shared" si="94"/>
        <v>38.941770360468894</v>
      </c>
      <c r="E200">
        <v>59.27</v>
      </c>
      <c r="K200" s="1">
        <f>'Solar Availability and Gener GR'!F200</f>
        <v>1.6611768895219918E-2</v>
      </c>
      <c r="L200" s="1">
        <v>0.65627906976744199</v>
      </c>
      <c r="M200" s="1">
        <f t="shared" si="90"/>
        <v>-0.63966730087222212</v>
      </c>
      <c r="N200" s="1" t="str">
        <f t="shared" si="91"/>
        <v>Buy from Grid</v>
      </c>
      <c r="V200" s="1" t="str">
        <f t="shared" si="87"/>
        <v>discharge</v>
      </c>
      <c r="Y200" s="1">
        <f t="shared" si="88"/>
        <v>3.8897660465116286E-2</v>
      </c>
      <c r="AA200" s="1">
        <f t="shared" si="92"/>
        <v>64.985203024248094</v>
      </c>
      <c r="AD200" s="1">
        <f t="shared" si="93"/>
        <v>0</v>
      </c>
    </row>
    <row r="201" spans="1:30" ht="15">
      <c r="A201" s="1">
        <v>200</v>
      </c>
      <c r="B201" s="1">
        <f t="shared" si="73"/>
        <v>0</v>
      </c>
      <c r="C201" s="1">
        <f t="shared" si="89"/>
        <v>-0.32523004961157526</v>
      </c>
      <c r="D201" s="1">
        <f t="shared" si="94"/>
        <v>38.535232798454423</v>
      </c>
      <c r="E201">
        <v>59.27</v>
      </c>
      <c r="K201" s="1">
        <f>'Solar Availability and Gener GR'!F201</f>
        <v>7.3684679070595324E-2</v>
      </c>
      <c r="L201" s="1">
        <v>0.39891472868217059</v>
      </c>
      <c r="M201" s="1">
        <f t="shared" si="90"/>
        <v>-0.32523004961157526</v>
      </c>
      <c r="N201" s="1" t="str">
        <f t="shared" si="91"/>
        <v>Buy from Grid</v>
      </c>
      <c r="V201" s="1" t="str">
        <f t="shared" si="87"/>
        <v>discharge</v>
      </c>
      <c r="Y201" s="1">
        <f t="shared" si="88"/>
        <v>2.364367596899225E-2</v>
      </c>
      <c r="AA201" s="1">
        <f t="shared" si="92"/>
        <v>64.659972974636517</v>
      </c>
      <c r="AD201" s="1">
        <f t="shared" si="93"/>
        <v>0</v>
      </c>
    </row>
    <row r="202" spans="1:30" ht="15">
      <c r="A202" s="1">
        <v>201</v>
      </c>
      <c r="B202" s="1">
        <f t="shared" si="73"/>
        <v>0</v>
      </c>
      <c r="C202" s="1">
        <f t="shared" si="89"/>
        <v>-0.10544459603728495</v>
      </c>
      <c r="D202" s="1">
        <f t="shared" si="94"/>
        <v>38.403427053407817</v>
      </c>
      <c r="E202">
        <v>59.27</v>
      </c>
      <c r="K202" s="1">
        <f>'Solar Availability and Gener GR'!F202</f>
        <v>0.29347013264488564</v>
      </c>
      <c r="L202" s="1">
        <v>0.39891472868217059</v>
      </c>
      <c r="M202" s="1">
        <f t="shared" si="90"/>
        <v>-0.10544459603728495</v>
      </c>
      <c r="N202" s="1" t="str">
        <f t="shared" si="91"/>
        <v>Buy from Grid</v>
      </c>
      <c r="V202" s="1" t="str">
        <f t="shared" si="87"/>
        <v>discharge</v>
      </c>
      <c r="Y202" s="1">
        <f t="shared" si="88"/>
        <v>2.364367596899225E-2</v>
      </c>
      <c r="AA202" s="1">
        <f t="shared" si="92"/>
        <v>64.55452837859923</v>
      </c>
      <c r="AD202" s="1">
        <f t="shared" si="93"/>
        <v>0</v>
      </c>
    </row>
    <row r="203" spans="1:30" ht="15">
      <c r="A203" s="1">
        <v>202</v>
      </c>
      <c r="B203" s="1">
        <f t="shared" si="73"/>
        <v>0</v>
      </c>
      <c r="C203" s="1">
        <f t="shared" si="89"/>
        <v>0.34412809157955548</v>
      </c>
      <c r="D203" s="1">
        <f t="shared" si="94"/>
        <v>38.833587167882264</v>
      </c>
      <c r="E203">
        <v>59.27</v>
      </c>
      <c r="K203" s="1">
        <f>'Solar Availability and Gener GR'!F203</f>
        <v>0.74304282026172608</v>
      </c>
      <c r="L203" s="1">
        <v>0.39891472868217059</v>
      </c>
      <c r="M203" s="1">
        <f t="shared" si="90"/>
        <v>0.34412809157955548</v>
      </c>
      <c r="N203" s="1" t="str">
        <f t="shared" si="91"/>
        <v>sell the surplus or charge</v>
      </c>
      <c r="O203" s="1">
        <v>0.25</v>
      </c>
      <c r="P203" s="1">
        <f t="shared" ref="P203:P211" si="95">0.25/L203</f>
        <v>0.62670034978624167</v>
      </c>
      <c r="Q203" s="1">
        <f t="shared" ref="Q203:Q211" si="96">K203-P203*L203</f>
        <v>0.49304282026172608</v>
      </c>
      <c r="R203" s="1">
        <f t="shared" ref="R203:R211" si="97">((1/(E203+0.01))*LN(0.25))+(E203*(K203-0.25))</f>
        <v>29.199262424504951</v>
      </c>
      <c r="S203" s="1">
        <f t="shared" ref="S203:S211" si="98">((1/(E203+0.01))*LN(L203))+(E203*(K203-L203))</f>
        <v>20.380969160701831</v>
      </c>
      <c r="T203" s="1">
        <f t="shared" ref="T203:T211" si="99">(S203+((S203^2)-4*(K203-L203*P203)*LN(L203*P203))^(0.5))/(2*(K203-L203*P203))</f>
        <v>41.405025341968795</v>
      </c>
      <c r="U203" s="1" t="str">
        <f t="shared" ref="U203:U211" si="100">IF(E203&gt;=T203*1.2,"sell to the Grid","charge")</f>
        <v>sell to the Grid</v>
      </c>
      <c r="W203" s="1">
        <f>(Q203*E203)/1000</f>
        <v>2.9222647956912508E-2</v>
      </c>
      <c r="Y203" s="1">
        <f t="shared" si="88"/>
        <v>2.364367596899225E-2</v>
      </c>
      <c r="AA203" s="1">
        <f t="shared" si="92"/>
        <v>64.898656470178778</v>
      </c>
      <c r="AD203" s="1">
        <f t="shared" si="93"/>
        <v>0.25</v>
      </c>
    </row>
    <row r="204" spans="1:30" ht="15">
      <c r="A204" s="1">
        <v>203</v>
      </c>
      <c r="B204" s="1">
        <f t="shared" si="73"/>
        <v>1.4500890234131563</v>
      </c>
      <c r="C204" s="1">
        <f t="shared" si="89"/>
        <v>0</v>
      </c>
      <c r="D204" s="1">
        <f t="shared" si="94"/>
        <v>39.993658386612786</v>
      </c>
      <c r="E204">
        <v>59.27</v>
      </c>
      <c r="K204" s="1">
        <f>'Solar Availability and Gener GR'!F204</f>
        <v>1.7000890234131563</v>
      </c>
      <c r="L204" s="1">
        <v>0.39891472868217059</v>
      </c>
      <c r="M204" s="1">
        <f t="shared" si="90"/>
        <v>1.3011742947309857</v>
      </c>
      <c r="N204" s="1" t="str">
        <f t="shared" si="91"/>
        <v>sell the surplus or charge</v>
      </c>
      <c r="O204" s="1">
        <v>0.25</v>
      </c>
      <c r="P204" s="1">
        <f t="shared" si="95"/>
        <v>0.62670034978624167</v>
      </c>
      <c r="Q204" s="1">
        <f t="shared" si="96"/>
        <v>1.4500890234131563</v>
      </c>
      <c r="R204" s="1">
        <f t="shared" si="97"/>
        <v>85.923390885290218</v>
      </c>
      <c r="S204" s="1">
        <f t="shared" si="98"/>
        <v>77.105097621487104</v>
      </c>
      <c r="T204" s="1">
        <f t="shared" si="99"/>
        <v>53.190638041696054</v>
      </c>
      <c r="U204" s="1" t="str">
        <f t="shared" si="100"/>
        <v>charge</v>
      </c>
      <c r="Y204" s="1">
        <f t="shared" si="88"/>
        <v>2.364367596899225E-2</v>
      </c>
      <c r="AA204" s="1">
        <f t="shared" si="92"/>
        <v>66.199830764909763</v>
      </c>
      <c r="AD204" s="1">
        <f t="shared" si="93"/>
        <v>0.25</v>
      </c>
    </row>
    <row r="205" spans="1:30" ht="15">
      <c r="A205" s="1">
        <v>204</v>
      </c>
      <c r="B205" s="1">
        <f t="shared" si="73"/>
        <v>2.0815899581589932</v>
      </c>
      <c r="C205" s="1">
        <f t="shared" si="89"/>
        <v>0</v>
      </c>
      <c r="D205" s="1">
        <f t="shared" si="94"/>
        <v>41.658930353139979</v>
      </c>
      <c r="E205">
        <v>59.27</v>
      </c>
      <c r="K205" s="1">
        <f>'Solar Availability and Gener GR'!F205</f>
        <v>2.3315899581589932</v>
      </c>
      <c r="L205" s="1">
        <v>0.39891472868217059</v>
      </c>
      <c r="M205" s="1">
        <f t="shared" si="90"/>
        <v>1.9326752294768226</v>
      </c>
      <c r="N205" s="1" t="str">
        <f t="shared" si="91"/>
        <v>sell the surplus or charge</v>
      </c>
      <c r="O205" s="1">
        <v>0.25</v>
      </c>
      <c r="P205" s="1">
        <f t="shared" si="95"/>
        <v>0.62670034978624167</v>
      </c>
      <c r="Q205" s="1">
        <f t="shared" si="96"/>
        <v>2.0815899581589932</v>
      </c>
      <c r="R205" s="1">
        <f t="shared" si="97"/>
        <v>123.35245128767598</v>
      </c>
      <c r="S205" s="1">
        <f t="shared" si="98"/>
        <v>114.53415802387285</v>
      </c>
      <c r="T205" s="1">
        <f t="shared" si="99"/>
        <v>55.034540836180213</v>
      </c>
      <c r="U205" s="1" t="str">
        <f t="shared" si="100"/>
        <v>charge</v>
      </c>
      <c r="Y205" s="1">
        <f t="shared" si="88"/>
        <v>2.364367596899225E-2</v>
      </c>
      <c r="AA205" s="1">
        <f t="shared" si="92"/>
        <v>68.132505994386591</v>
      </c>
      <c r="AD205" s="1">
        <f t="shared" si="93"/>
        <v>0.25</v>
      </c>
    </row>
    <row r="206" spans="1:30" ht="15">
      <c r="A206" s="1">
        <v>205</v>
      </c>
      <c r="B206" s="1">
        <f t="shared" si="73"/>
        <v>2.3013754117332827</v>
      </c>
      <c r="C206" s="1">
        <f t="shared" si="89"/>
        <v>0</v>
      </c>
      <c r="D206" s="1">
        <f t="shared" si="94"/>
        <v>43.500030682526607</v>
      </c>
      <c r="E206">
        <v>59.27</v>
      </c>
      <c r="K206" s="1">
        <f>'Solar Availability and Gener GR'!F206</f>
        <v>2.5513754117332827</v>
      </c>
      <c r="L206" s="1">
        <v>0.39891472868217059</v>
      </c>
      <c r="M206" s="1">
        <f t="shared" si="90"/>
        <v>2.1524606830511122</v>
      </c>
      <c r="N206" s="1" t="str">
        <f t="shared" si="91"/>
        <v>sell the surplus or charge</v>
      </c>
      <c r="O206" s="1">
        <v>0.25</v>
      </c>
      <c r="P206" s="1">
        <f t="shared" si="95"/>
        <v>0.62670034978624167</v>
      </c>
      <c r="Q206" s="1">
        <f t="shared" si="96"/>
        <v>2.3013754117332827</v>
      </c>
      <c r="R206" s="1">
        <f t="shared" si="97"/>
        <v>136.37913512102412</v>
      </c>
      <c r="S206" s="1">
        <f t="shared" si="98"/>
        <v>127.56084185722099</v>
      </c>
      <c r="T206" s="1">
        <f t="shared" si="99"/>
        <v>55.438954890919746</v>
      </c>
      <c r="U206" s="1" t="str">
        <f t="shared" si="100"/>
        <v>charge</v>
      </c>
      <c r="Y206" s="1">
        <f t="shared" si="88"/>
        <v>2.364367596899225E-2</v>
      </c>
      <c r="AA206" s="1">
        <f t="shared" si="92"/>
        <v>70.284966677437708</v>
      </c>
      <c r="AD206" s="1">
        <f t="shared" si="93"/>
        <v>0.25</v>
      </c>
    </row>
    <row r="207" spans="1:30" ht="15">
      <c r="A207" s="1">
        <v>206</v>
      </c>
      <c r="B207" s="1">
        <f t="shared" si="73"/>
        <v>2.348833793287632</v>
      </c>
      <c r="C207" s="1">
        <f t="shared" si="89"/>
        <v>0</v>
      </c>
      <c r="D207" s="1">
        <f t="shared" si="94"/>
        <v>45.379097717156711</v>
      </c>
      <c r="E207">
        <v>59.27</v>
      </c>
      <c r="K207" s="1">
        <f>'Solar Availability and Gener GR'!F207</f>
        <v>2.598833793287632</v>
      </c>
      <c r="L207" s="1">
        <v>0.39891472868217059</v>
      </c>
      <c r="M207" s="1">
        <f t="shared" si="90"/>
        <v>2.1999190646054614</v>
      </c>
      <c r="N207" s="1" t="str">
        <f t="shared" si="91"/>
        <v>sell the surplus or charge</v>
      </c>
      <c r="O207" s="1">
        <v>0.25</v>
      </c>
      <c r="P207" s="1">
        <f t="shared" si="95"/>
        <v>0.62670034978624167</v>
      </c>
      <c r="Q207" s="1">
        <f t="shared" si="96"/>
        <v>2.348833793287632</v>
      </c>
      <c r="R207" s="1">
        <f t="shared" si="97"/>
        <v>139.19199339575039</v>
      </c>
      <c r="S207" s="1">
        <f t="shared" si="98"/>
        <v>130.37370013194729</v>
      </c>
      <c r="T207" s="1">
        <f t="shared" si="99"/>
        <v>55.516346634055658</v>
      </c>
      <c r="U207" s="1" t="str">
        <f t="shared" si="100"/>
        <v>charge</v>
      </c>
      <c r="Y207" s="1">
        <f t="shared" si="88"/>
        <v>2.364367596899225E-2</v>
      </c>
      <c r="AA207" s="1">
        <f t="shared" si="92"/>
        <v>72.484885742043176</v>
      </c>
      <c r="AD207" s="1">
        <f t="shared" si="93"/>
        <v>0.25</v>
      </c>
    </row>
    <row r="208" spans="1:30" ht="15">
      <c r="A208" s="1">
        <v>207</v>
      </c>
      <c r="B208" s="1">
        <f t="shared" ref="B208:B271" si="101">IF(U208="charge",Q208,0)</f>
        <v>2.2718374432475708</v>
      </c>
      <c r="C208" s="1">
        <f t="shared" si="89"/>
        <v>0</v>
      </c>
      <c r="D208" s="1">
        <f t="shared" si="94"/>
        <v>47.196567671754764</v>
      </c>
      <c r="E208">
        <v>59.27</v>
      </c>
      <c r="K208" s="1">
        <f>'Solar Availability and Gener GR'!F208</f>
        <v>2.5218374432475708</v>
      </c>
      <c r="L208" s="1">
        <v>0.39891472868217059</v>
      </c>
      <c r="M208" s="1">
        <f t="shared" si="90"/>
        <v>2.1229227145654002</v>
      </c>
      <c r="N208" s="1" t="str">
        <f t="shared" si="91"/>
        <v>sell the surplus or charge</v>
      </c>
      <c r="O208" s="1">
        <v>0.25</v>
      </c>
      <c r="P208" s="1">
        <f t="shared" si="95"/>
        <v>0.62670034978624167</v>
      </c>
      <c r="Q208" s="1">
        <f t="shared" si="96"/>
        <v>2.2718374432475708</v>
      </c>
      <c r="R208" s="1">
        <f t="shared" si="97"/>
        <v>134.62841972887597</v>
      </c>
      <c r="S208" s="1">
        <f t="shared" si="98"/>
        <v>125.81012646507284</v>
      </c>
      <c r="T208" s="1">
        <f t="shared" si="99"/>
        <v>55.389154317707671</v>
      </c>
      <c r="U208" s="1" t="str">
        <f t="shared" si="100"/>
        <v>charge</v>
      </c>
      <c r="Y208" s="1">
        <f t="shared" si="88"/>
        <v>2.364367596899225E-2</v>
      </c>
      <c r="AA208" s="1">
        <f t="shared" si="92"/>
        <v>74.607808456608581</v>
      </c>
      <c r="AD208" s="1">
        <f t="shared" si="93"/>
        <v>0.25</v>
      </c>
    </row>
    <row r="209" spans="1:30" ht="15">
      <c r="A209" s="1">
        <v>208</v>
      </c>
      <c r="B209" s="1">
        <f t="shared" si="101"/>
        <v>0</v>
      </c>
      <c r="C209" s="1">
        <f t="shared" si="89"/>
        <v>0</v>
      </c>
      <c r="D209" s="1">
        <f t="shared" si="94"/>
        <v>47.196567671754764</v>
      </c>
      <c r="E209">
        <v>59.27</v>
      </c>
      <c r="K209" s="1">
        <f>'Solar Availability and Gener GR'!F209</f>
        <v>2.13843140746016</v>
      </c>
      <c r="L209" s="1">
        <v>0.65627906976744199</v>
      </c>
      <c r="M209" s="1">
        <f t="shared" si="90"/>
        <v>1.4821523376927179</v>
      </c>
      <c r="N209" s="1" t="str">
        <f t="shared" si="91"/>
        <v>sell the surplus or charge</v>
      </c>
      <c r="O209" s="1">
        <v>0.25</v>
      </c>
      <c r="P209" s="1">
        <f t="shared" si="95"/>
        <v>0.38093550673281351</v>
      </c>
      <c r="Q209" s="1">
        <f t="shared" si="96"/>
        <v>1.88843140746016</v>
      </c>
      <c r="R209" s="1">
        <f t="shared" si="97"/>
        <v>111.90394398775614</v>
      </c>
      <c r="S209" s="1">
        <f t="shared" si="98"/>
        <v>87.840064311976064</v>
      </c>
      <c r="T209" s="1">
        <f t="shared" si="99"/>
        <v>46.530605844213262</v>
      </c>
      <c r="U209" s="1" t="str">
        <f t="shared" si="100"/>
        <v>sell to the Grid</v>
      </c>
      <c r="W209" s="1">
        <f>(Q209*E209)/1000</f>
        <v>0.1119273295201637</v>
      </c>
      <c r="Y209" s="1">
        <f t="shared" si="88"/>
        <v>3.8897660465116286E-2</v>
      </c>
      <c r="AA209" s="1">
        <f t="shared" si="92"/>
        <v>76.089960794301305</v>
      </c>
      <c r="AD209" s="1">
        <f t="shared" si="93"/>
        <v>0.25</v>
      </c>
    </row>
    <row r="210" spans="1:30" ht="15">
      <c r="A210" s="1">
        <v>209</v>
      </c>
      <c r="B210" s="1">
        <f t="shared" si="101"/>
        <v>0</v>
      </c>
      <c r="C210" s="1">
        <f t="shared" si="89"/>
        <v>0</v>
      </c>
      <c r="D210" s="1">
        <f t="shared" si="94"/>
        <v>47.196567671754764</v>
      </c>
      <c r="E210">
        <v>59.27</v>
      </c>
      <c r="K210" s="1">
        <f>'Solar Availability and Gener GR'!F210</f>
        <v>1.6784563340158452</v>
      </c>
      <c r="L210" s="1">
        <v>0.66914728682170543</v>
      </c>
      <c r="M210" s="1">
        <f t="shared" si="90"/>
        <v>1.0093090471941397</v>
      </c>
      <c r="N210" s="1" t="str">
        <f t="shared" si="91"/>
        <v>sell the surplus or charge</v>
      </c>
      <c r="O210" s="1">
        <v>0.25</v>
      </c>
      <c r="P210" s="1">
        <f t="shared" si="95"/>
        <v>0.3736098239110287</v>
      </c>
      <c r="Q210" s="1">
        <f t="shared" si="96"/>
        <v>1.4284563340158452</v>
      </c>
      <c r="R210" s="1">
        <f t="shared" si="97"/>
        <v>84.641221384711585</v>
      </c>
      <c r="S210" s="1">
        <f t="shared" si="98"/>
        <v>59.814970049676226</v>
      </c>
      <c r="T210" s="1">
        <f t="shared" si="99"/>
        <v>41.897016216080459</v>
      </c>
      <c r="U210" s="1" t="str">
        <f t="shared" si="100"/>
        <v>sell to the Grid</v>
      </c>
      <c r="W210" s="1">
        <f>(Q210*E210)/1000</f>
        <v>8.4664606917119148E-2</v>
      </c>
      <c r="Y210" s="1">
        <f t="shared" si="88"/>
        <v>3.9660359689922479E-2</v>
      </c>
      <c r="AA210" s="1">
        <f t="shared" si="92"/>
        <v>77.099269841495442</v>
      </c>
      <c r="AD210" s="1">
        <f t="shared" si="93"/>
        <v>0.25</v>
      </c>
    </row>
    <row r="211" spans="1:30" ht="15">
      <c r="A211" s="1">
        <v>210</v>
      </c>
      <c r="B211" s="1">
        <f t="shared" si="101"/>
        <v>0</v>
      </c>
      <c r="C211" s="1">
        <f t="shared" si="89"/>
        <v>0</v>
      </c>
      <c r="D211" s="1">
        <f t="shared" si="94"/>
        <v>47.196567671754764</v>
      </c>
      <c r="E211">
        <v>59.27</v>
      </c>
      <c r="K211" s="1">
        <f>'Solar Availability and Gener GR'!F211</f>
        <v>1.0269518383334808</v>
      </c>
      <c r="L211" s="1">
        <v>0.65627906976744199</v>
      </c>
      <c r="M211" s="1">
        <f t="shared" si="90"/>
        <v>0.37067276856603881</v>
      </c>
      <c r="N211" s="1" t="str">
        <f t="shared" si="91"/>
        <v>sell the surplus or charge</v>
      </c>
      <c r="O211" s="1">
        <v>0.25</v>
      </c>
      <c r="P211" s="1">
        <f t="shared" si="95"/>
        <v>0.38093550673281351</v>
      </c>
      <c r="Q211" s="1">
        <f t="shared" si="96"/>
        <v>0.7769518383334808</v>
      </c>
      <c r="R211" s="1">
        <f t="shared" si="97"/>
        <v>46.026549925617857</v>
      </c>
      <c r="S211" s="1">
        <f t="shared" si="98"/>
        <v>21.962670249837785</v>
      </c>
      <c r="T211" s="1">
        <f t="shared" si="99"/>
        <v>28.330717192822302</v>
      </c>
      <c r="U211" s="1" t="str">
        <f t="shared" si="100"/>
        <v>sell to the Grid</v>
      </c>
      <c r="W211" s="1">
        <f>(Q211*E211)/1000</f>
        <v>4.6049935458025409E-2</v>
      </c>
      <c r="Y211" s="1">
        <f t="shared" si="88"/>
        <v>3.8897660465116286E-2</v>
      </c>
      <c r="AA211" s="1">
        <f t="shared" si="92"/>
        <v>77.46994261006148</v>
      </c>
      <c r="AD211" s="1">
        <f t="shared" si="93"/>
        <v>0.25</v>
      </c>
    </row>
    <row r="212" spans="1:30" ht="15">
      <c r="A212" s="1">
        <v>211</v>
      </c>
      <c r="B212" s="1">
        <f t="shared" si="101"/>
        <v>0</v>
      </c>
      <c r="C212" s="1">
        <f t="shared" si="89"/>
        <v>0</v>
      </c>
      <c r="D212" s="1">
        <f t="shared" si="94"/>
        <v>47.196567671754764</v>
      </c>
      <c r="E212">
        <v>59.27</v>
      </c>
      <c r="K212" s="1">
        <f>'Solar Availability and Gener GR'!F212</f>
        <v>0.35632511350485152</v>
      </c>
      <c r="L212" s="1">
        <v>0.66914728682170543</v>
      </c>
      <c r="M212" s="1">
        <f t="shared" si="90"/>
        <v>-0.31282217331685391</v>
      </c>
      <c r="N212" s="1" t="str">
        <f t="shared" si="91"/>
        <v>Buy from Grid</v>
      </c>
      <c r="V212" s="1" t="str">
        <f t="shared" ref="V212:V226" si="102">IF(D212+M212&gt;0,"discharge","buy from the Grid")</f>
        <v>discharge</v>
      </c>
      <c r="Y212" s="1">
        <f t="shared" si="88"/>
        <v>3.9660359689922479E-2</v>
      </c>
      <c r="AA212" s="1">
        <f t="shared" si="92"/>
        <v>77.15712043674462</v>
      </c>
      <c r="AD212" s="1">
        <f t="shared" si="93"/>
        <v>0</v>
      </c>
    </row>
    <row r="213" spans="1:30" ht="15">
      <c r="A213" s="1">
        <v>212</v>
      </c>
      <c r="B213" s="1">
        <f t="shared" si="101"/>
        <v>0</v>
      </c>
      <c r="C213" s="1">
        <f t="shared" si="89"/>
        <v>-0.35896102085701259</v>
      </c>
      <c r="D213" s="1">
        <f t="shared" si="94"/>
        <v>46.747866395683495</v>
      </c>
      <c r="E213">
        <v>59.27</v>
      </c>
      <c r="K213" s="1">
        <f>'Solar Availability and Gener GR'!F213</f>
        <v>3.9953707825157996E-2</v>
      </c>
      <c r="L213" s="1">
        <v>0.39891472868217059</v>
      </c>
      <c r="M213" s="1">
        <f t="shared" si="90"/>
        <v>-0.35896102085701259</v>
      </c>
      <c r="N213" s="1" t="str">
        <f t="shared" si="91"/>
        <v>Buy from Grid</v>
      </c>
      <c r="V213" s="1" t="str">
        <f t="shared" si="102"/>
        <v>discharge</v>
      </c>
      <c r="Y213" s="1">
        <f t="shared" si="88"/>
        <v>2.364367596899225E-2</v>
      </c>
      <c r="AA213" s="1">
        <f t="shared" si="92"/>
        <v>76.798159415887611</v>
      </c>
      <c r="AD213" s="1">
        <f t="shared" si="93"/>
        <v>0</v>
      </c>
    </row>
    <row r="214" spans="1:30" ht="15">
      <c r="A214" s="1">
        <v>213</v>
      </c>
      <c r="B214" s="1">
        <f t="shared" si="101"/>
        <v>0</v>
      </c>
      <c r="C214" s="1">
        <f t="shared" si="89"/>
        <v>-0.39891472868217059</v>
      </c>
      <c r="D214" s="1">
        <f t="shared" si="94"/>
        <v>46.24922298483078</v>
      </c>
      <c r="E214">
        <v>59.27</v>
      </c>
      <c r="K214" s="1">
        <f>'Solar Availability and Gener GR'!F214</f>
        <v>0</v>
      </c>
      <c r="L214" s="1">
        <v>0.39891472868217059</v>
      </c>
      <c r="M214" s="1">
        <f t="shared" si="90"/>
        <v>-0.39891472868217059</v>
      </c>
      <c r="N214" s="1" t="str">
        <f t="shared" si="91"/>
        <v>Buy from Grid</v>
      </c>
      <c r="V214" s="1" t="str">
        <f t="shared" si="102"/>
        <v>discharge</v>
      </c>
      <c r="Y214" s="1">
        <f t="shared" si="88"/>
        <v>2.364367596899225E-2</v>
      </c>
      <c r="AA214" s="1">
        <f t="shared" si="92"/>
        <v>76.399244687205439</v>
      </c>
      <c r="AD214" s="1">
        <f t="shared" si="93"/>
        <v>0</v>
      </c>
    </row>
    <row r="215" spans="1:30" ht="15">
      <c r="A215" s="1">
        <v>214</v>
      </c>
      <c r="B215" s="1">
        <f t="shared" si="101"/>
        <v>0</v>
      </c>
      <c r="C215" s="1">
        <f t="shared" si="89"/>
        <v>-0.39891472868217059</v>
      </c>
      <c r="D215" s="1">
        <f t="shared" si="94"/>
        <v>45.750579573978065</v>
      </c>
      <c r="E215">
        <v>59.27</v>
      </c>
      <c r="K215" s="1">
        <f>'Solar Availability and Gener GR'!F215</f>
        <v>0</v>
      </c>
      <c r="L215" s="1">
        <v>0.39891472868217059</v>
      </c>
      <c r="M215" s="1">
        <f t="shared" si="90"/>
        <v>-0.39891472868217059</v>
      </c>
      <c r="N215" s="1" t="str">
        <f t="shared" si="91"/>
        <v>Buy from Grid</v>
      </c>
      <c r="V215" s="1" t="str">
        <f t="shared" si="102"/>
        <v>discharge</v>
      </c>
      <c r="Y215" s="1">
        <f t="shared" si="88"/>
        <v>2.364367596899225E-2</v>
      </c>
      <c r="AA215" s="1">
        <f t="shared" si="92"/>
        <v>76.000329958523267</v>
      </c>
      <c r="AD215" s="1">
        <f t="shared" si="93"/>
        <v>0</v>
      </c>
    </row>
    <row r="216" spans="1:30" ht="15">
      <c r="A216" s="1">
        <v>215</v>
      </c>
      <c r="B216" s="1">
        <f t="shared" si="101"/>
        <v>0</v>
      </c>
      <c r="C216" s="1">
        <f t="shared" si="89"/>
        <v>-0.29596899224806206</v>
      </c>
      <c r="D216" s="1">
        <f t="shared" si="94"/>
        <v>45.380618333667989</v>
      </c>
      <c r="E216">
        <v>59.27</v>
      </c>
      <c r="K216" s="1">
        <f>'Solar Availability and Gener GR'!F216</f>
        <v>0</v>
      </c>
      <c r="L216" s="1">
        <v>0.29596899224806206</v>
      </c>
      <c r="M216" s="1">
        <f t="shared" si="90"/>
        <v>-0.29596899224806206</v>
      </c>
      <c r="N216" s="1" t="str">
        <f t="shared" si="91"/>
        <v>Buy from Grid</v>
      </c>
      <c r="V216" s="1" t="str">
        <f t="shared" si="102"/>
        <v>discharge</v>
      </c>
      <c r="Y216" s="1">
        <f t="shared" si="88"/>
        <v>1.754208217054264E-2</v>
      </c>
      <c r="AA216" s="1">
        <f t="shared" si="92"/>
        <v>75.704360966275203</v>
      </c>
      <c r="AD216" s="1">
        <f t="shared" si="93"/>
        <v>0</v>
      </c>
    </row>
    <row r="217" spans="1:30" ht="15">
      <c r="A217" s="1">
        <v>216</v>
      </c>
      <c r="B217" s="1">
        <f t="shared" si="101"/>
        <v>0</v>
      </c>
      <c r="C217" s="1">
        <f t="shared" si="89"/>
        <v>-0.29596899224806206</v>
      </c>
      <c r="D217" s="1">
        <f t="shared" si="94"/>
        <v>45.010657093357914</v>
      </c>
      <c r="E217">
        <v>59.27</v>
      </c>
      <c r="K217" s="1">
        <f>'Solar Availability and Gener GR'!F217</f>
        <v>0</v>
      </c>
      <c r="L217" s="1">
        <v>0.29596899224806206</v>
      </c>
      <c r="M217" s="1">
        <f t="shared" si="90"/>
        <v>-0.29596899224806206</v>
      </c>
      <c r="N217" s="1" t="str">
        <f t="shared" si="91"/>
        <v>Buy from Grid</v>
      </c>
      <c r="V217" s="1" t="str">
        <f t="shared" si="102"/>
        <v>discharge</v>
      </c>
      <c r="Y217" s="1">
        <f t="shared" si="88"/>
        <v>1.754208217054264E-2</v>
      </c>
      <c r="AA217" s="1">
        <f t="shared" si="92"/>
        <v>75.40839197402714</v>
      </c>
      <c r="AD217" s="1">
        <f t="shared" si="93"/>
        <v>0</v>
      </c>
    </row>
    <row r="218" spans="1:30" ht="15">
      <c r="A218" s="1">
        <v>217</v>
      </c>
      <c r="B218" s="1">
        <f t="shared" si="101"/>
        <v>0</v>
      </c>
      <c r="C218" s="1">
        <f t="shared" si="89"/>
        <v>-0.29596899224806206</v>
      </c>
      <c r="D218" s="1">
        <f t="shared" si="94"/>
        <v>44.640695853047838</v>
      </c>
      <c r="E218">
        <v>59.27</v>
      </c>
      <c r="K218" s="1">
        <f>'Solar Availability and Gener GR'!F218</f>
        <v>0</v>
      </c>
      <c r="L218" s="1">
        <v>0.29596899224806206</v>
      </c>
      <c r="M218" s="1">
        <f t="shared" si="90"/>
        <v>-0.29596899224806206</v>
      </c>
      <c r="N218" s="1" t="str">
        <f t="shared" si="91"/>
        <v>Buy from Grid</v>
      </c>
      <c r="V218" s="1" t="str">
        <f t="shared" si="102"/>
        <v>discharge</v>
      </c>
      <c r="Y218" s="1">
        <f t="shared" si="88"/>
        <v>1.754208217054264E-2</v>
      </c>
      <c r="AA218" s="1">
        <f t="shared" si="92"/>
        <v>75.112422981779076</v>
      </c>
      <c r="AD218" s="1">
        <f t="shared" si="93"/>
        <v>0</v>
      </c>
    </row>
    <row r="219" spans="1:30" ht="15">
      <c r="A219" s="1">
        <v>218</v>
      </c>
      <c r="B219" s="1">
        <f t="shared" si="101"/>
        <v>0</v>
      </c>
      <c r="C219" s="1">
        <f t="shared" si="89"/>
        <v>-0.29596899224806206</v>
      </c>
      <c r="D219" s="1">
        <f t="shared" si="94"/>
        <v>44.270734612737762</v>
      </c>
      <c r="E219">
        <v>59.27</v>
      </c>
      <c r="K219" s="1">
        <f>'Solar Availability and Gener GR'!F219</f>
        <v>0</v>
      </c>
      <c r="L219" s="1">
        <v>0.29596899224806206</v>
      </c>
      <c r="M219" s="1">
        <f t="shared" si="90"/>
        <v>-0.29596899224806206</v>
      </c>
      <c r="N219" s="1" t="str">
        <f t="shared" si="91"/>
        <v>Buy from Grid</v>
      </c>
      <c r="V219" s="1" t="str">
        <f t="shared" si="102"/>
        <v>discharge</v>
      </c>
      <c r="Y219" s="1">
        <f t="shared" si="88"/>
        <v>1.754208217054264E-2</v>
      </c>
      <c r="AA219" s="1">
        <f t="shared" si="92"/>
        <v>74.816453989531013</v>
      </c>
      <c r="AD219" s="1">
        <f t="shared" si="93"/>
        <v>0</v>
      </c>
    </row>
    <row r="220" spans="1:30" ht="15">
      <c r="A220" s="1">
        <v>219</v>
      </c>
      <c r="B220" s="1">
        <f t="shared" si="101"/>
        <v>0</v>
      </c>
      <c r="C220" s="1">
        <f t="shared" si="89"/>
        <v>-0.29596899224806206</v>
      </c>
      <c r="D220" s="1">
        <f t="shared" si="94"/>
        <v>43.900773372427686</v>
      </c>
      <c r="E220">
        <v>59.27</v>
      </c>
      <c r="K220" s="1">
        <f>'Solar Availability and Gener GR'!F220</f>
        <v>0</v>
      </c>
      <c r="L220" s="1">
        <v>0.29596899224806206</v>
      </c>
      <c r="M220" s="1">
        <f t="shared" si="90"/>
        <v>-0.29596899224806206</v>
      </c>
      <c r="N220" s="1" t="str">
        <f t="shared" si="91"/>
        <v>Buy from Grid</v>
      </c>
      <c r="V220" s="1" t="str">
        <f t="shared" si="102"/>
        <v>discharge</v>
      </c>
      <c r="Y220" s="1">
        <f t="shared" si="88"/>
        <v>1.754208217054264E-2</v>
      </c>
      <c r="AA220" s="1">
        <f t="shared" si="92"/>
        <v>74.520484997282949</v>
      </c>
      <c r="AD220" s="1">
        <f t="shared" si="93"/>
        <v>0</v>
      </c>
    </row>
    <row r="221" spans="1:30" ht="15">
      <c r="A221" s="1">
        <v>220</v>
      </c>
      <c r="B221" s="1">
        <f t="shared" si="101"/>
        <v>0</v>
      </c>
      <c r="C221" s="1">
        <f t="shared" si="89"/>
        <v>-0.39891472868217059</v>
      </c>
      <c r="D221" s="1">
        <f t="shared" si="94"/>
        <v>43.402129961574971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90"/>
        <v>-0.39891472868217059</v>
      </c>
      <c r="N221" s="1" t="str">
        <f t="shared" si="91"/>
        <v>Buy from Grid</v>
      </c>
      <c r="V221" s="1" t="str">
        <f t="shared" si="102"/>
        <v>discharge</v>
      </c>
      <c r="Y221" s="1">
        <f t="shared" si="88"/>
        <v>2.364367596899225E-2</v>
      </c>
      <c r="AA221" s="1">
        <f t="shared" si="92"/>
        <v>74.121570268600777</v>
      </c>
      <c r="AD221" s="1">
        <f t="shared" si="93"/>
        <v>0</v>
      </c>
    </row>
    <row r="222" spans="1:30" ht="15">
      <c r="A222" s="1">
        <v>221</v>
      </c>
      <c r="B222" s="1">
        <f t="shared" si="101"/>
        <v>0</v>
      </c>
      <c r="C222" s="1">
        <f t="shared" si="89"/>
        <v>-0.51472868217054268</v>
      </c>
      <c r="D222" s="1">
        <f t="shared" si="94"/>
        <v>42.75871910886179</v>
      </c>
      <c r="E222">
        <v>59.27</v>
      </c>
      <c r="K222" s="1">
        <f>'Solar Availability and Gener GR'!F222</f>
        <v>0</v>
      </c>
      <c r="L222" s="1">
        <v>0.51472868217054268</v>
      </c>
      <c r="M222" s="1">
        <f t="shared" si="90"/>
        <v>-0.51472868217054268</v>
      </c>
      <c r="N222" s="1" t="str">
        <f t="shared" si="91"/>
        <v>Buy from Grid</v>
      </c>
      <c r="V222" s="1" t="str">
        <f t="shared" si="102"/>
        <v>discharge</v>
      </c>
      <c r="Y222" s="1">
        <f t="shared" si="88"/>
        <v>3.0507968992248068E-2</v>
      </c>
      <c r="AA222" s="1">
        <f t="shared" si="92"/>
        <v>73.606841586430235</v>
      </c>
      <c r="AD222" s="1">
        <f t="shared" si="93"/>
        <v>0</v>
      </c>
    </row>
    <row r="223" spans="1:30" ht="15">
      <c r="A223" s="1">
        <v>222</v>
      </c>
      <c r="B223" s="1">
        <f t="shared" si="101"/>
        <v>0</v>
      </c>
      <c r="C223" s="1">
        <f t="shared" si="89"/>
        <v>-0.65627906976744199</v>
      </c>
      <c r="D223" s="1">
        <f t="shared" si="94"/>
        <v>41.938370271652488</v>
      </c>
      <c r="E223">
        <v>59.27</v>
      </c>
      <c r="K223" s="1">
        <f>'Solar Availability and Gener GR'!F223</f>
        <v>0</v>
      </c>
      <c r="L223" s="1">
        <v>0.65627906976744199</v>
      </c>
      <c r="M223" s="1">
        <f t="shared" si="90"/>
        <v>-0.65627906976744199</v>
      </c>
      <c r="N223" s="1" t="str">
        <f t="shared" si="91"/>
        <v>Buy from Grid</v>
      </c>
      <c r="V223" s="1" t="str">
        <f t="shared" si="102"/>
        <v>discharge</v>
      </c>
      <c r="Y223" s="1">
        <f t="shared" si="88"/>
        <v>3.8897660465116286E-2</v>
      </c>
      <c r="AA223" s="1">
        <f t="shared" si="92"/>
        <v>72.950562516662799</v>
      </c>
      <c r="AD223" s="1">
        <f t="shared" si="93"/>
        <v>0</v>
      </c>
    </row>
    <row r="224" spans="1:30" ht="15">
      <c r="A224" s="1">
        <v>223</v>
      </c>
      <c r="B224" s="1">
        <f t="shared" si="101"/>
        <v>0</v>
      </c>
      <c r="C224" s="1">
        <f t="shared" si="89"/>
        <v>-0.63966730087222212</v>
      </c>
      <c r="D224" s="1">
        <f t="shared" si="94"/>
        <v>41.138786145562207</v>
      </c>
      <c r="E224">
        <v>59.27</v>
      </c>
      <c r="K224" s="1">
        <f>'Solar Availability and Gener GR'!F224</f>
        <v>1.6611768895219918E-2</v>
      </c>
      <c r="L224" s="1">
        <v>0.65627906976744199</v>
      </c>
      <c r="M224" s="1">
        <f t="shared" si="90"/>
        <v>-0.63966730087222212</v>
      </c>
      <c r="N224" s="1" t="str">
        <f t="shared" si="91"/>
        <v>Buy from Grid</v>
      </c>
      <c r="V224" s="1" t="str">
        <f t="shared" si="102"/>
        <v>discharge</v>
      </c>
      <c r="Y224" s="1">
        <f t="shared" si="88"/>
        <v>3.8897660465116286E-2</v>
      </c>
      <c r="AA224" s="1">
        <f t="shared" si="92"/>
        <v>72.31089521579058</v>
      </c>
      <c r="AD224" s="1">
        <f t="shared" si="93"/>
        <v>0</v>
      </c>
    </row>
    <row r="225" spans="1:30" ht="15">
      <c r="A225" s="1">
        <v>224</v>
      </c>
      <c r="B225" s="1">
        <f t="shared" si="101"/>
        <v>0</v>
      </c>
      <c r="C225" s="1">
        <f t="shared" si="89"/>
        <v>-0.37312909706105396</v>
      </c>
      <c r="D225" s="1">
        <f t="shared" si="94"/>
        <v>40.672374774235891</v>
      </c>
      <c r="E225">
        <v>59.27</v>
      </c>
      <c r="K225" s="1">
        <f>'Solar Availability and Gener GR'!F225</f>
        <v>2.5785631621116648E-2</v>
      </c>
      <c r="L225" s="1">
        <v>0.39891472868217059</v>
      </c>
      <c r="M225" s="1">
        <f t="shared" si="90"/>
        <v>-0.37312909706105396</v>
      </c>
      <c r="N225" s="1" t="str">
        <f t="shared" si="91"/>
        <v>Buy from Grid</v>
      </c>
      <c r="V225" s="1" t="str">
        <f t="shared" si="102"/>
        <v>discharge</v>
      </c>
      <c r="Y225" s="1">
        <f t="shared" si="88"/>
        <v>2.364367596899225E-2</v>
      </c>
      <c r="AA225" s="1">
        <f t="shared" si="92"/>
        <v>71.937766118729527</v>
      </c>
      <c r="AD225" s="1">
        <f t="shared" si="93"/>
        <v>0</v>
      </c>
    </row>
    <row r="226" spans="1:30" ht="15">
      <c r="A226" s="1">
        <v>225</v>
      </c>
      <c r="B226" s="1">
        <f t="shared" si="101"/>
        <v>0</v>
      </c>
      <c r="C226" s="1">
        <f t="shared" si="89"/>
        <v>-0.21075039146148189</v>
      </c>
      <c r="D226" s="1">
        <f t="shared" si="94"/>
        <v>40.408936784909038</v>
      </c>
      <c r="E226">
        <v>59.27</v>
      </c>
      <c r="K226" s="1">
        <f>'Solar Availability and Gener GR'!F226</f>
        <v>0.1881643372206887</v>
      </c>
      <c r="L226" s="1">
        <v>0.39891472868217059</v>
      </c>
      <c r="M226" s="1">
        <f t="shared" si="90"/>
        <v>-0.21075039146148189</v>
      </c>
      <c r="N226" s="1" t="str">
        <f t="shared" si="91"/>
        <v>Buy from Grid</v>
      </c>
      <c r="V226" s="1" t="str">
        <f t="shared" si="102"/>
        <v>discharge</v>
      </c>
      <c r="Y226" s="1">
        <f t="shared" si="88"/>
        <v>2.364367596899225E-2</v>
      </c>
      <c r="AA226" s="1">
        <f t="shared" si="92"/>
        <v>71.727015727268039</v>
      </c>
      <c r="AD226" s="1">
        <f t="shared" si="93"/>
        <v>0</v>
      </c>
    </row>
    <row r="227" spans="1:30" ht="15">
      <c r="A227" s="1">
        <v>226</v>
      </c>
      <c r="B227" s="1">
        <f t="shared" si="101"/>
        <v>0</v>
      </c>
      <c r="C227" s="1">
        <f t="shared" si="89"/>
        <v>0.286694636580891</v>
      </c>
      <c r="D227" s="1">
        <f t="shared" si="94"/>
        <v>40.767305080635154</v>
      </c>
      <c r="E227">
        <v>59.27</v>
      </c>
      <c r="K227" s="1">
        <f>'Solar Availability and Gener GR'!F227</f>
        <v>0.6856093652630616</v>
      </c>
      <c r="L227" s="1">
        <v>0.39891472868217059</v>
      </c>
      <c r="M227" s="1">
        <f t="shared" si="90"/>
        <v>0.286694636580891</v>
      </c>
      <c r="N227" s="1" t="str">
        <f t="shared" si="91"/>
        <v>sell the surplus or charge</v>
      </c>
      <c r="O227" s="1">
        <v>0.25</v>
      </c>
      <c r="P227" s="1">
        <f t="shared" ref="P227:P234" si="103">0.25/L227</f>
        <v>0.62670034978624167</v>
      </c>
      <c r="Q227" s="1">
        <f t="shared" ref="Q227:Q234" si="104">K227-P227*L227</f>
        <v>0.4356093652630616</v>
      </c>
      <c r="R227" s="1">
        <f t="shared" ref="R227:R234" si="105">((1/(E227+0.01))*LN(0.25))+(E227*(K227-0.25))</f>
        <v>25.795181546734106</v>
      </c>
      <c r="S227" s="1">
        <f t="shared" ref="S227:S234" si="106">((1/(E227+0.01))*LN(L227))+(E227*(K227-L227))</f>
        <v>16.976888282930986</v>
      </c>
      <c r="T227" s="1">
        <f t="shared" ref="T227:T234" si="107">(S227+((S227^2)-4*(K227-L227*P227)*LN(L227*P227))^(0.5))/(2*(K227-L227*P227))</f>
        <v>39.054222193923451</v>
      </c>
      <c r="U227" s="1" t="str">
        <f t="shared" ref="U227:U234" si="108">IF(E227&gt;=T227*1.2,"sell to the Grid","charge")</f>
        <v>sell to the Grid</v>
      </c>
      <c r="W227" s="1">
        <f>(Q227*E227)/1000</f>
        <v>2.5818567079141663E-2</v>
      </c>
      <c r="Y227" s="1">
        <f t="shared" si="88"/>
        <v>2.364367596899225E-2</v>
      </c>
      <c r="AA227" s="1">
        <f t="shared" si="92"/>
        <v>72.013710363848929</v>
      </c>
      <c r="AD227" s="1">
        <f t="shared" si="93"/>
        <v>0.25</v>
      </c>
    </row>
    <row r="228" spans="1:30" ht="15">
      <c r="A228" s="1">
        <v>227</v>
      </c>
      <c r="B228" s="1">
        <f t="shared" si="101"/>
        <v>1.1245571085195381</v>
      </c>
      <c r="C228" s="1">
        <f t="shared" si="89"/>
        <v>0</v>
      </c>
      <c r="D228" s="1">
        <f t="shared" si="94"/>
        <v>41.666950767450786</v>
      </c>
      <c r="E228">
        <v>59.27</v>
      </c>
      <c r="K228" s="1">
        <f>'Solar Availability and Gener GR'!F228</f>
        <v>1.3745571085195381</v>
      </c>
      <c r="L228" s="1">
        <v>0.39891472868217059</v>
      </c>
      <c r="M228" s="1">
        <f t="shared" si="90"/>
        <v>0.97564237983736746</v>
      </c>
      <c r="N228" s="1" t="str">
        <f t="shared" si="91"/>
        <v>sell the surplus or charge</v>
      </c>
      <c r="O228" s="1">
        <v>0.25</v>
      </c>
      <c r="P228" s="1">
        <f t="shared" si="103"/>
        <v>0.62670034978624167</v>
      </c>
      <c r="Q228" s="1">
        <f t="shared" si="104"/>
        <v>1.1245571085195381</v>
      </c>
      <c r="R228" s="1">
        <f t="shared" si="105"/>
        <v>66.62911428954547</v>
      </c>
      <c r="S228" s="1">
        <f t="shared" si="106"/>
        <v>57.810821025742349</v>
      </c>
      <c r="T228" s="1">
        <f t="shared" si="107"/>
        <v>51.431603359400391</v>
      </c>
      <c r="U228" s="1" t="str">
        <f t="shared" si="108"/>
        <v>charge</v>
      </c>
      <c r="Y228" s="1">
        <f t="shared" si="88"/>
        <v>2.364367596899225E-2</v>
      </c>
      <c r="AA228" s="1">
        <f t="shared" si="92"/>
        <v>72.989352743686297</v>
      </c>
      <c r="AD228" s="1">
        <f t="shared" si="93"/>
        <v>0.25</v>
      </c>
    </row>
    <row r="229" spans="1:30" ht="15">
      <c r="A229" s="1">
        <v>228</v>
      </c>
      <c r="B229" s="1">
        <f t="shared" si="101"/>
        <v>1.5453930383690888</v>
      </c>
      <c r="C229" s="1">
        <f t="shared" si="89"/>
        <v>0</v>
      </c>
      <c r="D229" s="1">
        <f t="shared" si="94"/>
        <v>42.903265198146059</v>
      </c>
      <c r="E229">
        <v>59.27</v>
      </c>
      <c r="K229" s="1">
        <f>'Solar Availability and Gener GR'!F229</f>
        <v>1.7953930383690888</v>
      </c>
      <c r="L229" s="1">
        <v>0.39891472868217059</v>
      </c>
      <c r="M229" s="1">
        <f t="shared" si="90"/>
        <v>1.3964783096869182</v>
      </c>
      <c r="N229" s="1" t="str">
        <f t="shared" si="91"/>
        <v>sell the surplus or charge</v>
      </c>
      <c r="O229" s="1">
        <v>0.25</v>
      </c>
      <c r="P229" s="1">
        <f t="shared" si="103"/>
        <v>0.62670034978624167</v>
      </c>
      <c r="Q229" s="1">
        <f t="shared" si="104"/>
        <v>1.5453930383690888</v>
      </c>
      <c r="R229" s="1">
        <f t="shared" si="105"/>
        <v>91.572059851728341</v>
      </c>
      <c r="S229" s="1">
        <f t="shared" si="106"/>
        <v>82.753766587925227</v>
      </c>
      <c r="T229" s="1">
        <f t="shared" si="107"/>
        <v>53.565432821269418</v>
      </c>
      <c r="U229" s="1" t="str">
        <f t="shared" si="108"/>
        <v>charge</v>
      </c>
      <c r="Y229" s="1">
        <f t="shared" si="88"/>
        <v>2.364367596899225E-2</v>
      </c>
      <c r="AA229" s="1">
        <f t="shared" si="92"/>
        <v>74.385831053373209</v>
      </c>
      <c r="AD229" s="1">
        <f t="shared" si="93"/>
        <v>0.25</v>
      </c>
    </row>
    <row r="230" spans="1:30" ht="15">
      <c r="A230" s="1">
        <v>229</v>
      </c>
      <c r="B230" s="1">
        <f t="shared" si="101"/>
        <v>1.7268939731149291</v>
      </c>
      <c r="C230" s="1">
        <f t="shared" si="89"/>
        <v>0</v>
      </c>
      <c r="D230" s="1">
        <f t="shared" si="94"/>
        <v>44.284780376638004</v>
      </c>
      <c r="E230">
        <v>59.27</v>
      </c>
      <c r="K230" s="1">
        <f>'Solar Availability and Gener GR'!F230</f>
        <v>1.9768939731149291</v>
      </c>
      <c r="L230" s="1">
        <v>0.39891472868217059</v>
      </c>
      <c r="M230" s="1">
        <f t="shared" si="90"/>
        <v>1.5779792444327585</v>
      </c>
      <c r="N230" s="1" t="str">
        <f t="shared" si="91"/>
        <v>sell the surplus or charge</v>
      </c>
      <c r="O230" s="1">
        <v>0.25</v>
      </c>
      <c r="P230" s="1">
        <f t="shared" si="103"/>
        <v>0.62670034978624167</v>
      </c>
      <c r="Q230" s="1">
        <f t="shared" si="104"/>
        <v>1.7268939731149291</v>
      </c>
      <c r="R230" s="1">
        <f t="shared" si="105"/>
        <v>102.32962025411429</v>
      </c>
      <c r="S230" s="1">
        <f t="shared" si="106"/>
        <v>93.511326990311176</v>
      </c>
      <c r="T230" s="1">
        <f t="shared" si="107"/>
        <v>54.164831449036207</v>
      </c>
      <c r="U230" s="1" t="str">
        <f t="shared" si="108"/>
        <v>charge</v>
      </c>
      <c r="Y230" s="1">
        <f t="shared" si="88"/>
        <v>2.364367596899225E-2</v>
      </c>
      <c r="AA230" s="1">
        <f t="shared" si="92"/>
        <v>75.963810297805964</v>
      </c>
      <c r="AD230" s="1">
        <f t="shared" si="93"/>
        <v>0.25</v>
      </c>
    </row>
    <row r="231" spans="1:30" ht="15">
      <c r="A231" s="1">
        <v>230</v>
      </c>
      <c r="B231" s="1">
        <f t="shared" si="101"/>
        <v>1.7456423039259323</v>
      </c>
      <c r="C231" s="1">
        <f t="shared" si="89"/>
        <v>0</v>
      </c>
      <c r="D231" s="1">
        <f t="shared" si="94"/>
        <v>45.681294219778749</v>
      </c>
      <c r="E231">
        <v>59.27</v>
      </c>
      <c r="K231" s="1">
        <f>'Solar Availability and Gener GR'!F231</f>
        <v>1.9956423039259323</v>
      </c>
      <c r="L231" s="1">
        <v>0.39891472868217059</v>
      </c>
      <c r="M231" s="1">
        <f t="shared" si="90"/>
        <v>1.5967275752437617</v>
      </c>
      <c r="N231" s="1" t="str">
        <f t="shared" si="91"/>
        <v>sell the surplus or charge</v>
      </c>
      <c r="O231" s="1">
        <v>0.25</v>
      </c>
      <c r="P231" s="1">
        <f t="shared" si="103"/>
        <v>0.62670034978624167</v>
      </c>
      <c r="Q231" s="1">
        <f t="shared" si="104"/>
        <v>1.7456423039259323</v>
      </c>
      <c r="R231" s="1">
        <f t="shared" si="105"/>
        <v>103.44083382128245</v>
      </c>
      <c r="S231" s="1">
        <f t="shared" si="106"/>
        <v>94.62254055747934</v>
      </c>
      <c r="T231" s="1">
        <f t="shared" si="107"/>
        <v>54.219646524016149</v>
      </c>
      <c r="U231" s="1" t="str">
        <f t="shared" si="108"/>
        <v>charge</v>
      </c>
      <c r="Y231" s="1">
        <f t="shared" si="88"/>
        <v>2.364367596899225E-2</v>
      </c>
      <c r="AA231" s="1">
        <f t="shared" si="92"/>
        <v>77.560537873049725</v>
      </c>
      <c r="AD231" s="1">
        <f t="shared" si="93"/>
        <v>0.25</v>
      </c>
    </row>
    <row r="232" spans="1:30" ht="15">
      <c r="A232" s="1">
        <v>231</v>
      </c>
      <c r="B232" s="1">
        <f t="shared" si="101"/>
        <v>1.6111857918632597</v>
      </c>
      <c r="C232" s="1">
        <f t="shared" si="89"/>
        <v>0</v>
      </c>
      <c r="D232" s="1">
        <f t="shared" si="94"/>
        <v>46.970242853269355</v>
      </c>
      <c r="E232">
        <v>59.27</v>
      </c>
      <c r="K232" s="1">
        <f>'Solar Availability and Gener GR'!F232</f>
        <v>1.8611857918632597</v>
      </c>
      <c r="L232" s="1">
        <v>0.4117829457364342</v>
      </c>
      <c r="M232" s="1">
        <f t="shared" si="90"/>
        <v>1.4494028461268256</v>
      </c>
      <c r="N232" s="1" t="str">
        <f t="shared" si="91"/>
        <v>sell the surplus or charge</v>
      </c>
      <c r="O232" s="1">
        <v>0.25</v>
      </c>
      <c r="P232" s="1">
        <f t="shared" si="103"/>
        <v>0.60711596385542155</v>
      </c>
      <c r="Q232" s="1">
        <f t="shared" si="104"/>
        <v>1.6111857918632597</v>
      </c>
      <c r="R232" s="1">
        <f t="shared" si="105"/>
        <v>95.471596351327847</v>
      </c>
      <c r="S232" s="1">
        <f t="shared" si="106"/>
        <v>85.891139434552457</v>
      </c>
      <c r="T232" s="1">
        <f t="shared" si="107"/>
        <v>53.325405891662527</v>
      </c>
      <c r="U232" s="1" t="str">
        <f t="shared" si="108"/>
        <v>charge</v>
      </c>
      <c r="Y232" s="1">
        <f t="shared" si="88"/>
        <v>2.4406375193798457E-2</v>
      </c>
      <c r="AA232" s="1">
        <f t="shared" si="92"/>
        <v>79.009940719176555</v>
      </c>
      <c r="AD232" s="1">
        <f t="shared" si="93"/>
        <v>0.25</v>
      </c>
    </row>
    <row r="233" spans="1:30" ht="15">
      <c r="A233" s="1">
        <v>232</v>
      </c>
      <c r="B233" s="1">
        <f t="shared" si="101"/>
        <v>0</v>
      </c>
      <c r="C233" s="1">
        <f t="shared" si="89"/>
        <v>0</v>
      </c>
      <c r="D233" s="1">
        <f t="shared" si="94"/>
        <v>46.970242853269355</v>
      </c>
      <c r="E233">
        <v>59.27</v>
      </c>
      <c r="K233" s="1">
        <f>'Solar Availability and Gener GR'!F233</f>
        <v>1.5639633223537788</v>
      </c>
      <c r="L233" s="1">
        <v>0.66914728682170543</v>
      </c>
      <c r="M233" s="1">
        <f t="shared" si="90"/>
        <v>0.89481603553207334</v>
      </c>
      <c r="N233" s="1" t="str">
        <f t="shared" si="91"/>
        <v>sell the surplus or charge</v>
      </c>
      <c r="O233" s="1">
        <v>0.25</v>
      </c>
      <c r="P233" s="1">
        <f t="shared" si="103"/>
        <v>0.3736098239110287</v>
      </c>
      <c r="Q233" s="1">
        <f t="shared" si="104"/>
        <v>1.3139633223537788</v>
      </c>
      <c r="R233" s="1">
        <f t="shared" si="105"/>
        <v>77.855220583500909</v>
      </c>
      <c r="S233" s="1">
        <f t="shared" si="106"/>
        <v>53.02896924846555</v>
      </c>
      <c r="T233" s="1">
        <f t="shared" si="107"/>
        <v>40.384153824542778</v>
      </c>
      <c r="U233" s="1" t="str">
        <f t="shared" si="108"/>
        <v>sell to the Grid</v>
      </c>
      <c r="W233" s="1">
        <f>(Q233*E233)/1000</f>
        <v>7.7878606115908466E-2</v>
      </c>
      <c r="Y233" s="1">
        <f t="shared" si="88"/>
        <v>3.9660359689922479E-2</v>
      </c>
      <c r="AA233" s="1">
        <f t="shared" si="92"/>
        <v>79.904756754708629</v>
      </c>
      <c r="AD233" s="1">
        <f t="shared" si="93"/>
        <v>0.25</v>
      </c>
    </row>
    <row r="234" spans="1:30" ht="15">
      <c r="A234" s="1">
        <v>233</v>
      </c>
      <c r="B234" s="1">
        <f t="shared" si="101"/>
        <v>0</v>
      </c>
      <c r="C234" s="1">
        <f t="shared" si="89"/>
        <v>0</v>
      </c>
      <c r="D234" s="1">
        <f t="shared" si="94"/>
        <v>46.970242853269355</v>
      </c>
      <c r="E234">
        <v>59.27</v>
      </c>
      <c r="K234" s="1">
        <f>'Solar Availability and Gener GR'!F234</f>
        <v>1.065690376569036</v>
      </c>
      <c r="L234" s="1">
        <v>0.65627906976744199</v>
      </c>
      <c r="M234" s="1">
        <f t="shared" si="90"/>
        <v>0.40941130680159399</v>
      </c>
      <c r="N234" s="1" t="str">
        <f t="shared" si="91"/>
        <v>sell the surplus or charge</v>
      </c>
      <c r="O234" s="1">
        <v>0.25</v>
      </c>
      <c r="P234" s="1">
        <f t="shared" si="103"/>
        <v>0.38093550673281351</v>
      </c>
      <c r="Q234" s="1">
        <f t="shared" si="104"/>
        <v>0.81569037656903598</v>
      </c>
      <c r="R234" s="1">
        <f t="shared" si="105"/>
        <v>48.322583086839217</v>
      </c>
      <c r="S234" s="1">
        <f t="shared" si="106"/>
        <v>24.258703411059138</v>
      </c>
      <c r="T234" s="1">
        <f t="shared" si="107"/>
        <v>29.797124672871306</v>
      </c>
      <c r="U234" s="1" t="str">
        <f t="shared" si="108"/>
        <v>sell to the Grid</v>
      </c>
      <c r="W234" s="1">
        <f>(Q234*E234)/1000</f>
        <v>4.8345968619246768E-2</v>
      </c>
      <c r="Y234" s="1">
        <f t="shared" si="88"/>
        <v>3.8897660465116286E-2</v>
      </c>
      <c r="AA234" s="1">
        <f t="shared" si="92"/>
        <v>80.314168061510216</v>
      </c>
      <c r="AD234" s="1">
        <f t="shared" si="93"/>
        <v>0.25</v>
      </c>
    </row>
    <row r="235" spans="1:30" ht="15">
      <c r="A235" s="1">
        <v>234</v>
      </c>
      <c r="B235" s="1">
        <f t="shared" si="101"/>
        <v>0</v>
      </c>
      <c r="C235" s="1">
        <f t="shared" si="89"/>
        <v>0</v>
      </c>
      <c r="D235" s="1">
        <f t="shared" si="94"/>
        <v>46.970242853269355</v>
      </c>
      <c r="E235">
        <v>59.27</v>
      </c>
      <c r="K235" s="1">
        <f>'Solar Availability and Gener GR'!F235</f>
        <v>0.46207157482417677</v>
      </c>
      <c r="L235" s="1">
        <v>0.66914728682170543</v>
      </c>
      <c r="M235" s="1">
        <f t="shared" si="90"/>
        <v>-0.20707571199752867</v>
      </c>
      <c r="N235" s="1" t="str">
        <f t="shared" si="91"/>
        <v>Buy from Grid</v>
      </c>
      <c r="V235" s="1" t="str">
        <f t="shared" ref="V235:V251" si="109">IF(D235+M235&gt;0,"discharge","buy from the Grid")</f>
        <v>discharge</v>
      </c>
      <c r="Y235" s="1">
        <f t="shared" si="88"/>
        <v>3.9660359689922479E-2</v>
      </c>
      <c r="AA235" s="1">
        <f t="shared" si="92"/>
        <v>80.107092349512683</v>
      </c>
      <c r="AD235" s="1">
        <f t="shared" si="93"/>
        <v>0</v>
      </c>
    </row>
    <row r="236" spans="1:30" ht="15">
      <c r="A236" s="1">
        <v>235</v>
      </c>
      <c r="B236" s="1">
        <f t="shared" si="101"/>
        <v>0</v>
      </c>
      <c r="C236" s="1">
        <f t="shared" si="89"/>
        <v>-0.60964403746712481</v>
      </c>
      <c r="D236" s="1">
        <f t="shared" si="94"/>
        <v>46.208187806435447</v>
      </c>
      <c r="E236">
        <v>59.27</v>
      </c>
      <c r="K236" s="1">
        <f>'Solar Availability and Gener GR'!F236</f>
        <v>5.9503249354580651E-2</v>
      </c>
      <c r="L236" s="1">
        <v>0.66914728682170543</v>
      </c>
      <c r="M236" s="1">
        <f t="shared" si="90"/>
        <v>-0.60964403746712481</v>
      </c>
      <c r="N236" s="1" t="str">
        <f t="shared" si="91"/>
        <v>Buy from Grid</v>
      </c>
      <c r="V236" s="1" t="str">
        <f t="shared" si="109"/>
        <v>discharge</v>
      </c>
      <c r="Y236" s="1">
        <f t="shared" si="88"/>
        <v>3.9660359689922479E-2</v>
      </c>
      <c r="AA236" s="1">
        <f t="shared" si="92"/>
        <v>79.497448312045563</v>
      </c>
      <c r="AD236" s="1">
        <f t="shared" si="93"/>
        <v>0</v>
      </c>
    </row>
    <row r="237" spans="1:30" ht="15">
      <c r="A237" s="1">
        <v>236</v>
      </c>
      <c r="B237" s="1">
        <f t="shared" si="101"/>
        <v>0</v>
      </c>
      <c r="C237" s="1">
        <f t="shared" si="89"/>
        <v>-0.39891472868217059</v>
      </c>
      <c r="D237" s="1">
        <f t="shared" si="94"/>
        <v>45.709544395582732</v>
      </c>
      <c r="E237">
        <v>59.27</v>
      </c>
      <c r="K237" s="1">
        <f>'Solar Availability and Gener GR'!F237</f>
        <v>0</v>
      </c>
      <c r="L237" s="1">
        <v>0.39891472868217059</v>
      </c>
      <c r="M237" s="1">
        <f t="shared" si="90"/>
        <v>-0.39891472868217059</v>
      </c>
      <c r="N237" s="1" t="str">
        <f t="shared" si="91"/>
        <v>Buy from Grid</v>
      </c>
      <c r="V237" s="1" t="str">
        <f t="shared" si="109"/>
        <v>discharge</v>
      </c>
      <c r="Y237" s="1">
        <f t="shared" si="88"/>
        <v>2.364367596899225E-2</v>
      </c>
      <c r="AA237" s="1">
        <f t="shared" si="92"/>
        <v>79.098533583363391</v>
      </c>
      <c r="AD237" s="1">
        <f t="shared" si="93"/>
        <v>0</v>
      </c>
    </row>
    <row r="238" spans="1:30" ht="15">
      <c r="A238" s="1">
        <v>237</v>
      </c>
      <c r="B238" s="1">
        <f t="shared" si="101"/>
        <v>0</v>
      </c>
      <c r="C238" s="1">
        <f t="shared" si="89"/>
        <v>-0.39891472868217059</v>
      </c>
      <c r="D238" s="1">
        <f t="shared" si="94"/>
        <v>45.210900984730017</v>
      </c>
      <c r="E238">
        <v>59.27</v>
      </c>
      <c r="K238" s="1">
        <f>'Solar Availability and Gener GR'!F238</f>
        <v>0</v>
      </c>
      <c r="L238" s="1">
        <v>0.39891472868217059</v>
      </c>
      <c r="M238" s="1">
        <f t="shared" si="90"/>
        <v>-0.39891472868217059</v>
      </c>
      <c r="N238" s="1" t="str">
        <f t="shared" si="91"/>
        <v>Buy from Grid</v>
      </c>
      <c r="V238" s="1" t="str">
        <f t="shared" si="109"/>
        <v>discharge</v>
      </c>
      <c r="Y238" s="1">
        <f t="shared" si="88"/>
        <v>2.364367596899225E-2</v>
      </c>
      <c r="AA238" s="1">
        <f t="shared" si="92"/>
        <v>78.699618854681219</v>
      </c>
      <c r="AD238" s="1">
        <f t="shared" si="93"/>
        <v>0</v>
      </c>
    </row>
    <row r="239" spans="1:30" ht="15">
      <c r="A239" s="1">
        <v>238</v>
      </c>
      <c r="B239" s="1">
        <f t="shared" si="101"/>
        <v>0</v>
      </c>
      <c r="C239" s="1">
        <f t="shared" si="89"/>
        <v>-0.25736434108527134</v>
      </c>
      <c r="D239" s="1">
        <f t="shared" si="94"/>
        <v>44.88919555837343</v>
      </c>
      <c r="E239">
        <v>59.27</v>
      </c>
      <c r="K239" s="1">
        <f>'Solar Availability and Gener GR'!F239</f>
        <v>0</v>
      </c>
      <c r="L239" s="1">
        <v>0.25736434108527134</v>
      </c>
      <c r="M239" s="1">
        <f t="shared" si="90"/>
        <v>-0.25736434108527134</v>
      </c>
      <c r="N239" s="1" t="str">
        <f t="shared" si="91"/>
        <v>Buy from Grid</v>
      </c>
      <c r="V239" s="1" t="str">
        <f t="shared" si="109"/>
        <v>discharge</v>
      </c>
      <c r="Y239" s="1">
        <f t="shared" si="88"/>
        <v>1.5253984496124034E-2</v>
      </c>
      <c r="AA239" s="1">
        <f t="shared" si="92"/>
        <v>78.442254513595941</v>
      </c>
      <c r="AD239" s="1">
        <f t="shared" si="93"/>
        <v>0</v>
      </c>
    </row>
    <row r="240" spans="1:30" ht="15">
      <c r="A240" s="1">
        <v>239</v>
      </c>
      <c r="B240" s="1">
        <f t="shared" si="101"/>
        <v>0</v>
      </c>
      <c r="C240" s="1">
        <f t="shared" si="89"/>
        <v>-0.25736434108527134</v>
      </c>
      <c r="D240" s="1">
        <f t="shared" si="94"/>
        <v>44.567490132016843</v>
      </c>
      <c r="E240">
        <v>59.27</v>
      </c>
      <c r="K240" s="1">
        <f>'Solar Availability and Gener GR'!F240</f>
        <v>0</v>
      </c>
      <c r="L240" s="1">
        <v>0.25736434108527134</v>
      </c>
      <c r="M240" s="1">
        <f t="shared" si="90"/>
        <v>-0.25736434108527134</v>
      </c>
      <c r="N240" s="1" t="str">
        <f t="shared" si="91"/>
        <v>Buy from Grid</v>
      </c>
      <c r="V240" s="1" t="str">
        <f t="shared" si="109"/>
        <v>discharge</v>
      </c>
      <c r="Y240" s="1">
        <f t="shared" si="88"/>
        <v>1.5253984496124034E-2</v>
      </c>
      <c r="AA240" s="1">
        <f t="shared" si="92"/>
        <v>78.184890172510663</v>
      </c>
      <c r="AD240" s="1">
        <f t="shared" si="93"/>
        <v>0</v>
      </c>
    </row>
    <row r="241" spans="1:30" ht="15">
      <c r="A241" s="1">
        <v>240</v>
      </c>
      <c r="B241" s="1">
        <f t="shared" si="101"/>
        <v>0</v>
      </c>
      <c r="C241" s="1">
        <f t="shared" si="89"/>
        <v>-0.19302325581395352</v>
      </c>
      <c r="D241" s="1">
        <f t="shared" si="94"/>
        <v>44.326211062249399</v>
      </c>
      <c r="E241">
        <v>59.27</v>
      </c>
      <c r="K241" s="1">
        <f>'Solar Availability and Gener GR'!F241</f>
        <v>0</v>
      </c>
      <c r="L241" s="1">
        <v>0.19302325581395352</v>
      </c>
      <c r="M241" s="1">
        <f t="shared" si="90"/>
        <v>-0.19302325581395352</v>
      </c>
      <c r="N241" s="1" t="str">
        <f t="shared" si="91"/>
        <v>Buy from Grid</v>
      </c>
      <c r="V241" s="1" t="str">
        <f t="shared" si="109"/>
        <v>discharge</v>
      </c>
      <c r="Y241" s="1">
        <f t="shared" si="88"/>
        <v>1.1440488372093025E-2</v>
      </c>
      <c r="AA241" s="1">
        <f t="shared" si="92"/>
        <v>77.991866916696708</v>
      </c>
      <c r="AD241" s="1">
        <f t="shared" si="93"/>
        <v>0</v>
      </c>
    </row>
    <row r="242" spans="1:30" ht="15">
      <c r="A242" s="1">
        <v>241</v>
      </c>
      <c r="B242" s="1">
        <f t="shared" si="101"/>
        <v>0</v>
      </c>
      <c r="C242" s="1">
        <f t="shared" si="89"/>
        <v>-0.19302325581395352</v>
      </c>
      <c r="D242" s="1">
        <f t="shared" si="94"/>
        <v>44.084931992481955</v>
      </c>
      <c r="E242">
        <v>59.27</v>
      </c>
      <c r="K242" s="1">
        <f>'Solar Availability and Gener GR'!F242</f>
        <v>0</v>
      </c>
      <c r="L242" s="1">
        <v>0.19302325581395352</v>
      </c>
      <c r="M242" s="1">
        <f t="shared" si="90"/>
        <v>-0.19302325581395352</v>
      </c>
      <c r="N242" s="1" t="str">
        <f t="shared" si="91"/>
        <v>Buy from Grid</v>
      </c>
      <c r="V242" s="1" t="str">
        <f t="shared" si="109"/>
        <v>discharge</v>
      </c>
      <c r="Y242" s="1">
        <f t="shared" si="88"/>
        <v>1.1440488372093025E-2</v>
      </c>
      <c r="AA242" s="1">
        <f t="shared" si="92"/>
        <v>77.798843660882753</v>
      </c>
      <c r="AD242" s="1">
        <f t="shared" si="93"/>
        <v>0</v>
      </c>
    </row>
    <row r="243" spans="1:30" ht="15">
      <c r="A243" s="1">
        <v>242</v>
      </c>
      <c r="B243" s="1">
        <f t="shared" si="101"/>
        <v>0</v>
      </c>
      <c r="C243" s="1">
        <f t="shared" si="89"/>
        <v>-0.19302325581395352</v>
      </c>
      <c r="D243" s="1">
        <f t="shared" si="94"/>
        <v>43.843652922714512</v>
      </c>
      <c r="E243">
        <v>59.27</v>
      </c>
      <c r="K243" s="1">
        <f>'Solar Availability and Gener GR'!F243</f>
        <v>0</v>
      </c>
      <c r="L243" s="1">
        <v>0.19302325581395352</v>
      </c>
      <c r="M243" s="1">
        <f t="shared" si="90"/>
        <v>-0.19302325581395352</v>
      </c>
      <c r="N243" s="1" t="str">
        <f t="shared" si="91"/>
        <v>Buy from Grid</v>
      </c>
      <c r="V243" s="1" t="str">
        <f t="shared" si="109"/>
        <v>discharge</v>
      </c>
      <c r="Y243" s="1">
        <f t="shared" si="88"/>
        <v>1.1440488372093025E-2</v>
      </c>
      <c r="AA243" s="1">
        <f t="shared" si="92"/>
        <v>77.605820405068798</v>
      </c>
      <c r="AD243" s="1">
        <f t="shared" si="93"/>
        <v>0</v>
      </c>
    </row>
    <row r="244" spans="1:30" ht="15">
      <c r="A244" s="1">
        <v>243</v>
      </c>
      <c r="B244" s="1">
        <f t="shared" si="101"/>
        <v>0</v>
      </c>
      <c r="C244" s="1">
        <f t="shared" si="89"/>
        <v>-0.19302325581395352</v>
      </c>
      <c r="D244" s="1">
        <f t="shared" si="94"/>
        <v>43.602373852947068</v>
      </c>
      <c r="E244">
        <v>59.27</v>
      </c>
      <c r="K244" s="1">
        <f>'Solar Availability and Gener GR'!F244</f>
        <v>0</v>
      </c>
      <c r="L244" s="1">
        <v>0.19302325581395352</v>
      </c>
      <c r="M244" s="1">
        <f t="shared" si="90"/>
        <v>-0.19302325581395352</v>
      </c>
      <c r="N244" s="1" t="str">
        <f t="shared" si="91"/>
        <v>Buy from Grid</v>
      </c>
      <c r="V244" s="1" t="str">
        <f t="shared" si="109"/>
        <v>discharge</v>
      </c>
      <c r="Y244" s="1">
        <f t="shared" si="88"/>
        <v>1.1440488372093025E-2</v>
      </c>
      <c r="AA244" s="1">
        <f t="shared" si="92"/>
        <v>77.412797149254843</v>
      </c>
      <c r="AD244" s="1">
        <f t="shared" si="93"/>
        <v>0</v>
      </c>
    </row>
    <row r="245" spans="1:30" ht="15">
      <c r="A245" s="1">
        <v>244</v>
      </c>
      <c r="B245" s="1">
        <f t="shared" si="101"/>
        <v>0</v>
      </c>
      <c r="C245" s="1">
        <f t="shared" si="89"/>
        <v>-0.19302325581395352</v>
      </c>
      <c r="D245" s="1">
        <f t="shared" si="94"/>
        <v>43.361094783179624</v>
      </c>
      <c r="E245">
        <v>59.27</v>
      </c>
      <c r="K245" s="1">
        <f>'Solar Availability and Gener GR'!F245</f>
        <v>0</v>
      </c>
      <c r="L245" s="1">
        <v>0.19302325581395352</v>
      </c>
      <c r="M245" s="1">
        <f t="shared" si="90"/>
        <v>-0.19302325581395352</v>
      </c>
      <c r="N245" s="1" t="str">
        <f t="shared" si="91"/>
        <v>Buy from Grid</v>
      </c>
      <c r="V245" s="1" t="str">
        <f t="shared" si="109"/>
        <v>discharge</v>
      </c>
      <c r="Y245" s="1">
        <f t="shared" si="88"/>
        <v>1.1440488372093025E-2</v>
      </c>
      <c r="AA245" s="1">
        <f t="shared" si="92"/>
        <v>77.219773893440887</v>
      </c>
      <c r="AD245" s="1">
        <f t="shared" si="93"/>
        <v>0</v>
      </c>
    </row>
    <row r="246" spans="1:30" ht="15">
      <c r="A246" s="1">
        <v>245</v>
      </c>
      <c r="B246" s="1">
        <f t="shared" si="101"/>
        <v>0</v>
      </c>
      <c r="C246" s="1">
        <f t="shared" si="89"/>
        <v>-0.19302325581395352</v>
      </c>
      <c r="D246" s="1">
        <f t="shared" si="94"/>
        <v>43.11981571341218</v>
      </c>
      <c r="E246">
        <v>59.27</v>
      </c>
      <c r="K246" s="1">
        <f>'Solar Availability and Gener GR'!F246</f>
        <v>0</v>
      </c>
      <c r="L246" s="1">
        <v>0.19302325581395352</v>
      </c>
      <c r="M246" s="1">
        <f t="shared" si="90"/>
        <v>-0.19302325581395352</v>
      </c>
      <c r="N246" s="1" t="str">
        <f t="shared" si="91"/>
        <v>Buy from Grid</v>
      </c>
      <c r="V246" s="1" t="str">
        <f t="shared" si="109"/>
        <v>discharge</v>
      </c>
      <c r="Y246" s="1">
        <f t="shared" si="88"/>
        <v>1.1440488372093025E-2</v>
      </c>
      <c r="AA246" s="1">
        <f t="shared" si="92"/>
        <v>77.026750637626932</v>
      </c>
      <c r="AD246" s="1">
        <f t="shared" si="93"/>
        <v>0</v>
      </c>
    </row>
    <row r="247" spans="1:30" ht="15">
      <c r="A247" s="1">
        <v>246</v>
      </c>
      <c r="B247" s="1">
        <f t="shared" si="101"/>
        <v>0</v>
      </c>
      <c r="C247" s="1">
        <f t="shared" si="89"/>
        <v>-0.25736434108527134</v>
      </c>
      <c r="D247" s="1">
        <f t="shared" si="94"/>
        <v>42.798110287055593</v>
      </c>
      <c r="E247">
        <v>59.27</v>
      </c>
      <c r="K247" s="1">
        <f>'Solar Availability and Gener GR'!F247</f>
        <v>0</v>
      </c>
      <c r="L247" s="1">
        <v>0.25736434108527134</v>
      </c>
      <c r="M247" s="1">
        <f t="shared" si="90"/>
        <v>-0.25736434108527134</v>
      </c>
      <c r="N247" s="1" t="str">
        <f t="shared" si="91"/>
        <v>Buy from Grid</v>
      </c>
      <c r="V247" s="1" t="str">
        <f t="shared" si="109"/>
        <v>discharge</v>
      </c>
      <c r="Y247" s="1">
        <f t="shared" si="88"/>
        <v>1.5253984496124034E-2</v>
      </c>
      <c r="AA247" s="1">
        <f t="shared" si="92"/>
        <v>76.769386296541654</v>
      </c>
      <c r="AD247" s="1">
        <f t="shared" si="93"/>
        <v>0</v>
      </c>
    </row>
    <row r="248" spans="1:30" ht="15">
      <c r="A248" s="1">
        <v>247</v>
      </c>
      <c r="B248" s="1">
        <f t="shared" si="101"/>
        <v>0</v>
      </c>
      <c r="C248" s="1">
        <f t="shared" si="89"/>
        <v>-0.65253551792648556</v>
      </c>
      <c r="D248" s="1">
        <f t="shared" si="94"/>
        <v>41.982440889647485</v>
      </c>
      <c r="E248">
        <v>59.27</v>
      </c>
      <c r="K248" s="1">
        <f>'Solar Availability and Gener GR'!F248</f>
        <v>1.6611768895219918E-2</v>
      </c>
      <c r="L248" s="1">
        <v>0.66914728682170543</v>
      </c>
      <c r="M248" s="1">
        <f t="shared" si="90"/>
        <v>-0.65253551792648556</v>
      </c>
      <c r="N248" s="1" t="str">
        <f t="shared" si="91"/>
        <v>Buy from Grid</v>
      </c>
      <c r="V248" s="1" t="str">
        <f t="shared" si="109"/>
        <v>discharge</v>
      </c>
      <c r="Y248" s="1">
        <f t="shared" si="88"/>
        <v>3.9660359689922479E-2</v>
      </c>
      <c r="AA248" s="1">
        <f t="shared" si="92"/>
        <v>76.116850778615174</v>
      </c>
      <c r="AD248" s="1">
        <f t="shared" si="93"/>
        <v>0</v>
      </c>
    </row>
    <row r="249" spans="1:30" ht="15">
      <c r="A249" s="1">
        <v>248</v>
      </c>
      <c r="B249" s="1">
        <f t="shared" si="101"/>
        <v>0</v>
      </c>
      <c r="C249" s="1">
        <f t="shared" si="89"/>
        <v>-0.37312909706105396</v>
      </c>
      <c r="D249" s="1">
        <f t="shared" si="94"/>
        <v>41.516029518321169</v>
      </c>
      <c r="E249">
        <v>59.27</v>
      </c>
      <c r="K249" s="1">
        <f>'Solar Availability and Gener GR'!F249</f>
        <v>2.5785631621116648E-2</v>
      </c>
      <c r="L249" s="1">
        <v>0.39891472868217059</v>
      </c>
      <c r="M249" s="1">
        <f t="shared" si="90"/>
        <v>-0.37312909706105396</v>
      </c>
      <c r="N249" s="1" t="str">
        <f t="shared" si="91"/>
        <v>Buy from Grid</v>
      </c>
      <c r="V249" s="1" t="str">
        <f t="shared" si="109"/>
        <v>discharge</v>
      </c>
      <c r="Y249" s="1">
        <f t="shared" si="88"/>
        <v>2.364367596899225E-2</v>
      </c>
      <c r="AA249" s="1">
        <f t="shared" si="92"/>
        <v>75.743721681554121</v>
      </c>
      <c r="AD249" s="1">
        <f t="shared" si="93"/>
        <v>0</v>
      </c>
    </row>
    <row r="250" spans="1:30" ht="15">
      <c r="A250" s="1">
        <v>249</v>
      </c>
      <c r="B250" s="1">
        <f t="shared" si="101"/>
        <v>0</v>
      </c>
      <c r="C250" s="1">
        <f t="shared" si="89"/>
        <v>-0.32565736199473161</v>
      </c>
      <c r="D250" s="1">
        <f t="shared" si="94"/>
        <v>41.108957815827758</v>
      </c>
      <c r="E250">
        <v>59.27</v>
      </c>
      <c r="K250" s="1">
        <f>'Solar Availability and Gener GR'!F250</f>
        <v>7.3257366687438957E-2</v>
      </c>
      <c r="L250" s="1">
        <v>0.39891472868217059</v>
      </c>
      <c r="M250" s="1">
        <f t="shared" si="90"/>
        <v>-0.32565736199473161</v>
      </c>
      <c r="N250" s="1" t="str">
        <f t="shared" si="91"/>
        <v>Buy from Grid</v>
      </c>
      <c r="V250" s="1" t="str">
        <f t="shared" si="109"/>
        <v>discharge</v>
      </c>
      <c r="Y250" s="1">
        <f t="shared" si="88"/>
        <v>2.364367596899225E-2</v>
      </c>
      <c r="AA250" s="1">
        <f t="shared" si="92"/>
        <v>75.418064319559392</v>
      </c>
      <c r="AD250" s="1">
        <f t="shared" si="93"/>
        <v>0</v>
      </c>
    </row>
    <row r="251" spans="1:30" ht="15">
      <c r="A251" s="1">
        <v>250</v>
      </c>
      <c r="B251" s="1">
        <f t="shared" si="101"/>
        <v>0</v>
      </c>
      <c r="C251" s="1">
        <f t="shared" si="89"/>
        <v>-2.924945671564616E-2</v>
      </c>
      <c r="D251" s="1">
        <f t="shared" si="94"/>
        <v>41.072395994933203</v>
      </c>
      <c r="E251">
        <v>59.27</v>
      </c>
      <c r="K251" s="1">
        <f>'Solar Availability and Gener GR'!F251</f>
        <v>0.36966527196652443</v>
      </c>
      <c r="L251" s="1">
        <v>0.39891472868217059</v>
      </c>
      <c r="M251" s="1">
        <f t="shared" si="90"/>
        <v>-2.924945671564616E-2</v>
      </c>
      <c r="N251" s="1" t="str">
        <f t="shared" si="91"/>
        <v>Buy from Grid</v>
      </c>
      <c r="V251" s="1" t="str">
        <f t="shared" si="109"/>
        <v>discharge</v>
      </c>
      <c r="Y251" s="1">
        <f t="shared" si="88"/>
        <v>2.364367596899225E-2</v>
      </c>
      <c r="AA251" s="1">
        <f t="shared" si="92"/>
        <v>75.388814862843745</v>
      </c>
      <c r="AD251" s="1">
        <f t="shared" si="93"/>
        <v>0</v>
      </c>
    </row>
    <row r="252" spans="1:30" ht="15">
      <c r="A252" s="1">
        <v>251</v>
      </c>
      <c r="B252" s="1">
        <f t="shared" si="101"/>
        <v>0</v>
      </c>
      <c r="C252" s="1">
        <f t="shared" si="89"/>
        <v>0.39162653366982647</v>
      </c>
      <c r="D252" s="1">
        <f t="shared" si="94"/>
        <v>41.561929162020483</v>
      </c>
      <c r="E252">
        <v>59.27</v>
      </c>
      <c r="K252" s="1">
        <f>'Solar Availability and Gener GR'!F252</f>
        <v>0.79054126235199706</v>
      </c>
      <c r="L252" s="1">
        <v>0.39891472868217059</v>
      </c>
      <c r="M252" s="1">
        <f t="shared" si="90"/>
        <v>0.39162653366982647</v>
      </c>
      <c r="N252" s="1" t="str">
        <f t="shared" si="91"/>
        <v>sell the surplus or charge</v>
      </c>
      <c r="O252" s="1">
        <v>0.25</v>
      </c>
      <c r="P252" s="1">
        <f t="shared" ref="P252:P257" si="110">0.25/L252</f>
        <v>0.62670034978624167</v>
      </c>
      <c r="Q252" s="1">
        <f t="shared" ref="Q252:Q257" si="111">K252-P252*L252</f>
        <v>0.54054126235199706</v>
      </c>
      <c r="R252" s="1">
        <f t="shared" ref="R252:R257" si="112">((1/(E252+0.01))*LN(0.25))+(E252*(K252-0.25))</f>
        <v>32.014495087195314</v>
      </c>
      <c r="S252" s="1">
        <f t="shared" ref="S252:S257" si="113">((1/(E252+0.01))*LN(L252))+(E252*(K252-L252))</f>
        <v>23.196201823392194</v>
      </c>
      <c r="T252" s="1">
        <f t="shared" ref="T252:T257" si="114">(S252+((S252^2)-4*(K252-L252*P252)*LN(L252*P252))^(0.5))/(2*(K252-L252*P252))</f>
        <v>42.972596920217399</v>
      </c>
      <c r="U252" s="1" t="str">
        <f t="shared" ref="U252:U257" si="115">IF(E252&gt;=T252*1.2,"sell to the Grid","charge")</f>
        <v>sell to the Grid</v>
      </c>
      <c r="W252" s="1">
        <f>(Q252*E252)/1000</f>
        <v>3.2037880619602867E-2</v>
      </c>
      <c r="Y252" s="1">
        <f t="shared" si="88"/>
        <v>2.364367596899225E-2</v>
      </c>
      <c r="AA252" s="1">
        <f t="shared" si="92"/>
        <v>75.780441396513567</v>
      </c>
      <c r="AD252" s="1">
        <f t="shared" si="93"/>
        <v>0.25</v>
      </c>
    </row>
    <row r="253" spans="1:30" ht="15">
      <c r="A253" s="1">
        <v>252</v>
      </c>
      <c r="B253" s="1">
        <f t="shared" si="101"/>
        <v>1.1241431496483572</v>
      </c>
      <c r="C253" s="1">
        <f t="shared" si="89"/>
        <v>0</v>
      </c>
      <c r="D253" s="1">
        <f t="shared" si="94"/>
        <v>42.46124368173917</v>
      </c>
      <c r="E253">
        <v>59.27</v>
      </c>
      <c r="K253" s="1">
        <f>'Solar Availability and Gener GR'!F253</f>
        <v>1.3741431496483572</v>
      </c>
      <c r="L253" s="1">
        <v>0.39891472868217059</v>
      </c>
      <c r="M253" s="1">
        <f t="shared" si="90"/>
        <v>0.97522842096618656</v>
      </c>
      <c r="N253" s="1" t="str">
        <f t="shared" si="91"/>
        <v>sell the surplus or charge</v>
      </c>
      <c r="O253" s="1">
        <v>0.25</v>
      </c>
      <c r="P253" s="1">
        <f t="shared" si="110"/>
        <v>0.62670034978624167</v>
      </c>
      <c r="Q253" s="1">
        <f t="shared" si="111"/>
        <v>1.1241431496483572</v>
      </c>
      <c r="R253" s="1">
        <f t="shared" si="112"/>
        <v>66.604578947250573</v>
      </c>
      <c r="S253" s="1">
        <f t="shared" si="113"/>
        <v>57.78628568344746</v>
      </c>
      <c r="T253" s="1">
        <f t="shared" si="114"/>
        <v>51.42871826266893</v>
      </c>
      <c r="U253" s="1" t="str">
        <f t="shared" si="115"/>
        <v>charge</v>
      </c>
      <c r="Y253" s="1">
        <f t="shared" si="88"/>
        <v>2.364367596899225E-2</v>
      </c>
      <c r="AA253" s="1">
        <f t="shared" si="92"/>
        <v>76.755669817479756</v>
      </c>
      <c r="AD253" s="1">
        <f t="shared" si="93"/>
        <v>0.25</v>
      </c>
    </row>
    <row r="254" spans="1:30" ht="15">
      <c r="A254" s="1">
        <v>253</v>
      </c>
      <c r="B254" s="1">
        <f t="shared" si="101"/>
        <v>1.2944</v>
      </c>
      <c r="C254" s="1">
        <f t="shared" si="89"/>
        <v>0</v>
      </c>
      <c r="D254" s="1">
        <f t="shared" si="94"/>
        <v>43.496763681739168</v>
      </c>
      <c r="E254">
        <v>59.27</v>
      </c>
      <c r="K254" s="1">
        <f>'Solar Availability and Gener GR'!F254</f>
        <v>1.5444</v>
      </c>
      <c r="L254" s="1">
        <v>0.39891472868217059</v>
      </c>
      <c r="M254" s="1">
        <f t="shared" si="90"/>
        <v>1.1454852713178294</v>
      </c>
      <c r="N254" s="1" t="str">
        <f t="shared" si="91"/>
        <v>sell the surplus or charge</v>
      </c>
      <c r="O254" s="1">
        <v>0.25</v>
      </c>
      <c r="P254" s="1">
        <f t="shared" si="110"/>
        <v>0.62670034978624167</v>
      </c>
      <c r="Q254" s="1">
        <f t="shared" si="111"/>
        <v>1.2944</v>
      </c>
      <c r="R254" s="1">
        <f t="shared" si="112"/>
        <v>76.69570246759244</v>
      </c>
      <c r="S254" s="1">
        <f t="shared" si="113"/>
        <v>67.877409203789327</v>
      </c>
      <c r="T254" s="1">
        <f t="shared" si="114"/>
        <v>52.459699548758564</v>
      </c>
      <c r="U254" s="1" t="str">
        <f t="shared" si="115"/>
        <v>charge</v>
      </c>
      <c r="Y254" s="1">
        <f t="shared" si="88"/>
        <v>2.364367596899225E-2</v>
      </c>
      <c r="AA254" s="1">
        <f t="shared" si="92"/>
        <v>77.90115508879758</v>
      </c>
      <c r="AD254" s="1">
        <f t="shared" si="93"/>
        <v>0.25</v>
      </c>
    </row>
    <row r="255" spans="1:30" ht="15">
      <c r="A255" s="1">
        <v>254</v>
      </c>
      <c r="B255" s="1">
        <f t="shared" si="101"/>
        <v>1.2956423039259319</v>
      </c>
      <c r="C255" s="1">
        <f t="shared" si="89"/>
        <v>0</v>
      </c>
      <c r="D255" s="1">
        <f t="shared" si="94"/>
        <v>44.533277524879914</v>
      </c>
      <c r="E255">
        <v>59.27</v>
      </c>
      <c r="K255" s="1">
        <f>'Solar Availability and Gener GR'!F255</f>
        <v>1.5456423039259319</v>
      </c>
      <c r="L255" s="1">
        <v>0.39891472868217059</v>
      </c>
      <c r="M255" s="1">
        <f t="shared" si="90"/>
        <v>1.1467275752437613</v>
      </c>
      <c r="N255" s="1" t="str">
        <f t="shared" si="91"/>
        <v>sell the surplus or charge</v>
      </c>
      <c r="O255" s="1">
        <v>0.25</v>
      </c>
      <c r="P255" s="1">
        <f t="shared" si="110"/>
        <v>0.62670034978624167</v>
      </c>
      <c r="Q255" s="1">
        <f t="shared" si="111"/>
        <v>1.2956423039259319</v>
      </c>
      <c r="R255" s="1">
        <f t="shared" si="112"/>
        <v>76.76933382128243</v>
      </c>
      <c r="S255" s="1">
        <f t="shared" si="113"/>
        <v>67.951040557479317</v>
      </c>
      <c r="T255" s="1">
        <f t="shared" si="114"/>
        <v>52.466226948549355</v>
      </c>
      <c r="U255" s="1" t="str">
        <f t="shared" si="115"/>
        <v>charge</v>
      </c>
      <c r="Y255" s="1">
        <f t="shared" si="88"/>
        <v>2.364367596899225E-2</v>
      </c>
      <c r="AA255" s="1">
        <f t="shared" si="92"/>
        <v>79.047882664041339</v>
      </c>
      <c r="AD255" s="1">
        <f t="shared" si="93"/>
        <v>0.25</v>
      </c>
    </row>
    <row r="256" spans="1:30" ht="15">
      <c r="A256" s="1">
        <v>255</v>
      </c>
      <c r="B256" s="1">
        <f t="shared" si="101"/>
        <v>1.1803347280334719</v>
      </c>
      <c r="C256" s="1">
        <f t="shared" si="89"/>
        <v>0</v>
      </c>
      <c r="D256" s="1">
        <f t="shared" si="94"/>
        <v>45.477545307306691</v>
      </c>
      <c r="E256">
        <v>59.27</v>
      </c>
      <c r="K256" s="1">
        <f>'Solar Availability and Gener GR'!F256</f>
        <v>1.4303347280334719</v>
      </c>
      <c r="L256" s="1">
        <v>0.39891472868217059</v>
      </c>
      <c r="M256" s="1">
        <f t="shared" si="90"/>
        <v>1.0314199993513014</v>
      </c>
      <c r="N256" s="1" t="str">
        <f t="shared" si="91"/>
        <v>sell the surplus or charge</v>
      </c>
      <c r="O256" s="1">
        <v>0.25</v>
      </c>
      <c r="P256" s="1">
        <f t="shared" si="110"/>
        <v>0.62670034978624167</v>
      </c>
      <c r="Q256" s="1">
        <f t="shared" si="111"/>
        <v>1.1803347280334719</v>
      </c>
      <c r="R256" s="1">
        <f t="shared" si="112"/>
        <v>69.935053798136323</v>
      </c>
      <c r="S256" s="1">
        <f t="shared" si="113"/>
        <v>61.116760534333217</v>
      </c>
      <c r="T256" s="1">
        <f t="shared" si="114"/>
        <v>51.801849565219698</v>
      </c>
      <c r="U256" s="1" t="str">
        <f t="shared" si="115"/>
        <v>charge</v>
      </c>
      <c r="Y256" s="1">
        <f t="shared" si="88"/>
        <v>2.364367596899225E-2</v>
      </c>
      <c r="AA256" s="1">
        <f t="shared" si="92"/>
        <v>80.079302663392639</v>
      </c>
      <c r="AD256" s="1">
        <f t="shared" si="93"/>
        <v>0.25</v>
      </c>
    </row>
    <row r="257" spans="1:30" ht="15">
      <c r="A257" s="1">
        <v>256</v>
      </c>
      <c r="B257" s="1">
        <f t="shared" si="101"/>
        <v>0</v>
      </c>
      <c r="C257" s="1">
        <f t="shared" si="89"/>
        <v>0</v>
      </c>
      <c r="D257" s="1">
        <f t="shared" si="94"/>
        <v>45.477545307306691</v>
      </c>
      <c r="E257">
        <v>59.27</v>
      </c>
      <c r="K257" s="1">
        <f>'Solar Availability and Gener GR'!F257</f>
        <v>1.1235244369269095</v>
      </c>
      <c r="L257" s="1">
        <v>0.66914728682170543</v>
      </c>
      <c r="M257" s="1">
        <f t="shared" si="90"/>
        <v>0.45437715010520408</v>
      </c>
      <c r="N257" s="1" t="str">
        <f t="shared" si="91"/>
        <v>sell the surplus or charge</v>
      </c>
      <c r="O257" s="1">
        <v>0.25</v>
      </c>
      <c r="P257" s="1">
        <f t="shared" si="110"/>
        <v>0.3736098239110287</v>
      </c>
      <c r="Q257" s="1">
        <f t="shared" si="111"/>
        <v>0.87352443692690951</v>
      </c>
      <c r="R257" s="1">
        <f t="shared" si="112"/>
        <v>51.750407844250375</v>
      </c>
      <c r="S257" s="1">
        <f t="shared" si="113"/>
        <v>26.924156509215006</v>
      </c>
      <c r="T257" s="1">
        <f t="shared" si="114"/>
        <v>30.87384539060935</v>
      </c>
      <c r="U257" s="1" t="str">
        <f t="shared" si="115"/>
        <v>sell to the Grid</v>
      </c>
      <c r="W257" s="1">
        <f>(Q257*E257)/1000</f>
        <v>5.1773793376657926E-2</v>
      </c>
      <c r="Y257" s="1">
        <f t="shared" si="88"/>
        <v>3.9660359689922479E-2</v>
      </c>
      <c r="AA257" s="1">
        <f t="shared" si="92"/>
        <v>80.533679813497841</v>
      </c>
      <c r="AD257" s="1">
        <f t="shared" si="93"/>
        <v>0.25</v>
      </c>
    </row>
    <row r="258" spans="1:30" ht="15">
      <c r="A258" s="1">
        <v>257</v>
      </c>
      <c r="B258" s="1">
        <f t="shared" si="101"/>
        <v>0</v>
      </c>
      <c r="C258" s="1">
        <f t="shared" si="89"/>
        <v>0</v>
      </c>
      <c r="D258" s="1">
        <f t="shared" si="94"/>
        <v>45.477545307306691</v>
      </c>
      <c r="E258">
        <v>59.27</v>
      </c>
      <c r="K258" s="1">
        <f>'Solar Availability and Gener GR'!F258</f>
        <v>0.64438707380040716</v>
      </c>
      <c r="L258" s="1">
        <v>0.66914728682170543</v>
      </c>
      <c r="M258" s="1">
        <f t="shared" si="90"/>
        <v>-2.4760213021298272E-2</v>
      </c>
      <c r="N258" s="1" t="str">
        <f t="shared" si="91"/>
        <v>Buy from Grid</v>
      </c>
      <c r="V258" s="1" t="str">
        <f t="shared" ref="V258:V275" si="116">IF(D258+M258&gt;0,"discharge","buy from the Grid")</f>
        <v>discharge</v>
      </c>
      <c r="Y258" s="1">
        <f t="shared" ref="Y258:Y289" si="117">(L258*E258)/1000</f>
        <v>3.9660359689922479E-2</v>
      </c>
      <c r="AA258" s="1">
        <f t="shared" si="92"/>
        <v>80.508919600476545</v>
      </c>
      <c r="AD258" s="1">
        <f t="shared" si="93"/>
        <v>0</v>
      </c>
    </row>
    <row r="259" spans="1:30" ht="15">
      <c r="A259" s="1">
        <v>258</v>
      </c>
      <c r="B259" s="1">
        <f t="shared" si="101"/>
        <v>0</v>
      </c>
      <c r="C259" s="1">
        <f t="shared" ref="C259:C289" si="118">IF(V258="discharge",M259,0)</f>
        <v>-0.4655997038073727</v>
      </c>
      <c r="D259" s="1">
        <f t="shared" si="94"/>
        <v>44.895545677547474</v>
      </c>
      <c r="E259">
        <v>59.27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19">K259-L259</f>
        <v>-0.4655997038073727</v>
      </c>
      <c r="N259" s="1" t="str">
        <f t="shared" ref="N259:N289" si="120">IF(M259&lt;0,"Buy from Grid","sell the surplus or charge")</f>
        <v>Buy from Grid</v>
      </c>
      <c r="V259" s="1" t="str">
        <f t="shared" si="116"/>
        <v>discharge</v>
      </c>
      <c r="Y259" s="1">
        <f t="shared" si="117"/>
        <v>3.9660359689922479E-2</v>
      </c>
      <c r="AA259" s="1">
        <f t="shared" ref="AA259:AA289" si="121">M259+AA258</f>
        <v>80.043319896669175</v>
      </c>
      <c r="AD259" s="1">
        <f t="shared" ref="AD259:AD289" si="122">AC259+O259</f>
        <v>0</v>
      </c>
    </row>
    <row r="260" spans="1:30" ht="15">
      <c r="A260" s="1">
        <v>259</v>
      </c>
      <c r="B260" s="1">
        <f t="shared" si="101"/>
        <v>0</v>
      </c>
      <c r="C260" s="1">
        <f t="shared" si="118"/>
        <v>-0.6479419098075504</v>
      </c>
      <c r="D260" s="1">
        <f t="shared" ref="D260:D289" si="123">(D259)+(B260*0.8)+(C260/0.8)</f>
        <v>44.085618290288039</v>
      </c>
      <c r="E260">
        <v>59.27</v>
      </c>
      <c r="K260" s="1">
        <f>'Solar Availability and Gener GR'!F260</f>
        <v>2.1205377014155053E-2</v>
      </c>
      <c r="L260" s="1">
        <v>0.66914728682170543</v>
      </c>
      <c r="M260" s="1">
        <f t="shared" si="119"/>
        <v>-0.6479419098075504</v>
      </c>
      <c r="N260" s="1" t="str">
        <f t="shared" si="120"/>
        <v>Buy from Grid</v>
      </c>
      <c r="V260" s="1" t="str">
        <f t="shared" si="116"/>
        <v>discharge</v>
      </c>
      <c r="Y260" s="1">
        <f t="shared" si="117"/>
        <v>3.9660359689922479E-2</v>
      </c>
      <c r="AA260" s="1">
        <f t="shared" si="121"/>
        <v>79.395377986861618</v>
      </c>
      <c r="AD260" s="1">
        <f t="shared" si="122"/>
        <v>0</v>
      </c>
    </row>
    <row r="261" spans="1:30" ht="15">
      <c r="A261" s="1">
        <v>260</v>
      </c>
      <c r="B261" s="1">
        <f t="shared" si="101"/>
        <v>0</v>
      </c>
      <c r="C261" s="1">
        <f t="shared" si="118"/>
        <v>-0.39891472868217059</v>
      </c>
      <c r="D261" s="1">
        <f t="shared" si="123"/>
        <v>43.586974879435324</v>
      </c>
      <c r="E261">
        <v>59.27</v>
      </c>
      <c r="K261" s="1">
        <f>'Solar Availability and Gener GR'!F261</f>
        <v>0</v>
      </c>
      <c r="L261" s="1">
        <v>0.39891472868217059</v>
      </c>
      <c r="M261" s="1">
        <f t="shared" si="119"/>
        <v>-0.39891472868217059</v>
      </c>
      <c r="N261" s="1" t="str">
        <f t="shared" si="120"/>
        <v>Buy from Grid</v>
      </c>
      <c r="V261" s="1" t="str">
        <f t="shared" si="116"/>
        <v>discharge</v>
      </c>
      <c r="Y261" s="1">
        <f t="shared" si="117"/>
        <v>2.364367596899225E-2</v>
      </c>
      <c r="AA261" s="1">
        <f t="shared" si="121"/>
        <v>78.996463258179446</v>
      </c>
      <c r="AD261" s="1">
        <f t="shared" si="122"/>
        <v>0</v>
      </c>
    </row>
    <row r="262" spans="1:30" ht="15">
      <c r="A262" s="1">
        <v>261</v>
      </c>
      <c r="B262" s="1">
        <f t="shared" si="101"/>
        <v>0</v>
      </c>
      <c r="C262" s="1">
        <f t="shared" si="118"/>
        <v>-0.39891472868217059</v>
      </c>
      <c r="D262" s="1">
        <f t="shared" si="123"/>
        <v>43.088331468582609</v>
      </c>
      <c r="E262">
        <v>59.27</v>
      </c>
      <c r="K262" s="1">
        <f>'Solar Availability and Gener GR'!F262</f>
        <v>0</v>
      </c>
      <c r="L262" s="1">
        <v>0.39891472868217059</v>
      </c>
      <c r="M262" s="1">
        <f t="shared" si="119"/>
        <v>-0.39891472868217059</v>
      </c>
      <c r="N262" s="1" t="str">
        <f t="shared" si="120"/>
        <v>Buy from Grid</v>
      </c>
      <c r="V262" s="1" t="str">
        <f t="shared" si="116"/>
        <v>discharge</v>
      </c>
      <c r="Y262" s="1">
        <f t="shared" si="117"/>
        <v>2.364367596899225E-2</v>
      </c>
      <c r="AA262" s="1">
        <f t="shared" si="121"/>
        <v>78.597548529497274</v>
      </c>
      <c r="AD262" s="1">
        <f t="shared" si="122"/>
        <v>0</v>
      </c>
    </row>
    <row r="263" spans="1:30" ht="15">
      <c r="A263" s="1">
        <v>262</v>
      </c>
      <c r="B263" s="1">
        <f t="shared" si="101"/>
        <v>0</v>
      </c>
      <c r="C263" s="1">
        <f t="shared" si="118"/>
        <v>-0.39891472868217059</v>
      </c>
      <c r="D263" s="1">
        <f t="shared" si="123"/>
        <v>42.589688057729894</v>
      </c>
      <c r="E263">
        <v>59.27</v>
      </c>
      <c r="K263" s="1">
        <f>'Solar Availability and Gener GR'!F263</f>
        <v>0</v>
      </c>
      <c r="L263" s="1">
        <v>0.39891472868217059</v>
      </c>
      <c r="M263" s="1">
        <f t="shared" si="119"/>
        <v>-0.39891472868217059</v>
      </c>
      <c r="N263" s="1" t="str">
        <f t="shared" si="120"/>
        <v>Buy from Grid</v>
      </c>
      <c r="V263" s="1" t="str">
        <f t="shared" si="116"/>
        <v>discharge</v>
      </c>
      <c r="Y263" s="1">
        <f t="shared" si="117"/>
        <v>2.364367596899225E-2</v>
      </c>
      <c r="AA263" s="1">
        <f t="shared" si="121"/>
        <v>78.198633800815102</v>
      </c>
      <c r="AD263" s="1">
        <f t="shared" si="122"/>
        <v>0</v>
      </c>
    </row>
    <row r="264" spans="1:30" ht="15">
      <c r="A264" s="1">
        <v>263</v>
      </c>
      <c r="B264" s="1">
        <f t="shared" si="101"/>
        <v>0</v>
      </c>
      <c r="C264" s="1">
        <f t="shared" si="118"/>
        <v>-0.2831007751937985</v>
      </c>
      <c r="D264" s="1">
        <f t="shared" si="123"/>
        <v>42.235812088737646</v>
      </c>
      <c r="E264">
        <v>59.27</v>
      </c>
      <c r="K264" s="1">
        <f>'Solar Availability and Gener GR'!F264</f>
        <v>0</v>
      </c>
      <c r="L264" s="1">
        <v>0.2831007751937985</v>
      </c>
      <c r="M264" s="1">
        <f t="shared" si="119"/>
        <v>-0.2831007751937985</v>
      </c>
      <c r="N264" s="1" t="str">
        <f t="shared" si="120"/>
        <v>Buy from Grid</v>
      </c>
      <c r="V264" s="1" t="str">
        <f t="shared" si="116"/>
        <v>discharge</v>
      </c>
      <c r="Y264" s="1">
        <f t="shared" si="117"/>
        <v>1.6779382945736436E-2</v>
      </c>
      <c r="AA264" s="1">
        <f t="shared" si="121"/>
        <v>77.915533025621301</v>
      </c>
      <c r="AD264" s="1">
        <f t="shared" si="122"/>
        <v>0</v>
      </c>
    </row>
    <row r="265" spans="1:30" ht="15">
      <c r="A265" s="1">
        <v>264</v>
      </c>
      <c r="B265" s="1">
        <f t="shared" si="101"/>
        <v>0</v>
      </c>
      <c r="C265" s="1">
        <f t="shared" si="118"/>
        <v>-0.29596899224806206</v>
      </c>
      <c r="D265" s="1">
        <f t="shared" si="123"/>
        <v>41.86585084842757</v>
      </c>
      <c r="E265">
        <v>59.27</v>
      </c>
      <c r="K265" s="1">
        <f>'Solar Availability and Gener GR'!F265</f>
        <v>0</v>
      </c>
      <c r="L265" s="1">
        <v>0.29596899224806206</v>
      </c>
      <c r="M265" s="1">
        <f t="shared" si="119"/>
        <v>-0.29596899224806206</v>
      </c>
      <c r="N265" s="1" t="str">
        <f t="shared" si="120"/>
        <v>Buy from Grid</v>
      </c>
      <c r="V265" s="1" t="str">
        <f t="shared" si="116"/>
        <v>discharge</v>
      </c>
      <c r="Y265" s="1">
        <f t="shared" si="117"/>
        <v>1.754208217054264E-2</v>
      </c>
      <c r="AA265" s="1">
        <f t="shared" si="121"/>
        <v>77.619564033373237</v>
      </c>
      <c r="AD265" s="1">
        <f t="shared" si="122"/>
        <v>0</v>
      </c>
    </row>
    <row r="266" spans="1:30" ht="15">
      <c r="A266" s="1">
        <v>265</v>
      </c>
      <c r="B266" s="1">
        <f t="shared" si="101"/>
        <v>0</v>
      </c>
      <c r="C266" s="1">
        <f t="shared" si="118"/>
        <v>-0.2831007751937985</v>
      </c>
      <c r="D266" s="1">
        <f t="shared" si="123"/>
        <v>41.511974879435321</v>
      </c>
      <c r="E266">
        <v>59.27</v>
      </c>
      <c r="K266" s="1">
        <f>'Solar Availability and Gener GR'!F266</f>
        <v>0</v>
      </c>
      <c r="L266" s="1">
        <v>0.2831007751937985</v>
      </c>
      <c r="M266" s="1">
        <f t="shared" si="119"/>
        <v>-0.2831007751937985</v>
      </c>
      <c r="N266" s="1" t="str">
        <f t="shared" si="120"/>
        <v>Buy from Grid</v>
      </c>
      <c r="V266" s="1" t="str">
        <f t="shared" si="116"/>
        <v>discharge</v>
      </c>
      <c r="Y266" s="1">
        <f t="shared" si="117"/>
        <v>1.6779382945736436E-2</v>
      </c>
      <c r="AA266" s="1">
        <f t="shared" si="121"/>
        <v>77.336463258179435</v>
      </c>
      <c r="AD266" s="1">
        <f t="shared" si="122"/>
        <v>0</v>
      </c>
    </row>
    <row r="267" spans="1:30" ht="15">
      <c r="A267" s="1">
        <v>266</v>
      </c>
      <c r="B267" s="1">
        <f t="shared" si="101"/>
        <v>0</v>
      </c>
      <c r="C267" s="1">
        <f t="shared" si="118"/>
        <v>-0.19302325581395352</v>
      </c>
      <c r="D267" s="1">
        <f t="shared" si="123"/>
        <v>41.270695809667878</v>
      </c>
      <c r="E267">
        <v>59.27</v>
      </c>
      <c r="K267" s="1">
        <f>'Solar Availability and Gener GR'!F267</f>
        <v>0</v>
      </c>
      <c r="L267" s="1">
        <v>0.19302325581395352</v>
      </c>
      <c r="M267" s="1">
        <f t="shared" si="119"/>
        <v>-0.19302325581395352</v>
      </c>
      <c r="N267" s="1" t="str">
        <f t="shared" si="120"/>
        <v>Buy from Grid</v>
      </c>
      <c r="V267" s="1" t="str">
        <f t="shared" si="116"/>
        <v>discharge</v>
      </c>
      <c r="Y267" s="1">
        <f t="shared" si="117"/>
        <v>1.1440488372093025E-2</v>
      </c>
      <c r="AA267" s="1">
        <f t="shared" si="121"/>
        <v>77.14344000236548</v>
      </c>
      <c r="AD267" s="1">
        <f t="shared" si="122"/>
        <v>0</v>
      </c>
    </row>
    <row r="268" spans="1:30" ht="15">
      <c r="A268" s="1">
        <v>267</v>
      </c>
      <c r="B268" s="1">
        <f t="shared" si="101"/>
        <v>0</v>
      </c>
      <c r="C268" s="1">
        <f t="shared" si="118"/>
        <v>-0.19302325581395352</v>
      </c>
      <c r="D268" s="1">
        <f t="shared" si="123"/>
        <v>41.029416739900434</v>
      </c>
      <c r="E268">
        <v>59.27</v>
      </c>
      <c r="K268" s="1">
        <f>'Solar Availability and Gener GR'!F268</f>
        <v>0</v>
      </c>
      <c r="L268" s="1">
        <v>0.19302325581395352</v>
      </c>
      <c r="M268" s="1">
        <f t="shared" si="119"/>
        <v>-0.19302325581395352</v>
      </c>
      <c r="N268" s="1" t="str">
        <f t="shared" si="120"/>
        <v>Buy from Grid</v>
      </c>
      <c r="V268" s="1" t="str">
        <f t="shared" si="116"/>
        <v>discharge</v>
      </c>
      <c r="Y268" s="1">
        <f t="shared" si="117"/>
        <v>1.1440488372093025E-2</v>
      </c>
      <c r="AA268" s="1">
        <f t="shared" si="121"/>
        <v>76.950416746551525</v>
      </c>
      <c r="AD268" s="1">
        <f t="shared" si="122"/>
        <v>0</v>
      </c>
    </row>
    <row r="269" spans="1:30" ht="15">
      <c r="A269" s="1">
        <v>268</v>
      </c>
      <c r="B269" s="1">
        <f t="shared" si="101"/>
        <v>0</v>
      </c>
      <c r="C269" s="1">
        <f t="shared" si="118"/>
        <v>-0.19302325581395352</v>
      </c>
      <c r="D269" s="1">
        <f t="shared" si="123"/>
        <v>40.78813767013299</v>
      </c>
      <c r="E269">
        <v>59.27</v>
      </c>
      <c r="K269" s="1">
        <f>'Solar Availability and Gener GR'!F269</f>
        <v>0</v>
      </c>
      <c r="L269" s="1">
        <v>0.19302325581395352</v>
      </c>
      <c r="M269" s="1">
        <f t="shared" si="119"/>
        <v>-0.19302325581395352</v>
      </c>
      <c r="N269" s="1" t="str">
        <f t="shared" si="120"/>
        <v>Buy from Grid</v>
      </c>
      <c r="V269" s="1" t="str">
        <f t="shared" si="116"/>
        <v>discharge</v>
      </c>
      <c r="Y269" s="1">
        <f t="shared" si="117"/>
        <v>1.1440488372093025E-2</v>
      </c>
      <c r="AA269" s="1">
        <f t="shared" si="121"/>
        <v>76.75739349073757</v>
      </c>
      <c r="AD269" s="1">
        <f t="shared" si="122"/>
        <v>0</v>
      </c>
    </row>
    <row r="270" spans="1:30" ht="15">
      <c r="A270" s="1">
        <v>269</v>
      </c>
      <c r="B270" s="1">
        <f t="shared" si="101"/>
        <v>0</v>
      </c>
      <c r="C270" s="1">
        <f t="shared" si="118"/>
        <v>-0.19302325581395352</v>
      </c>
      <c r="D270" s="1">
        <f t="shared" si="123"/>
        <v>40.546858600365546</v>
      </c>
      <c r="E270">
        <v>59.27</v>
      </c>
      <c r="K270" s="1">
        <f>'Solar Availability and Gener GR'!F270</f>
        <v>0</v>
      </c>
      <c r="L270" s="1">
        <v>0.19302325581395352</v>
      </c>
      <c r="M270" s="1">
        <f t="shared" si="119"/>
        <v>-0.19302325581395352</v>
      </c>
      <c r="N270" s="1" t="str">
        <f t="shared" si="120"/>
        <v>Buy from Grid</v>
      </c>
      <c r="V270" s="1" t="str">
        <f t="shared" si="116"/>
        <v>discharge</v>
      </c>
      <c r="Y270" s="1">
        <f t="shared" si="117"/>
        <v>1.1440488372093025E-2</v>
      </c>
      <c r="AA270" s="1">
        <f t="shared" si="121"/>
        <v>76.564370234923615</v>
      </c>
      <c r="AD270" s="1">
        <f t="shared" si="122"/>
        <v>0</v>
      </c>
    </row>
    <row r="271" spans="1:30" ht="15">
      <c r="A271" s="1">
        <v>270</v>
      </c>
      <c r="B271" s="1">
        <f t="shared" si="101"/>
        <v>0</v>
      </c>
      <c r="C271" s="1">
        <f t="shared" si="118"/>
        <v>-0.64341085271317833</v>
      </c>
      <c r="D271" s="1">
        <f t="shared" si="123"/>
        <v>39.742595034474071</v>
      </c>
      <c r="E271">
        <v>59.27</v>
      </c>
      <c r="K271" s="1">
        <f>'Solar Availability and Gener GR'!F271</f>
        <v>0</v>
      </c>
      <c r="L271" s="1">
        <v>0.64341085271317833</v>
      </c>
      <c r="M271" s="1">
        <f t="shared" si="119"/>
        <v>-0.64341085271317833</v>
      </c>
      <c r="N271" s="1" t="str">
        <f t="shared" si="120"/>
        <v>Buy from Grid</v>
      </c>
      <c r="V271" s="1" t="str">
        <f t="shared" si="116"/>
        <v>discharge</v>
      </c>
      <c r="Y271" s="1">
        <f t="shared" si="117"/>
        <v>3.8134961240310086E-2</v>
      </c>
      <c r="AA271" s="1">
        <f t="shared" si="121"/>
        <v>75.920959382210441</v>
      </c>
      <c r="AD271" s="1">
        <f t="shared" si="122"/>
        <v>0</v>
      </c>
    </row>
    <row r="272" spans="1:30" ht="15">
      <c r="A272" s="1">
        <v>271</v>
      </c>
      <c r="B272" s="1">
        <f t="shared" ref="B272:B288" si="124">IF(U272="charge",Q272,0)</f>
        <v>0</v>
      </c>
      <c r="C272" s="1">
        <f t="shared" si="118"/>
        <v>-0.6074108527131783</v>
      </c>
      <c r="D272" s="1">
        <f t="shared" si="123"/>
        <v>38.983331468582598</v>
      </c>
      <c r="E272">
        <v>59.27</v>
      </c>
      <c r="K272" s="1">
        <f>'Solar Availability and Gener GR'!F272</f>
        <v>3.5999999999999997E-2</v>
      </c>
      <c r="L272" s="1">
        <v>0.64341085271317833</v>
      </c>
      <c r="M272" s="1">
        <f t="shared" si="119"/>
        <v>-0.6074108527131783</v>
      </c>
      <c r="N272" s="1" t="str">
        <f t="shared" si="120"/>
        <v>Buy from Grid</v>
      </c>
      <c r="V272" s="1" t="str">
        <f t="shared" si="116"/>
        <v>discharge</v>
      </c>
      <c r="Y272" s="1">
        <f t="shared" si="117"/>
        <v>3.8134961240310086E-2</v>
      </c>
      <c r="AA272" s="1">
        <f t="shared" si="121"/>
        <v>75.313548529497268</v>
      </c>
      <c r="AD272" s="1">
        <f t="shared" si="122"/>
        <v>0</v>
      </c>
    </row>
    <row r="273" spans="1:30" ht="15">
      <c r="A273" s="1">
        <v>272</v>
      </c>
      <c r="B273" s="1">
        <f t="shared" si="124"/>
        <v>0</v>
      </c>
      <c r="C273" s="1">
        <f t="shared" si="118"/>
        <v>-0.31404651162790703</v>
      </c>
      <c r="D273" s="1">
        <f t="shared" si="123"/>
        <v>38.590773329047714</v>
      </c>
      <c r="E273">
        <v>59.27</v>
      </c>
      <c r="K273" s="1">
        <f>'Solar Availability and Gener GR'!F273</f>
        <v>7.1999999999999995E-2</v>
      </c>
      <c r="L273" s="1">
        <v>0.38604651162790704</v>
      </c>
      <c r="M273" s="1">
        <f t="shared" si="119"/>
        <v>-0.31404651162790703</v>
      </c>
      <c r="N273" s="1" t="str">
        <f t="shared" si="120"/>
        <v>Buy from Grid</v>
      </c>
      <c r="V273" s="1" t="str">
        <f t="shared" si="116"/>
        <v>discharge</v>
      </c>
      <c r="Y273" s="1">
        <f t="shared" si="117"/>
        <v>2.288097674418605E-2</v>
      </c>
      <c r="AA273" s="1">
        <f t="shared" si="121"/>
        <v>74.999502017869361</v>
      </c>
      <c r="AD273" s="1">
        <f t="shared" si="122"/>
        <v>0</v>
      </c>
    </row>
    <row r="274" spans="1:30" ht="15">
      <c r="A274" s="1">
        <v>273</v>
      </c>
      <c r="B274" s="1">
        <f t="shared" si="124"/>
        <v>0</v>
      </c>
      <c r="C274" s="1">
        <f t="shared" si="118"/>
        <v>-0.27804651162790706</v>
      </c>
      <c r="D274" s="1">
        <f t="shared" si="123"/>
        <v>38.243215189512831</v>
      </c>
      <c r="E274">
        <v>59.27</v>
      </c>
      <c r="K274" s="1">
        <f>'Solar Availability and Gener GR'!F274</f>
        <v>0.108</v>
      </c>
      <c r="L274" s="1">
        <v>0.38604651162790704</v>
      </c>
      <c r="M274" s="1">
        <f t="shared" si="119"/>
        <v>-0.27804651162790706</v>
      </c>
      <c r="N274" s="1" t="str">
        <f t="shared" si="120"/>
        <v>Buy from Grid</v>
      </c>
      <c r="V274" s="1" t="str">
        <f t="shared" si="116"/>
        <v>discharge</v>
      </c>
      <c r="Y274" s="1">
        <f t="shared" si="117"/>
        <v>2.288097674418605E-2</v>
      </c>
      <c r="AA274" s="1">
        <f t="shared" si="121"/>
        <v>74.721455506241455</v>
      </c>
      <c r="AD274" s="1">
        <f t="shared" si="122"/>
        <v>0</v>
      </c>
    </row>
    <row r="275" spans="1:30" ht="15">
      <c r="A275" s="1">
        <v>274</v>
      </c>
      <c r="B275" s="1">
        <f t="shared" si="124"/>
        <v>0</v>
      </c>
      <c r="C275" s="1">
        <f t="shared" si="118"/>
        <v>-0.20787060136350732</v>
      </c>
      <c r="D275" s="1">
        <f t="shared" si="123"/>
        <v>37.983376937808444</v>
      </c>
      <c r="E275">
        <v>59.27</v>
      </c>
      <c r="K275" s="1">
        <f>'Solar Availability and Gener GR'!F275</f>
        <v>0.17817591026439972</v>
      </c>
      <c r="L275" s="1">
        <v>0.38604651162790704</v>
      </c>
      <c r="M275" s="1">
        <f t="shared" si="119"/>
        <v>-0.20787060136350732</v>
      </c>
      <c r="N275" s="1" t="str">
        <f t="shared" si="120"/>
        <v>Buy from Grid</v>
      </c>
      <c r="V275" s="1" t="str">
        <f t="shared" si="116"/>
        <v>discharge</v>
      </c>
      <c r="Y275" s="1">
        <f t="shared" si="117"/>
        <v>2.288097674418605E-2</v>
      </c>
      <c r="AA275" s="1">
        <f t="shared" si="121"/>
        <v>74.513584904877945</v>
      </c>
      <c r="AD275" s="1">
        <f t="shared" si="122"/>
        <v>0</v>
      </c>
    </row>
    <row r="276" spans="1:30" ht="15">
      <c r="A276" s="1">
        <v>275</v>
      </c>
      <c r="B276" s="1">
        <f t="shared" si="124"/>
        <v>0</v>
      </c>
      <c r="C276" s="1">
        <f t="shared" si="118"/>
        <v>0.22256650359509378</v>
      </c>
      <c r="D276" s="1">
        <f t="shared" si="123"/>
        <v>38.261585067302313</v>
      </c>
      <c r="E276">
        <v>59.27</v>
      </c>
      <c r="K276" s="1">
        <f>'Solar Availability and Gener GR'!F276</f>
        <v>0.60861301522300082</v>
      </c>
      <c r="L276" s="1">
        <v>0.38604651162790704</v>
      </c>
      <c r="M276" s="1">
        <f t="shared" si="119"/>
        <v>0.22256650359509378</v>
      </c>
      <c r="N276" s="1" t="str">
        <f t="shared" si="120"/>
        <v>sell the surplus or charge</v>
      </c>
      <c r="O276" s="1">
        <v>0.25</v>
      </c>
      <c r="P276" s="1">
        <f t="shared" ref="P276:P281" si="125">0.25/L276</f>
        <v>0.64759036144578308</v>
      </c>
      <c r="Q276" s="1">
        <f t="shared" ref="Q276:Q281" si="126">K276-P276*L276</f>
        <v>0.35861301522300082</v>
      </c>
      <c r="R276" s="1">
        <f t="shared" ref="R276:R281" si="127">((1/(E276+0.01))*LN(0.25))+(E276*(K276-0.25))</f>
        <v>21.231607879859705</v>
      </c>
      <c r="S276" s="1">
        <f t="shared" ref="S276:S281" si="128">((1/(E276+0.01))*LN(L276))+(E276*(K276-L276))</f>
        <v>13.175460706199781</v>
      </c>
      <c r="T276" s="1">
        <f t="shared" ref="T276:T281" si="129">(S276+((S276^2)-4*(K276-L276*P276)*LN(L276*P276))^(0.5))/(2*(K276-L276*P276))</f>
        <v>36.844969952404718</v>
      </c>
      <c r="U276" s="1" t="str">
        <f t="shared" ref="U276:U281" si="130">IF(E276&gt;=T276*1.2,"sell to the Grid","charge")</f>
        <v>sell to the Grid</v>
      </c>
      <c r="W276" s="1">
        <f>(Q276*E276)/1000</f>
        <v>2.1254993412267262E-2</v>
      </c>
      <c r="Y276" s="1">
        <f t="shared" si="117"/>
        <v>2.288097674418605E-2</v>
      </c>
      <c r="AA276" s="1">
        <f t="shared" si="121"/>
        <v>74.736151408473035</v>
      </c>
      <c r="AD276" s="1">
        <f t="shared" si="122"/>
        <v>0.25</v>
      </c>
    </row>
    <row r="277" spans="1:30" ht="15">
      <c r="A277" s="1">
        <v>276</v>
      </c>
      <c r="B277" s="1">
        <f t="shared" si="124"/>
        <v>0</v>
      </c>
      <c r="C277" s="1">
        <f t="shared" si="118"/>
        <v>0</v>
      </c>
      <c r="D277" s="1">
        <f t="shared" si="123"/>
        <v>38.261585067302313</v>
      </c>
      <c r="E277">
        <v>59.27</v>
      </c>
      <c r="K277" s="1">
        <f>'Solar Availability and Gener GR'!F277</f>
        <v>1.0103000089023395</v>
      </c>
      <c r="L277" s="1">
        <v>0.38604651162790704</v>
      </c>
      <c r="M277" s="1">
        <f t="shared" si="119"/>
        <v>0.62425349727443247</v>
      </c>
      <c r="N277" s="1" t="str">
        <f t="shared" si="120"/>
        <v>sell the surplus or charge</v>
      </c>
      <c r="O277" s="1">
        <v>0.25</v>
      </c>
      <c r="P277" s="1">
        <f t="shared" si="125"/>
        <v>0.64759036144578308</v>
      </c>
      <c r="Q277" s="1">
        <f t="shared" si="126"/>
        <v>0.76030000890233951</v>
      </c>
      <c r="R277" s="1">
        <f t="shared" si="127"/>
        <v>45.039595995234116</v>
      </c>
      <c r="S277" s="1">
        <f t="shared" si="128"/>
        <v>36.983448821574186</v>
      </c>
      <c r="T277" s="1">
        <f t="shared" si="129"/>
        <v>48.680686157134218</v>
      </c>
      <c r="U277" s="1" t="str">
        <f t="shared" si="130"/>
        <v>sell to the Grid</v>
      </c>
      <c r="W277" s="1">
        <f>(Q277*E277)/1000</f>
        <v>4.5062981527641668E-2</v>
      </c>
      <c r="Y277" s="1">
        <f t="shared" si="117"/>
        <v>2.288097674418605E-2</v>
      </c>
      <c r="AA277" s="1">
        <f t="shared" si="121"/>
        <v>75.360404905747473</v>
      </c>
      <c r="AD277" s="1">
        <f t="shared" si="122"/>
        <v>0.25</v>
      </c>
    </row>
    <row r="278" spans="1:30" ht="15">
      <c r="A278" s="1">
        <v>277</v>
      </c>
      <c r="B278" s="1">
        <f t="shared" si="124"/>
        <v>1.0088222202439221</v>
      </c>
      <c r="C278" s="1">
        <f t="shared" si="118"/>
        <v>0</v>
      </c>
      <c r="D278" s="1">
        <f t="shared" si="123"/>
        <v>39.06864284349745</v>
      </c>
      <c r="E278">
        <v>59.27</v>
      </c>
      <c r="K278" s="1">
        <f>'Solar Availability and Gener GR'!F278</f>
        <v>1.2588222202439221</v>
      </c>
      <c r="L278" s="1">
        <v>0.38604651162790704</v>
      </c>
      <c r="M278" s="1">
        <f t="shared" si="119"/>
        <v>0.87277570861601506</v>
      </c>
      <c r="N278" s="1" t="str">
        <f t="shared" si="120"/>
        <v>sell the surplus or charge</v>
      </c>
      <c r="O278" s="1">
        <v>0.25</v>
      </c>
      <c r="P278" s="1">
        <f t="shared" si="125"/>
        <v>0.64759036144578308</v>
      </c>
      <c r="Q278" s="1">
        <f t="shared" si="126"/>
        <v>1.0088222202439221</v>
      </c>
      <c r="R278" s="1">
        <f t="shared" si="127"/>
        <v>59.769507461449713</v>
      </c>
      <c r="S278" s="1">
        <f t="shared" si="128"/>
        <v>51.71336028778979</v>
      </c>
      <c r="T278" s="1">
        <f t="shared" si="129"/>
        <v>51.287916639880748</v>
      </c>
      <c r="U278" s="1" t="str">
        <f t="shared" si="130"/>
        <v>charge</v>
      </c>
      <c r="Y278" s="1">
        <f t="shared" si="117"/>
        <v>2.288097674418605E-2</v>
      </c>
      <c r="AA278" s="1">
        <f t="shared" si="121"/>
        <v>76.233180614363491</v>
      </c>
      <c r="AD278" s="1">
        <f t="shared" si="122"/>
        <v>0.25</v>
      </c>
    </row>
    <row r="279" spans="1:30" ht="15">
      <c r="A279" s="1">
        <v>278</v>
      </c>
      <c r="B279" s="1">
        <f t="shared" si="124"/>
        <v>1.0275571975429532</v>
      </c>
      <c r="C279" s="1">
        <f t="shared" si="118"/>
        <v>0</v>
      </c>
      <c r="D279" s="1">
        <f t="shared" si="123"/>
        <v>39.890688601531814</v>
      </c>
      <c r="E279">
        <v>59.27</v>
      </c>
      <c r="K279" s="1">
        <f>'Solar Availability and Gener GR'!F279</f>
        <v>1.2775571975429532</v>
      </c>
      <c r="L279" s="1">
        <v>0.38604651162790704</v>
      </c>
      <c r="M279" s="1">
        <f t="shared" si="119"/>
        <v>0.89151068591504612</v>
      </c>
      <c r="N279" s="1" t="str">
        <f t="shared" si="120"/>
        <v>sell the surplus or charge</v>
      </c>
      <c r="O279" s="1">
        <v>0.25</v>
      </c>
      <c r="P279" s="1">
        <f t="shared" si="125"/>
        <v>0.64759036144578308</v>
      </c>
      <c r="Q279" s="1">
        <f t="shared" si="126"/>
        <v>1.0275571975429532</v>
      </c>
      <c r="R279" s="1">
        <f t="shared" si="127"/>
        <v>60.879929565963288</v>
      </c>
      <c r="S279" s="1">
        <f t="shared" si="128"/>
        <v>52.823782392303357</v>
      </c>
      <c r="T279" s="1">
        <f t="shared" si="129"/>
        <v>51.433375898092152</v>
      </c>
      <c r="U279" s="1" t="str">
        <f t="shared" si="130"/>
        <v>charge</v>
      </c>
      <c r="Y279" s="1">
        <f t="shared" si="117"/>
        <v>2.288097674418605E-2</v>
      </c>
      <c r="AA279" s="1">
        <f t="shared" si="121"/>
        <v>77.124691300278542</v>
      </c>
      <c r="AD279" s="1">
        <f t="shared" si="122"/>
        <v>0.25</v>
      </c>
    </row>
    <row r="280" spans="1:30" ht="15">
      <c r="A280" s="1">
        <v>279</v>
      </c>
      <c r="B280" s="1">
        <f t="shared" si="124"/>
        <v>0.94097302590581111</v>
      </c>
      <c r="C280" s="1">
        <f t="shared" si="118"/>
        <v>0</v>
      </c>
      <c r="D280" s="1">
        <f t="shared" si="123"/>
        <v>40.643467022256459</v>
      </c>
      <c r="E280">
        <v>59.27</v>
      </c>
      <c r="K280" s="1">
        <f>'Solar Availability and Gener GR'!F280</f>
        <v>1.1909730259058111</v>
      </c>
      <c r="L280" s="1">
        <v>0.38604651162790704</v>
      </c>
      <c r="M280" s="1">
        <f t="shared" si="119"/>
        <v>0.80492651427790407</v>
      </c>
      <c r="N280" s="1" t="str">
        <f t="shared" si="120"/>
        <v>sell the surplus or charge</v>
      </c>
      <c r="O280" s="1">
        <v>0.25</v>
      </c>
      <c r="P280" s="1">
        <f t="shared" si="125"/>
        <v>0.64759036144578308</v>
      </c>
      <c r="Q280" s="1">
        <f t="shared" si="126"/>
        <v>0.94097302590581111</v>
      </c>
      <c r="R280" s="1">
        <f t="shared" si="127"/>
        <v>55.748085713029873</v>
      </c>
      <c r="S280" s="1">
        <f t="shared" si="128"/>
        <v>47.69193853936995</v>
      </c>
      <c r="T280" s="1">
        <f t="shared" si="129"/>
        <v>50.712691508365388</v>
      </c>
      <c r="U280" s="1" t="str">
        <f t="shared" si="130"/>
        <v>charge</v>
      </c>
      <c r="Y280" s="1">
        <f t="shared" si="117"/>
        <v>2.288097674418605E-2</v>
      </c>
      <c r="AA280" s="1">
        <f t="shared" si="121"/>
        <v>77.929617814556451</v>
      </c>
      <c r="AD280" s="1">
        <f t="shared" si="122"/>
        <v>0.25</v>
      </c>
    </row>
    <row r="281" spans="1:30" ht="15">
      <c r="A281" s="1">
        <v>280</v>
      </c>
      <c r="B281" s="1">
        <f t="shared" si="124"/>
        <v>0</v>
      </c>
      <c r="C281" s="1">
        <f t="shared" si="118"/>
        <v>0</v>
      </c>
      <c r="D281" s="1">
        <f t="shared" si="123"/>
        <v>40.643467022256459</v>
      </c>
      <c r="E281">
        <v>59.27</v>
      </c>
      <c r="K281" s="1">
        <f>'Solar Availability and Gener GR'!F281</f>
        <v>0.92246060713967637</v>
      </c>
      <c r="L281" s="1">
        <v>0.64341085271317833</v>
      </c>
      <c r="M281" s="1">
        <f t="shared" si="119"/>
        <v>0.27904975442649804</v>
      </c>
      <c r="N281" s="1" t="str">
        <f t="shared" si="120"/>
        <v>sell the surplus or charge</v>
      </c>
      <c r="O281" s="1">
        <v>0.25</v>
      </c>
      <c r="P281" s="1">
        <f t="shared" si="125"/>
        <v>0.38855421686746988</v>
      </c>
      <c r="Q281" s="1">
        <f t="shared" si="126"/>
        <v>0.67246060713967637</v>
      </c>
      <c r="R281" s="1">
        <f t="shared" si="127"/>
        <v>39.833354652761066</v>
      </c>
      <c r="S281" s="1">
        <f t="shared" si="128"/>
        <v>16.531840149369927</v>
      </c>
      <c r="T281" s="1">
        <f t="shared" si="129"/>
        <v>24.667673914508864</v>
      </c>
      <c r="U281" s="1" t="str">
        <f t="shared" si="130"/>
        <v>sell to the Grid</v>
      </c>
      <c r="W281" s="1">
        <f>(Q281*E281)/1000</f>
        <v>3.9856740185168618E-2</v>
      </c>
      <c r="Y281" s="1">
        <f t="shared" si="117"/>
        <v>3.8134961240310086E-2</v>
      </c>
      <c r="AA281" s="1">
        <f t="shared" si="121"/>
        <v>78.208667568982946</v>
      </c>
      <c r="AD281" s="1">
        <f t="shared" si="122"/>
        <v>0.25</v>
      </c>
    </row>
    <row r="282" spans="1:30" ht="15">
      <c r="A282" s="1">
        <v>281</v>
      </c>
      <c r="B282" s="1">
        <f t="shared" si="124"/>
        <v>0</v>
      </c>
      <c r="C282" s="1">
        <f t="shared" si="118"/>
        <v>0</v>
      </c>
      <c r="D282" s="1">
        <f t="shared" si="123"/>
        <v>40.643467022256459</v>
      </c>
      <c r="E282">
        <v>59.27</v>
      </c>
      <c r="K282" s="1">
        <f>'Solar Availability and Gener GR'!F282</f>
        <v>0.54864239294934358</v>
      </c>
      <c r="L282" s="1">
        <v>0.64341085271317833</v>
      </c>
      <c r="M282" s="1">
        <f t="shared" si="119"/>
        <v>-9.4768459763834745E-2</v>
      </c>
      <c r="N282" s="1" t="str">
        <f t="shared" si="120"/>
        <v>Buy from Grid</v>
      </c>
      <c r="V282" s="1" t="str">
        <f t="shared" ref="V282:V289" si="131">IF(D282+M282&gt;0,"discharge","buy from the Grid")</f>
        <v>discharge</v>
      </c>
      <c r="Y282" s="1">
        <f t="shared" si="117"/>
        <v>3.8134961240310086E-2</v>
      </c>
      <c r="AA282" s="1">
        <f t="shared" si="121"/>
        <v>78.113899109219105</v>
      </c>
      <c r="AD282" s="1">
        <f t="shared" si="122"/>
        <v>0</v>
      </c>
    </row>
    <row r="283" spans="1:30" ht="15">
      <c r="A283" s="1">
        <v>282</v>
      </c>
      <c r="B283" s="1">
        <f t="shared" si="124"/>
        <v>0</v>
      </c>
      <c r="C283" s="1">
        <f t="shared" si="118"/>
        <v>-0.50688454629459012</v>
      </c>
      <c r="D283" s="1">
        <f t="shared" si="123"/>
        <v>40.009861339388223</v>
      </c>
      <c r="E283">
        <v>59.27</v>
      </c>
      <c r="K283" s="1">
        <f>'Solar Availability and Gener GR'!F283</f>
        <v>0.13652630641858823</v>
      </c>
      <c r="L283" s="1">
        <v>0.64341085271317833</v>
      </c>
      <c r="M283" s="1">
        <f t="shared" si="119"/>
        <v>-0.50688454629459012</v>
      </c>
      <c r="N283" s="1" t="str">
        <f t="shared" si="120"/>
        <v>Buy from Grid</v>
      </c>
      <c r="V283" s="1" t="str">
        <f t="shared" si="131"/>
        <v>discharge</v>
      </c>
      <c r="Y283" s="1">
        <f t="shared" si="117"/>
        <v>3.8134961240310086E-2</v>
      </c>
      <c r="AA283" s="1">
        <f t="shared" si="121"/>
        <v>77.607014562924519</v>
      </c>
      <c r="AD283" s="1">
        <f t="shared" si="122"/>
        <v>0</v>
      </c>
    </row>
    <row r="284" spans="1:30" ht="15">
      <c r="A284" s="1">
        <v>283</v>
      </c>
      <c r="B284" s="1">
        <f t="shared" si="124"/>
        <v>0</v>
      </c>
      <c r="C284" s="1">
        <f t="shared" si="118"/>
        <v>-0.64341085271317833</v>
      </c>
      <c r="D284" s="1">
        <f t="shared" si="123"/>
        <v>39.205597773496748</v>
      </c>
      <c r="E284">
        <v>59.27</v>
      </c>
      <c r="K284" s="1">
        <f>'Solar Availability and Gener GR'!F284</f>
        <v>0</v>
      </c>
      <c r="L284" s="1">
        <v>0.64341085271317833</v>
      </c>
      <c r="M284" s="1">
        <f t="shared" si="119"/>
        <v>-0.64341085271317833</v>
      </c>
      <c r="N284" s="1" t="str">
        <f t="shared" si="120"/>
        <v>Buy from Grid</v>
      </c>
      <c r="V284" s="1" t="str">
        <f t="shared" si="131"/>
        <v>discharge</v>
      </c>
      <c r="Y284" s="1">
        <f t="shared" si="117"/>
        <v>3.8134961240310086E-2</v>
      </c>
      <c r="AA284" s="1">
        <f t="shared" si="121"/>
        <v>76.963603710211345</v>
      </c>
      <c r="AD284" s="1">
        <f t="shared" si="122"/>
        <v>0</v>
      </c>
    </row>
    <row r="285" spans="1:30" ht="15">
      <c r="A285" s="1">
        <v>284</v>
      </c>
      <c r="B285" s="1">
        <f t="shared" si="124"/>
        <v>0</v>
      </c>
      <c r="C285" s="1">
        <f t="shared" si="118"/>
        <v>-0.64341085271317833</v>
      </c>
      <c r="D285" s="1">
        <f t="shared" si="123"/>
        <v>38.401334207605274</v>
      </c>
      <c r="E285">
        <v>59.27</v>
      </c>
      <c r="K285" s="1">
        <f>'Solar Availability and Gener GR'!F285</f>
        <v>0</v>
      </c>
      <c r="L285" s="1">
        <v>0.64341085271317833</v>
      </c>
      <c r="M285" s="1">
        <f t="shared" si="119"/>
        <v>-0.64341085271317833</v>
      </c>
      <c r="N285" s="1" t="str">
        <f t="shared" si="120"/>
        <v>Buy from Grid</v>
      </c>
      <c r="V285" s="1" t="str">
        <f t="shared" si="131"/>
        <v>discharge</v>
      </c>
      <c r="Y285" s="1">
        <f t="shared" si="117"/>
        <v>3.8134961240310086E-2</v>
      </c>
      <c r="AA285" s="1">
        <f t="shared" si="121"/>
        <v>76.320192857498171</v>
      </c>
      <c r="AD285" s="1">
        <f t="shared" si="122"/>
        <v>0</v>
      </c>
    </row>
    <row r="286" spans="1:30" ht="15">
      <c r="A286" s="1">
        <v>285</v>
      </c>
      <c r="B286" s="1">
        <f t="shared" si="124"/>
        <v>0</v>
      </c>
      <c r="C286" s="1">
        <f t="shared" si="118"/>
        <v>-0.64341085271317833</v>
      </c>
      <c r="D286" s="1">
        <f t="shared" si="123"/>
        <v>37.597070641713799</v>
      </c>
      <c r="E286">
        <v>59.27</v>
      </c>
      <c r="K286" s="1">
        <f>'Solar Availability and Gener GR'!F286</f>
        <v>0</v>
      </c>
      <c r="L286" s="1">
        <v>0.64341085271317833</v>
      </c>
      <c r="M286" s="1">
        <f t="shared" si="119"/>
        <v>-0.64341085271317833</v>
      </c>
      <c r="N286" s="1" t="str">
        <f t="shared" si="120"/>
        <v>Buy from Grid</v>
      </c>
      <c r="V286" s="1" t="str">
        <f t="shared" si="131"/>
        <v>discharge</v>
      </c>
      <c r="Y286" s="1">
        <f t="shared" si="117"/>
        <v>3.8134961240310086E-2</v>
      </c>
      <c r="AA286" s="1">
        <f t="shared" si="121"/>
        <v>75.676782004784997</v>
      </c>
      <c r="AD286" s="1">
        <f t="shared" si="122"/>
        <v>0</v>
      </c>
    </row>
    <row r="287" spans="1:30" ht="15">
      <c r="A287" s="1">
        <v>286</v>
      </c>
      <c r="B287" s="1">
        <f t="shared" si="124"/>
        <v>0</v>
      </c>
      <c r="C287" s="1">
        <f t="shared" si="118"/>
        <v>-0.64341085271317833</v>
      </c>
      <c r="D287" s="1">
        <f t="shared" si="123"/>
        <v>36.792807075822324</v>
      </c>
      <c r="E287">
        <v>59.27</v>
      </c>
      <c r="K287" s="1">
        <f>'Solar Availability and Gener GR'!F287</f>
        <v>0</v>
      </c>
      <c r="L287" s="1">
        <v>0.64341085271317833</v>
      </c>
      <c r="M287" s="1">
        <f t="shared" si="119"/>
        <v>-0.64341085271317833</v>
      </c>
      <c r="N287" s="1" t="str">
        <f t="shared" si="120"/>
        <v>Buy from Grid</v>
      </c>
      <c r="V287" s="1" t="str">
        <f t="shared" si="131"/>
        <v>discharge</v>
      </c>
      <c r="Y287" s="1">
        <f t="shared" si="117"/>
        <v>3.8134961240310086E-2</v>
      </c>
      <c r="AA287" s="1">
        <f t="shared" si="121"/>
        <v>75.033371152071823</v>
      </c>
      <c r="AD287" s="1">
        <f t="shared" si="122"/>
        <v>0</v>
      </c>
    </row>
    <row r="288" spans="1:30" ht="15">
      <c r="A288" s="1">
        <v>287</v>
      </c>
      <c r="B288" s="1">
        <f t="shared" si="124"/>
        <v>0</v>
      </c>
      <c r="C288" s="1">
        <f t="shared" si="118"/>
        <v>-0.25736434108527134</v>
      </c>
      <c r="D288" s="1">
        <f t="shared" si="123"/>
        <v>36.471101649465737</v>
      </c>
      <c r="E288">
        <v>59.27</v>
      </c>
      <c r="K288" s="1">
        <f>'Solar Availability and Gener GR'!F288</f>
        <v>0</v>
      </c>
      <c r="L288" s="1">
        <v>0.25736434108527134</v>
      </c>
      <c r="M288" s="1">
        <f t="shared" si="119"/>
        <v>-0.25736434108527134</v>
      </c>
      <c r="N288" s="1" t="str">
        <f t="shared" si="120"/>
        <v>Buy from Grid</v>
      </c>
      <c r="V288" s="1" t="str">
        <f t="shared" si="131"/>
        <v>discharge</v>
      </c>
      <c r="Y288" s="1">
        <f t="shared" si="117"/>
        <v>1.5253984496124034E-2</v>
      </c>
      <c r="AA288" s="1">
        <f t="shared" si="121"/>
        <v>74.776006810986544</v>
      </c>
      <c r="AD288" s="1">
        <f t="shared" si="122"/>
        <v>0</v>
      </c>
    </row>
    <row r="289" spans="1:31" ht="15">
      <c r="A289" s="1">
        <v>288</v>
      </c>
      <c r="C289" s="1">
        <f t="shared" si="118"/>
        <v>-0.25736434108527134</v>
      </c>
      <c r="D289" s="1">
        <f t="shared" si="123"/>
        <v>36.14939622310915</v>
      </c>
      <c r="E289">
        <v>59.27</v>
      </c>
      <c r="K289" s="1">
        <f>'Solar Availability and Gener GR'!F289</f>
        <v>0</v>
      </c>
      <c r="L289" s="1">
        <v>0.25736434108527134</v>
      </c>
      <c r="M289" s="1">
        <f t="shared" si="119"/>
        <v>-0.25736434108527134</v>
      </c>
      <c r="N289" s="1" t="str">
        <f t="shared" si="120"/>
        <v>Buy from Grid</v>
      </c>
      <c r="V289" s="1" t="str">
        <f t="shared" si="131"/>
        <v>discharge</v>
      </c>
      <c r="Y289" s="1">
        <f t="shared" si="117"/>
        <v>1.5253984496124034E-2</v>
      </c>
      <c r="AA289" s="1">
        <f t="shared" si="121"/>
        <v>74.518642469901266</v>
      </c>
      <c r="AD289" s="1">
        <f t="shared" si="122"/>
        <v>0</v>
      </c>
    </row>
    <row r="290" spans="1:31">
      <c r="W290" s="1">
        <f>SUM(W2:W289)</f>
        <v>2.3985859131868574</v>
      </c>
      <c r="X290" s="1">
        <f>SUM(X2:X289)</f>
        <v>-0.71423272844997143</v>
      </c>
      <c r="Y290" s="1">
        <f>SUM(Y2:Y289)</f>
        <v>7.6270662298868448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50.530595542106582</v>
      </c>
      <c r="Y291" s="1">
        <f>Y290*30</f>
        <v>228.81198689660533</v>
      </c>
      <c r="AD291" s="1">
        <f>SUM(AD2:AD290)*30</f>
        <v>1202.9953488372093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228.81198689660533</v>
      </c>
    </row>
    <row r="295" spans="1:31" ht="30">
      <c r="V295" s="1" t="s">
        <v>354</v>
      </c>
      <c r="W295" s="1">
        <f>W291+W293</f>
        <v>279.34258243871193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240234620.89729226</v>
      </c>
      <c r="Y297" s="3">
        <f>($L$291-$AD$291)*W297/1000000</f>
        <v>2285.4562040000073</v>
      </c>
      <c r="AA297" s="11">
        <f>$W$291*W297</f>
        <v>43456312.166211657</v>
      </c>
    </row>
    <row r="298" spans="1:31">
      <c r="V298" s="1">
        <v>2035</v>
      </c>
      <c r="W298" s="1">
        <v>1720000</v>
      </c>
      <c r="X298" s="11">
        <f t="shared" ref="X298:X301" si="132">$W$295*W298</f>
        <v>480469241.79458451</v>
      </c>
      <c r="Y298" s="3">
        <f>($L$291-$AD$291)*W298/1000000</f>
        <v>4570.9124080000147</v>
      </c>
      <c r="AA298" s="11">
        <f t="shared" ref="AA298:AA301" si="133">$W$291*W298</f>
        <v>86912624.332423314</v>
      </c>
    </row>
    <row r="299" spans="1:31">
      <c r="V299" s="1">
        <v>2040</v>
      </c>
      <c r="W299" s="1">
        <v>2580000</v>
      </c>
      <c r="X299" s="11">
        <f t="shared" si="132"/>
        <v>720703862.69187677</v>
      </c>
      <c r="Y299" s="3">
        <f>($L$291-$AD$291)*W299/1000000</f>
        <v>6856.368612000022</v>
      </c>
      <c r="AA299" s="11">
        <f t="shared" si="133"/>
        <v>130368936.49863498</v>
      </c>
    </row>
    <row r="300" spans="1:31">
      <c r="V300" s="1">
        <v>2045</v>
      </c>
      <c r="W300" s="1">
        <v>3440000</v>
      </c>
      <c r="X300" s="11">
        <f t="shared" si="132"/>
        <v>960938483.58916903</v>
      </c>
      <c r="Y300" s="3">
        <f>($L$291-$AD$291)*W300/1000000</f>
        <v>9141.8248160000294</v>
      </c>
      <c r="AA300" s="11">
        <f t="shared" si="133"/>
        <v>173825248.66484663</v>
      </c>
    </row>
    <row r="301" spans="1:31">
      <c r="V301" s="1">
        <v>2050</v>
      </c>
      <c r="W301" s="1">
        <v>4300000</v>
      </c>
      <c r="X301" s="11">
        <f t="shared" si="132"/>
        <v>1201173104.4864614</v>
      </c>
      <c r="Y301" s="3">
        <f>($L$291-$AD$291)*W301/1000000</f>
        <v>11427.281020000037</v>
      </c>
      <c r="AA301" s="11">
        <f t="shared" si="133"/>
        <v>217281560.83105829</v>
      </c>
    </row>
  </sheetData>
  <autoFilter ref="A1:V289" xr:uid="{341E820E-40E6-49AC-8FF5-E40C9CA07058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3921-6775-EA4D-A3E6-0C88DBB810F3}">
  <dimension ref="A1:AE301"/>
  <sheetViews>
    <sheetView topLeftCell="N294" workbookViewId="0">
      <selection activeCell="W297" sqref="W297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59.27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1.7616063995348843E-2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4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59.27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1.754208217054264E-2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59.27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1.754208217054264E-2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59.27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-1.754208217054264E-2</v>
      </c>
      <c r="Y5" s="1">
        <f t="shared" si="1"/>
        <v>1.754208217054264E-2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59.27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-1.754208217054264E-2</v>
      </c>
      <c r="Y6" s="1">
        <f t="shared" si="1"/>
        <v>1.754208217054264E-2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59.27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-2.364367596899225E-2</v>
      </c>
      <c r="Y7" s="1">
        <f t="shared" si="1"/>
        <v>2.364367596899225E-2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59.27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-3.7526639689922481E-2</v>
      </c>
      <c r="Y8" s="1">
        <f t="shared" si="1"/>
        <v>3.9660359689922479E-2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59.27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-3.5392919689922489E-2</v>
      </c>
      <c r="Y9" s="1">
        <f t="shared" si="1"/>
        <v>3.9660359689922479E-2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59.27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-3.249650046511629E-2</v>
      </c>
      <c r="Y10" s="1">
        <f t="shared" si="1"/>
        <v>3.8897660465116286E-2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59.27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-1.3083189767621281E-2</v>
      </c>
      <c r="Y11" s="1">
        <f t="shared" si="1"/>
        <v>2.364367596899225E-2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8"/>
        <v>8.855600775193806E-2</v>
      </c>
      <c r="E12">
        <v>59.27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0.62670034978624167</v>
      </c>
      <c r="Q12" s="1">
        <f t="shared" ref="Q12:Q18" si="12">K12-P12*L12</f>
        <v>0.35861301522300082</v>
      </c>
      <c r="R12" s="1">
        <f t="shared" ref="R12:R18" si="13">((1/(E12+0.01))*LN(0.25))+(E12*(K12-0.25))</f>
        <v>21.231607879859705</v>
      </c>
      <c r="S12" s="1">
        <f t="shared" ref="S12:S18" si="14">((1/(E12+0.01))*LN(L12))+(E12*(K12-L12))</f>
        <v>12.413314616056587</v>
      </c>
      <c r="T12" s="1">
        <f t="shared" ref="T12:T18" si="15">(S12+((S12^2)-4*(K12-L12*P12)*LN(L12*P12))^(0.5))/(2*(K12-L12*P12))</f>
        <v>34.726111138912799</v>
      </c>
      <c r="U12" s="1" t="str">
        <f t="shared" ref="U12:U18" si="16">IF(E12&gt;=T12*1.1,"sell to the Grid","charge")</f>
        <v>sell to the Grid</v>
      </c>
      <c r="W12" s="1">
        <f t="shared" ref="W12:W18" si="17">(Q12*E12)/1000</f>
        <v>2.1254993412267262E-2</v>
      </c>
      <c r="Y12" s="1">
        <f t="shared" si="1"/>
        <v>2.364367596899225E-2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8.855600775193806E-2</v>
      </c>
      <c r="E13">
        <v>59.27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1"/>
        <v>0.62670034978624167</v>
      </c>
      <c r="Q13" s="1">
        <f t="shared" si="12"/>
        <v>0.8263999999999998</v>
      </c>
      <c r="R13" s="1">
        <f t="shared" si="13"/>
        <v>48.95734246759244</v>
      </c>
      <c r="S13" s="1">
        <f t="shared" si="14"/>
        <v>40.13904920378932</v>
      </c>
      <c r="T13" s="1">
        <f t="shared" si="15"/>
        <v>48.605482286774539</v>
      </c>
      <c r="U13" s="1" t="str">
        <f t="shared" si="16"/>
        <v>sell to the Grid</v>
      </c>
      <c r="W13" s="1">
        <f t="shared" si="17"/>
        <v>4.8980727999999994E-2</v>
      </c>
      <c r="Y13" s="1">
        <f t="shared" si="1"/>
        <v>2.364367596899225E-2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2"/>
        <v>0</v>
      </c>
      <c r="C14" s="1">
        <f t="shared" si="3"/>
        <v>0</v>
      </c>
      <c r="D14" s="1">
        <f t="shared" si="8"/>
        <v>8.855600775193806E-2</v>
      </c>
      <c r="E14">
        <v>59.27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1"/>
        <v>0.62670034978624167</v>
      </c>
      <c r="Q14" s="1">
        <f t="shared" si="12"/>
        <v>1.1215999999999999</v>
      </c>
      <c r="R14" s="1">
        <f t="shared" si="13"/>
        <v>66.453846467592442</v>
      </c>
      <c r="S14" s="1">
        <f t="shared" si="14"/>
        <v>57.635553203789328</v>
      </c>
      <c r="T14" s="1">
        <f t="shared" si="15"/>
        <v>51.410947011670906</v>
      </c>
      <c r="U14" s="1" t="str">
        <f t="shared" si="16"/>
        <v>sell to the Grid</v>
      </c>
      <c r="W14" s="1">
        <f t="shared" si="17"/>
        <v>6.6477231999999997E-2</v>
      </c>
      <c r="Y14" s="1">
        <f t="shared" si="1"/>
        <v>2.364367596899225E-2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59.27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1"/>
        <v>0.62670034978624167</v>
      </c>
      <c r="Q15" s="1">
        <f t="shared" si="12"/>
        <v>1.1792</v>
      </c>
      <c r="R15" s="1">
        <f t="shared" si="13"/>
        <v>69.867798467592451</v>
      </c>
      <c r="S15" s="1">
        <f t="shared" si="14"/>
        <v>61.049505203789337</v>
      </c>
      <c r="T15" s="1">
        <f t="shared" si="15"/>
        <v>51.794666213682603</v>
      </c>
      <c r="U15" s="1" t="str">
        <f t="shared" si="16"/>
        <v>sell to the Grid</v>
      </c>
      <c r="W15" s="1">
        <f t="shared" si="17"/>
        <v>6.9891184000000009E-2</v>
      </c>
      <c r="Y15" s="1">
        <f t="shared" si="1"/>
        <v>2.364367596899225E-2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8">IF(U16="charge",Q16,0)</f>
        <v>0</v>
      </c>
      <c r="C16" s="1">
        <f t="shared" si="3"/>
        <v>0</v>
      </c>
      <c r="D16" s="1">
        <f t="shared" si="8"/>
        <v>8.855600775193806E-2</v>
      </c>
      <c r="E16">
        <v>59.27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1"/>
        <v>0.62670034978624167</v>
      </c>
      <c r="Q16" s="1">
        <f t="shared" si="12"/>
        <v>1.1035999999999999</v>
      </c>
      <c r="R16" s="1">
        <f t="shared" si="13"/>
        <v>65.386986467592436</v>
      </c>
      <c r="S16" s="1">
        <f t="shared" si="14"/>
        <v>56.56869320378933</v>
      </c>
      <c r="T16" s="1">
        <f t="shared" si="15"/>
        <v>51.282824878619827</v>
      </c>
      <c r="U16" s="1" t="str">
        <f t="shared" si="16"/>
        <v>sell to the Grid</v>
      </c>
      <c r="W16" s="1">
        <f t="shared" si="17"/>
        <v>6.5410371999999994E-2</v>
      </c>
      <c r="Y16" s="1">
        <f t="shared" si="1"/>
        <v>2.364367596899225E-2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8"/>
        <v>0</v>
      </c>
      <c r="C17" s="1">
        <f t="shared" si="3"/>
        <v>0</v>
      </c>
      <c r="D17" s="1">
        <f t="shared" si="8"/>
        <v>8.855600775193806E-2</v>
      </c>
      <c r="E17">
        <v>59.27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1"/>
        <v>0.62670034978624167</v>
      </c>
      <c r="Q17" s="1">
        <f t="shared" si="12"/>
        <v>0.85519999999999996</v>
      </c>
      <c r="R17" s="1">
        <f t="shared" si="13"/>
        <v>50.664318467592452</v>
      </c>
      <c r="S17" s="1">
        <f t="shared" si="14"/>
        <v>41.846025203789331</v>
      </c>
      <c r="T17" s="1">
        <f t="shared" si="15"/>
        <v>48.964379685380742</v>
      </c>
      <c r="U17" s="1" t="str">
        <f t="shared" si="16"/>
        <v>sell to the Grid</v>
      </c>
      <c r="W17" s="1">
        <f t="shared" si="17"/>
        <v>5.0687704000000007E-2</v>
      </c>
      <c r="Y17" s="1">
        <f t="shared" si="1"/>
        <v>2.364367596899225E-2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8"/>
        <v>0</v>
      </c>
      <c r="C18" s="1">
        <f t="shared" si="3"/>
        <v>0</v>
      </c>
      <c r="D18" s="1">
        <f t="shared" si="8"/>
        <v>8.855600775193806E-2</v>
      </c>
      <c r="E18">
        <v>59.27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1"/>
        <v>0.62670034978624167</v>
      </c>
      <c r="Q18" s="1">
        <f t="shared" si="12"/>
        <v>0.50959999999999994</v>
      </c>
      <c r="R18" s="1">
        <f t="shared" si="13"/>
        <v>30.180606467592444</v>
      </c>
      <c r="S18" s="1">
        <f t="shared" si="14"/>
        <v>21.362313203789324</v>
      </c>
      <c r="T18" s="1">
        <f t="shared" si="15"/>
        <v>41.984561126312826</v>
      </c>
      <c r="U18" s="1" t="str">
        <f t="shared" si="16"/>
        <v>sell to the Grid</v>
      </c>
      <c r="W18" s="1">
        <f t="shared" si="17"/>
        <v>3.0203991999999999E-2</v>
      </c>
      <c r="Y18" s="1">
        <f t="shared" si="1"/>
        <v>2.364367596899225E-2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8"/>
        <v>0</v>
      </c>
      <c r="C19" s="1">
        <f t="shared" si="3"/>
        <v>0</v>
      </c>
      <c r="D19" s="1">
        <f t="shared" si="8"/>
        <v>8.855600775193806E-2</v>
      </c>
      <c r="E19">
        <v>59.27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19">IF(D19+M19&gt;0,"discharge","buy from the Grid")</f>
        <v>buy from the Grid</v>
      </c>
      <c r="X19" s="1">
        <f t="shared" ref="X19:X35" si="20">(M19*E19)/1000</f>
        <v>-2.1310367689922487E-2</v>
      </c>
      <c r="Y19" s="1">
        <f t="shared" si="1"/>
        <v>3.9660359689922479E-2</v>
      </c>
      <c r="AA19" s="1">
        <f t="shared" si="6"/>
        <v>0.67294225882073277</v>
      </c>
      <c r="AC19" s="1">
        <f t="shared" ref="AC19:AC35" si="21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8"/>
        <v>0</v>
      </c>
      <c r="C20" s="1">
        <f t="shared" si="3"/>
        <v>0</v>
      </c>
      <c r="D20" s="1">
        <f t="shared" si="8"/>
        <v>8.855600775193806E-2</v>
      </c>
      <c r="E20">
        <v>59.27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19"/>
        <v>buy from the Grid</v>
      </c>
      <c r="X20" s="1">
        <f t="shared" si="20"/>
        <v>-3.7190684465116287E-2</v>
      </c>
      <c r="Y20" s="1">
        <f t="shared" si="1"/>
        <v>3.8897660465116286E-2</v>
      </c>
      <c r="AA20" s="1">
        <f t="shared" si="6"/>
        <v>4.5463189053290831E-2</v>
      </c>
      <c r="AC20" s="1">
        <f t="shared" si="21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8"/>
        <v>0</v>
      </c>
      <c r="C21" s="1">
        <f t="shared" si="3"/>
        <v>0</v>
      </c>
      <c r="D21" s="1">
        <f t="shared" si="8"/>
        <v>8.855600775193806E-2</v>
      </c>
      <c r="E21">
        <v>59.27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19"/>
        <v>buy from the Grid</v>
      </c>
      <c r="X21" s="1">
        <f t="shared" si="20"/>
        <v>-3.9660359689922479E-2</v>
      </c>
      <c r="Y21" s="1">
        <f t="shared" si="1"/>
        <v>3.9660359689922479E-2</v>
      </c>
      <c r="AA21" s="1">
        <f t="shared" si="6"/>
        <v>-0.6236840977684146</v>
      </c>
      <c r="AC21" s="1">
        <f t="shared" si="21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8"/>
        <v>0</v>
      </c>
      <c r="C22" s="1">
        <f t="shared" si="3"/>
        <v>0</v>
      </c>
      <c r="D22" s="1">
        <f t="shared" si="8"/>
        <v>8.855600775193806E-2</v>
      </c>
      <c r="E22">
        <v>59.27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19"/>
        <v>buy from the Grid</v>
      </c>
      <c r="X22" s="1">
        <f t="shared" si="20"/>
        <v>-3.9660359689922479E-2</v>
      </c>
      <c r="Y22" s="1">
        <f t="shared" si="1"/>
        <v>3.9660359689922479E-2</v>
      </c>
      <c r="AA22" s="1">
        <f t="shared" si="6"/>
        <v>-1.29283138459012</v>
      </c>
      <c r="AC22" s="1">
        <f t="shared" si="21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8"/>
        <v>0</v>
      </c>
      <c r="C23" s="1">
        <f t="shared" si="3"/>
        <v>0</v>
      </c>
      <c r="D23" s="1">
        <f t="shared" si="8"/>
        <v>8.855600775193806E-2</v>
      </c>
      <c r="E23">
        <v>59.27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19"/>
        <v>buy from the Grid</v>
      </c>
      <c r="X23" s="1">
        <f t="shared" si="20"/>
        <v>-2.364367596899225E-2</v>
      </c>
      <c r="Y23" s="1">
        <f t="shared" si="1"/>
        <v>2.364367596899225E-2</v>
      </c>
      <c r="AA23" s="1">
        <f t="shared" si="6"/>
        <v>-1.6917461132722906</v>
      </c>
      <c r="AC23" s="1">
        <f t="shared" si="21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8"/>
        <v>0</v>
      </c>
      <c r="C24" s="1">
        <f t="shared" si="3"/>
        <v>0</v>
      </c>
      <c r="D24" s="1">
        <f t="shared" si="8"/>
        <v>8.855600775193806E-2</v>
      </c>
      <c r="E24">
        <v>59.27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19"/>
        <v>buy from the Grid</v>
      </c>
      <c r="X24" s="1">
        <f t="shared" si="20"/>
        <v>-2.364367596899225E-2</v>
      </c>
      <c r="Y24" s="1">
        <f t="shared" si="1"/>
        <v>2.364367596899225E-2</v>
      </c>
      <c r="AA24" s="1">
        <f t="shared" si="6"/>
        <v>-2.0906608419544614</v>
      </c>
      <c r="AC24" s="1">
        <f t="shared" si="21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8"/>
        <v>0</v>
      </c>
      <c r="C25" s="1">
        <f t="shared" si="3"/>
        <v>0</v>
      </c>
      <c r="D25" s="1">
        <f t="shared" si="8"/>
        <v>8.855600775193806E-2</v>
      </c>
      <c r="E25">
        <v>59.27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19"/>
        <v>buy from the Grid</v>
      </c>
      <c r="X25" s="1">
        <f t="shared" si="20"/>
        <v>-2.364367596899225E-2</v>
      </c>
      <c r="Y25" s="1">
        <f t="shared" si="1"/>
        <v>2.364367596899225E-2</v>
      </c>
      <c r="AA25" s="1">
        <f t="shared" si="6"/>
        <v>-2.489575570636632</v>
      </c>
      <c r="AC25" s="1">
        <f t="shared" si="21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8"/>
        <v>0</v>
      </c>
      <c r="C26" s="1">
        <f t="shared" si="3"/>
        <v>0</v>
      </c>
      <c r="D26" s="1">
        <f t="shared" si="8"/>
        <v>8.855600775193806E-2</v>
      </c>
      <c r="E26">
        <v>59.27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19"/>
        <v>buy from the Grid</v>
      </c>
      <c r="X26" s="1">
        <f t="shared" si="20"/>
        <v>-1.754208217054264E-2</v>
      </c>
      <c r="Y26" s="1">
        <f t="shared" si="1"/>
        <v>1.754208217054264E-2</v>
      </c>
      <c r="AA26" s="1">
        <f t="shared" si="6"/>
        <v>-2.7855445628846942</v>
      </c>
      <c r="AC26" s="1">
        <f t="shared" si="21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8"/>
        <v>0</v>
      </c>
      <c r="C27" s="1">
        <f t="shared" si="3"/>
        <v>0</v>
      </c>
      <c r="D27" s="1">
        <f t="shared" si="8"/>
        <v>8.855600775193806E-2</v>
      </c>
      <c r="E27">
        <v>59.27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19"/>
        <v>buy from the Grid</v>
      </c>
      <c r="X27" s="1">
        <f t="shared" si="20"/>
        <v>-1.754208217054264E-2</v>
      </c>
      <c r="Y27" s="1">
        <f t="shared" si="1"/>
        <v>1.754208217054264E-2</v>
      </c>
      <c r="AA27" s="1">
        <f t="shared" si="6"/>
        <v>-3.0815135551327564</v>
      </c>
      <c r="AC27" s="1">
        <f t="shared" si="21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8"/>
        <v>0</v>
      </c>
      <c r="C28" s="1">
        <f t="shared" si="3"/>
        <v>0</v>
      </c>
      <c r="D28" s="1">
        <f t="shared" si="8"/>
        <v>8.855600775193806E-2</v>
      </c>
      <c r="E28">
        <v>59.27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19"/>
        <v>buy from the Grid</v>
      </c>
      <c r="X28" s="1">
        <f t="shared" si="20"/>
        <v>-1.754208217054264E-2</v>
      </c>
      <c r="Y28" s="1">
        <f t="shared" si="1"/>
        <v>1.754208217054264E-2</v>
      </c>
      <c r="AA28" s="1">
        <f t="shared" si="6"/>
        <v>-3.3774825473808185</v>
      </c>
      <c r="AC28" s="1">
        <f t="shared" si="21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8"/>
        <v>0</v>
      </c>
      <c r="C29" s="1">
        <f t="shared" si="3"/>
        <v>0</v>
      </c>
      <c r="D29" s="1">
        <f t="shared" si="8"/>
        <v>8.855600775193806E-2</v>
      </c>
      <c r="E29">
        <v>59.27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19"/>
        <v>buy from the Grid</v>
      </c>
      <c r="X29" s="1">
        <f t="shared" si="20"/>
        <v>-1.754208217054264E-2</v>
      </c>
      <c r="Y29" s="1">
        <f t="shared" si="1"/>
        <v>1.754208217054264E-2</v>
      </c>
      <c r="AA29" s="1">
        <f t="shared" si="6"/>
        <v>-3.6734515396288807</v>
      </c>
      <c r="AC29" s="1">
        <f t="shared" si="21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8"/>
        <v>0</v>
      </c>
      <c r="C30" s="1">
        <f t="shared" si="3"/>
        <v>0</v>
      </c>
      <c r="D30" s="1">
        <f t="shared" si="8"/>
        <v>8.855600775193806E-2</v>
      </c>
      <c r="E30">
        <v>59.27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19"/>
        <v>buy from the Grid</v>
      </c>
      <c r="X30" s="1">
        <f t="shared" si="20"/>
        <v>-1.754208217054264E-2</v>
      </c>
      <c r="Y30" s="1">
        <f t="shared" si="1"/>
        <v>1.754208217054264E-2</v>
      </c>
      <c r="AA30" s="1">
        <f t="shared" si="6"/>
        <v>-3.9694205318769429</v>
      </c>
      <c r="AC30" s="1">
        <f t="shared" si="21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8"/>
        <v>0</v>
      </c>
      <c r="C31" s="1">
        <f t="shared" si="3"/>
        <v>0</v>
      </c>
      <c r="D31" s="1">
        <f t="shared" si="8"/>
        <v>8.855600775193806E-2</v>
      </c>
      <c r="E31">
        <v>59.27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19"/>
        <v>buy from the Grid</v>
      </c>
      <c r="X31" s="1">
        <f t="shared" si="20"/>
        <v>-2.364367596899225E-2</v>
      </c>
      <c r="Y31" s="1">
        <f t="shared" si="1"/>
        <v>2.364367596899225E-2</v>
      </c>
      <c r="AA31" s="1">
        <f t="shared" si="6"/>
        <v>-4.3683352605591139</v>
      </c>
      <c r="AC31" s="1">
        <f t="shared" si="21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8"/>
        <v>0</v>
      </c>
      <c r="C32" s="1">
        <f t="shared" si="3"/>
        <v>0</v>
      </c>
      <c r="D32" s="1">
        <f t="shared" si="8"/>
        <v>8.855600775193806E-2</v>
      </c>
      <c r="E32">
        <v>59.27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19"/>
        <v>buy from the Grid</v>
      </c>
      <c r="X32" s="1">
        <f t="shared" si="20"/>
        <v>-3.7526639689922481E-2</v>
      </c>
      <c r="Y32" s="1">
        <f t="shared" si="1"/>
        <v>3.9660359689922479E-2</v>
      </c>
      <c r="AA32" s="1">
        <f t="shared" si="6"/>
        <v>-5.0014825473808191</v>
      </c>
      <c r="AC32" s="1">
        <f t="shared" si="21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8"/>
        <v>0</v>
      </c>
      <c r="C33" s="1">
        <f t="shared" si="3"/>
        <v>0</v>
      </c>
      <c r="D33" s="1">
        <f t="shared" si="8"/>
        <v>8.855600775193806E-2</v>
      </c>
      <c r="E33">
        <v>59.27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19"/>
        <v>buy from the Grid</v>
      </c>
      <c r="X33" s="1">
        <f t="shared" si="20"/>
        <v>-3.4630220465116289E-2</v>
      </c>
      <c r="Y33" s="1">
        <f t="shared" si="1"/>
        <v>3.8897660465116286E-2</v>
      </c>
      <c r="AA33" s="1">
        <f t="shared" si="6"/>
        <v>-5.5857616171482611</v>
      </c>
      <c r="AC33" s="1">
        <f t="shared" si="21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8"/>
        <v>0</v>
      </c>
      <c r="C34" s="1">
        <f t="shared" si="3"/>
        <v>0</v>
      </c>
      <c r="D34" s="1">
        <f t="shared" si="8"/>
        <v>8.855600775193806E-2</v>
      </c>
      <c r="E34">
        <v>59.27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19"/>
        <v>buy from the Grid</v>
      </c>
      <c r="X34" s="1">
        <f t="shared" si="20"/>
        <v>-3.249650046511629E-2</v>
      </c>
      <c r="Y34" s="1">
        <f t="shared" si="1"/>
        <v>3.8897660465116286E-2</v>
      </c>
      <c r="AA34" s="1">
        <f t="shared" si="6"/>
        <v>-6.1340406869157036</v>
      </c>
      <c r="AC34" s="1">
        <f t="shared" si="21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8"/>
        <v>0</v>
      </c>
      <c r="C35" s="1">
        <f t="shared" si="3"/>
        <v>0</v>
      </c>
      <c r="D35" s="1">
        <f t="shared" si="8"/>
        <v>8.855600775193806E-2</v>
      </c>
      <c r="E35">
        <v>59.27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19"/>
        <v>buy from the Grid</v>
      </c>
      <c r="X35" s="1">
        <f t="shared" si="20"/>
        <v>-1.3083189767621281E-2</v>
      </c>
      <c r="Y35" s="1">
        <f t="shared" si="1"/>
        <v>2.364367596899225E-2</v>
      </c>
      <c r="AA35" s="1">
        <f t="shared" si="6"/>
        <v>-6.3547795053334744</v>
      </c>
      <c r="AC35" s="1">
        <f t="shared" si="21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8"/>
        <v>0</v>
      </c>
      <c r="C36" s="1">
        <f t="shared" si="3"/>
        <v>0</v>
      </c>
      <c r="D36" s="1">
        <f t="shared" si="8"/>
        <v>8.855600775193806E-2</v>
      </c>
      <c r="E36">
        <v>59.27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2">0.25/L36</f>
        <v>0.62670034978624167</v>
      </c>
      <c r="Q36" s="1">
        <f t="shared" ref="Q36:Q42" si="23">K36-P36*L36</f>
        <v>0.35861301522300082</v>
      </c>
      <c r="R36" s="1">
        <f t="shared" ref="R36:R42" si="24">((1/(E36+0.01))*LN(0.25))+(E36*(K36-0.25))</f>
        <v>21.231607879859705</v>
      </c>
      <c r="S36" s="1">
        <f t="shared" ref="S36:S42" si="25">((1/(E36+0.01))*LN(L36))+(E36*(K36-L36))</f>
        <v>12.413314616056587</v>
      </c>
      <c r="T36" s="1">
        <f t="shared" ref="T36:T42" si="26">(S36+((S36^2)-4*(K36-L36*P36)*LN(L36*P36))^(0.5))/(2*(K36-L36*P36))</f>
        <v>34.726111138912799</v>
      </c>
      <c r="U36" s="1" t="str">
        <f t="shared" ref="U36:U42" si="27">IF(E36&gt;=T36*1.1,"sell to the Grid","charge")</f>
        <v>sell to the Grid</v>
      </c>
      <c r="W36" s="1">
        <f t="shared" ref="W36:W42" si="28">(Q36*E36)/1000</f>
        <v>2.1254993412267262E-2</v>
      </c>
      <c r="Y36" s="1">
        <f t="shared" si="1"/>
        <v>2.364367596899225E-2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8"/>
        <v>0</v>
      </c>
      <c r="C37" s="1">
        <f t="shared" si="3"/>
        <v>0</v>
      </c>
      <c r="D37" s="1">
        <f t="shared" si="8"/>
        <v>8.855600775193806E-2</v>
      </c>
      <c r="E37">
        <v>59.27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2"/>
        <v>0.62670034978624167</v>
      </c>
      <c r="Q37" s="1">
        <f t="shared" si="23"/>
        <v>0.8263999999999998</v>
      </c>
      <c r="R37" s="1">
        <f t="shared" si="24"/>
        <v>48.95734246759244</v>
      </c>
      <c r="S37" s="1">
        <f t="shared" si="25"/>
        <v>40.13904920378932</v>
      </c>
      <c r="T37" s="1">
        <f t="shared" si="26"/>
        <v>48.605482286774539</v>
      </c>
      <c r="U37" s="1" t="str">
        <f t="shared" si="27"/>
        <v>sell to the Grid</v>
      </c>
      <c r="W37" s="1">
        <f t="shared" si="28"/>
        <v>4.8980727999999994E-2</v>
      </c>
      <c r="Y37" s="1">
        <f t="shared" si="1"/>
        <v>2.364367596899225E-2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8"/>
        <v>0</v>
      </c>
      <c r="C38" s="1">
        <f t="shared" si="3"/>
        <v>0</v>
      </c>
      <c r="D38" s="1">
        <f t="shared" si="8"/>
        <v>8.855600775193806E-2</v>
      </c>
      <c r="E38">
        <v>59.27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2"/>
        <v>0.62670034978624167</v>
      </c>
      <c r="Q38" s="1">
        <f t="shared" si="23"/>
        <v>1.3916000000000002</v>
      </c>
      <c r="R38" s="1">
        <f t="shared" si="24"/>
        <v>82.456746467592453</v>
      </c>
      <c r="S38" s="1">
        <f t="shared" si="25"/>
        <v>73.638453203789339</v>
      </c>
      <c r="T38" s="1">
        <f t="shared" si="26"/>
        <v>52.935212499391028</v>
      </c>
      <c r="U38" s="1" t="str">
        <f t="shared" si="27"/>
        <v>sell to the Grid</v>
      </c>
      <c r="W38" s="1">
        <f t="shared" si="28"/>
        <v>8.2480132000000012E-2</v>
      </c>
      <c r="Y38" s="1">
        <f t="shared" si="1"/>
        <v>2.364367596899225E-2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8"/>
        <v>0</v>
      </c>
      <c r="C39" s="1">
        <f t="shared" si="3"/>
        <v>0</v>
      </c>
      <c r="D39" s="1">
        <f t="shared" si="8"/>
        <v>8.855600775193806E-2</v>
      </c>
      <c r="E39">
        <v>59.27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2"/>
        <v>0.62670034978624167</v>
      </c>
      <c r="Q39" s="1">
        <f t="shared" si="23"/>
        <v>1.5247999999999999</v>
      </c>
      <c r="R39" s="1">
        <f t="shared" si="24"/>
        <v>90.351510467592448</v>
      </c>
      <c r="S39" s="1">
        <f t="shared" si="25"/>
        <v>81.53321720378932</v>
      </c>
      <c r="T39" s="1">
        <f t="shared" si="26"/>
        <v>53.488414782456992</v>
      </c>
      <c r="U39" s="1" t="str">
        <f t="shared" si="27"/>
        <v>sell to the Grid</v>
      </c>
      <c r="W39" s="1">
        <f t="shared" si="28"/>
        <v>9.037489600000001E-2</v>
      </c>
      <c r="Y39" s="1">
        <f t="shared" si="1"/>
        <v>2.364367596899225E-2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8"/>
        <v>0</v>
      </c>
      <c r="C40" s="1">
        <f t="shared" si="3"/>
        <v>0</v>
      </c>
      <c r="D40" s="1">
        <f t="shared" si="8"/>
        <v>8.855600775193806E-2</v>
      </c>
      <c r="E40">
        <v>59.27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2"/>
        <v>0.62670034978624167</v>
      </c>
      <c r="Q40" s="1">
        <f t="shared" si="23"/>
        <v>1.4096</v>
      </c>
      <c r="R40" s="1">
        <f t="shared" si="24"/>
        <v>83.523606467592444</v>
      </c>
      <c r="S40" s="1">
        <f t="shared" si="25"/>
        <v>74.705313203789331</v>
      </c>
      <c r="T40" s="1">
        <f t="shared" si="26"/>
        <v>53.016076737657748</v>
      </c>
      <c r="U40" s="1" t="str">
        <f t="shared" si="27"/>
        <v>sell to the Grid</v>
      </c>
      <c r="W40" s="1">
        <f t="shared" si="28"/>
        <v>8.3546992E-2</v>
      </c>
      <c r="Y40" s="1">
        <f t="shared" si="1"/>
        <v>2.364367596899225E-2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8"/>
        <v>0</v>
      </c>
      <c r="C41" s="1">
        <f t="shared" si="3"/>
        <v>0</v>
      </c>
      <c r="D41" s="1">
        <f t="shared" si="8"/>
        <v>8.855600775193806E-2</v>
      </c>
      <c r="E41">
        <v>59.27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2"/>
        <v>0.62670034978624167</v>
      </c>
      <c r="Q41" s="1">
        <f t="shared" si="23"/>
        <v>1.1612</v>
      </c>
      <c r="R41" s="1">
        <f t="shared" si="24"/>
        <v>68.800938467592445</v>
      </c>
      <c r="S41" s="1">
        <f t="shared" si="25"/>
        <v>59.982645203789332</v>
      </c>
      <c r="T41" s="1">
        <f t="shared" si="26"/>
        <v>51.678841187200618</v>
      </c>
      <c r="U41" s="1" t="str">
        <f t="shared" si="27"/>
        <v>sell to the Grid</v>
      </c>
      <c r="W41" s="1">
        <f t="shared" si="28"/>
        <v>6.8824324000000006E-2</v>
      </c>
      <c r="Y41" s="1">
        <f t="shared" si="1"/>
        <v>2.364367596899225E-2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8"/>
        <v>0</v>
      </c>
      <c r="C42" s="1">
        <f t="shared" si="3"/>
        <v>0</v>
      </c>
      <c r="D42" s="1">
        <f t="shared" si="8"/>
        <v>8.855600775193806E-2</v>
      </c>
      <c r="E42">
        <v>59.27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2"/>
        <v>0.62670034978624167</v>
      </c>
      <c r="Q42" s="1">
        <f t="shared" si="23"/>
        <v>0.8335999999999999</v>
      </c>
      <c r="R42" s="1">
        <f t="shared" si="24"/>
        <v>49.384086467592446</v>
      </c>
      <c r="S42" s="1">
        <f t="shared" si="25"/>
        <v>40.565793203789326</v>
      </c>
      <c r="T42" s="1">
        <f t="shared" si="26"/>
        <v>48.697529571952359</v>
      </c>
      <c r="U42" s="1" t="str">
        <f t="shared" si="27"/>
        <v>sell to the Grid</v>
      </c>
      <c r="W42" s="1">
        <f t="shared" si="28"/>
        <v>4.9407472000000001E-2</v>
      </c>
      <c r="Y42" s="1">
        <f t="shared" si="1"/>
        <v>2.364367596899225E-2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8"/>
        <v>0</v>
      </c>
      <c r="C43" s="1">
        <f t="shared" si="3"/>
        <v>0</v>
      </c>
      <c r="D43" s="1">
        <f t="shared" si="8"/>
        <v>8.855600775193806E-2</v>
      </c>
      <c r="E43">
        <v>59.27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29">IF(D43+M43&gt;0,"discharge","buy from the Grid")</f>
        <v>buy from the Grid</v>
      </c>
      <c r="X43" s="1">
        <f t="shared" ref="X43:X58" si="30">(M43*E43)/1000</f>
        <v>-7.6545596899224794E-3</v>
      </c>
      <c r="Y43" s="1">
        <f t="shared" si="1"/>
        <v>3.9660359689922479E-2</v>
      </c>
      <c r="AA43" s="1">
        <f t="shared" si="6"/>
        <v>-2.0516877707372982E-2</v>
      </c>
      <c r="AC43" s="1">
        <f t="shared" ref="AC43:AC58" si="31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8"/>
        <v>0</v>
      </c>
      <c r="C44" s="1">
        <f t="shared" si="3"/>
        <v>0</v>
      </c>
      <c r="D44" s="1">
        <f t="shared" si="8"/>
        <v>8.855600775193806E-2</v>
      </c>
      <c r="E44">
        <v>59.27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29"/>
        <v>buy from the Grid</v>
      </c>
      <c r="X44" s="1">
        <f t="shared" si="30"/>
        <v>-3.1552223689922484E-2</v>
      </c>
      <c r="Y44" s="1">
        <f t="shared" si="1"/>
        <v>3.9660359689922479E-2</v>
      </c>
      <c r="AA44" s="1">
        <f t="shared" si="6"/>
        <v>-0.55286416452907838</v>
      </c>
      <c r="AC44" s="1">
        <f t="shared" si="31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8"/>
        <v>0</v>
      </c>
      <c r="C45" s="1">
        <f t="shared" si="3"/>
        <v>0</v>
      </c>
      <c r="D45" s="1">
        <f t="shared" si="8"/>
        <v>8.855600775193806E-2</v>
      </c>
      <c r="E45">
        <v>59.27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29"/>
        <v>buy from the Grid</v>
      </c>
      <c r="X45" s="1">
        <f t="shared" si="30"/>
        <v>-3.8897660465116286E-2</v>
      </c>
      <c r="Y45" s="1">
        <f t="shared" si="1"/>
        <v>3.8897660465116286E-2</v>
      </c>
      <c r="AA45" s="1">
        <f t="shared" si="6"/>
        <v>-1.2091432342965205</v>
      </c>
      <c r="AC45" s="1">
        <f t="shared" si="31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8"/>
        <v>0</v>
      </c>
      <c r="C46" s="1">
        <f t="shared" si="3"/>
        <v>0</v>
      </c>
      <c r="D46" s="1">
        <f t="shared" si="8"/>
        <v>8.855600775193806E-2</v>
      </c>
      <c r="E46">
        <v>59.27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29"/>
        <v>buy from the Grid</v>
      </c>
      <c r="X46" s="1">
        <f t="shared" si="30"/>
        <v>-3.9660359689922479E-2</v>
      </c>
      <c r="Y46" s="1">
        <f t="shared" si="1"/>
        <v>3.9660359689922479E-2</v>
      </c>
      <c r="AA46" s="1">
        <f t="shared" si="6"/>
        <v>-1.8782905211182259</v>
      </c>
      <c r="AC46" s="1">
        <f t="shared" si="31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8"/>
        <v>0</v>
      </c>
      <c r="C47" s="1">
        <f t="shared" si="3"/>
        <v>0</v>
      </c>
      <c r="D47" s="1">
        <f t="shared" si="8"/>
        <v>8.855600775193806E-2</v>
      </c>
      <c r="E47">
        <v>59.27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29"/>
        <v>buy from the Grid</v>
      </c>
      <c r="X47" s="1">
        <f t="shared" si="30"/>
        <v>-2.364367596899225E-2</v>
      </c>
      <c r="Y47" s="1">
        <f t="shared" si="1"/>
        <v>2.364367596899225E-2</v>
      </c>
      <c r="AA47" s="1">
        <f t="shared" si="6"/>
        <v>-2.2772052498003967</v>
      </c>
      <c r="AC47" s="1">
        <f t="shared" si="31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8"/>
        <v>0</v>
      </c>
      <c r="C48" s="1">
        <f t="shared" si="3"/>
        <v>0</v>
      </c>
      <c r="D48" s="1">
        <f t="shared" si="8"/>
        <v>8.855600775193806E-2</v>
      </c>
      <c r="E48">
        <v>59.27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29"/>
        <v>buy from the Grid</v>
      </c>
      <c r="X48" s="1">
        <f t="shared" si="30"/>
        <v>-2.364367596899225E-2</v>
      </c>
      <c r="Y48" s="1">
        <f t="shared" si="1"/>
        <v>2.364367596899225E-2</v>
      </c>
      <c r="AA48" s="1">
        <f t="shared" si="6"/>
        <v>-2.6761199784825673</v>
      </c>
      <c r="AC48" s="1">
        <f t="shared" si="31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8"/>
        <v>0</v>
      </c>
      <c r="C49" s="1">
        <f t="shared" si="3"/>
        <v>0</v>
      </c>
      <c r="D49" s="1">
        <f t="shared" si="8"/>
        <v>8.855600775193806E-2</v>
      </c>
      <c r="E49">
        <v>59.27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29"/>
        <v>buy from the Grid</v>
      </c>
      <c r="X49" s="1">
        <f t="shared" si="30"/>
        <v>-2.364367596899225E-2</v>
      </c>
      <c r="Y49" s="1">
        <f t="shared" si="1"/>
        <v>2.364367596899225E-2</v>
      </c>
      <c r="AA49" s="1">
        <f t="shared" si="6"/>
        <v>-3.0750347071647379</v>
      </c>
      <c r="AC49" s="1">
        <f t="shared" si="31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8"/>
        <v>0</v>
      </c>
      <c r="C50" s="1">
        <f t="shared" si="3"/>
        <v>0</v>
      </c>
      <c r="D50" s="1">
        <f t="shared" si="8"/>
        <v>8.855600775193806E-2</v>
      </c>
      <c r="E50">
        <v>59.27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29"/>
        <v>buy from the Grid</v>
      </c>
      <c r="X50" s="1">
        <f t="shared" si="30"/>
        <v>-1.754208217054264E-2</v>
      </c>
      <c r="Y50" s="1">
        <f t="shared" si="1"/>
        <v>1.754208217054264E-2</v>
      </c>
      <c r="AA50" s="1">
        <f t="shared" si="6"/>
        <v>-3.3710036994128001</v>
      </c>
      <c r="AC50" s="1">
        <f t="shared" si="31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8"/>
        <v>0</v>
      </c>
      <c r="C51" s="1">
        <f t="shared" si="3"/>
        <v>0</v>
      </c>
      <c r="D51" s="1">
        <f t="shared" si="8"/>
        <v>8.855600775193806E-2</v>
      </c>
      <c r="E51">
        <v>59.27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29"/>
        <v>buy from the Grid</v>
      </c>
      <c r="X51" s="1">
        <f t="shared" si="30"/>
        <v>-1.754208217054264E-2</v>
      </c>
      <c r="Y51" s="1">
        <f t="shared" si="1"/>
        <v>1.754208217054264E-2</v>
      </c>
      <c r="AA51" s="1">
        <f t="shared" si="6"/>
        <v>-3.6669726916608623</v>
      </c>
      <c r="AC51" s="1">
        <f t="shared" si="31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8"/>
        <v>0</v>
      </c>
      <c r="C52" s="1">
        <f t="shared" si="3"/>
        <v>0</v>
      </c>
      <c r="D52" s="1">
        <f t="shared" si="8"/>
        <v>8.855600775193806E-2</v>
      </c>
      <c r="E52">
        <v>59.27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29"/>
        <v>buy from the Grid</v>
      </c>
      <c r="X52" s="1">
        <f t="shared" si="30"/>
        <v>-1.754208217054264E-2</v>
      </c>
      <c r="Y52" s="1">
        <f t="shared" si="1"/>
        <v>1.754208217054264E-2</v>
      </c>
      <c r="AA52" s="1">
        <f t="shared" si="6"/>
        <v>-3.9629416839089244</v>
      </c>
      <c r="AC52" s="1">
        <f t="shared" si="31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8"/>
        <v>0</v>
      </c>
      <c r="C53" s="1">
        <f t="shared" si="3"/>
        <v>0</v>
      </c>
      <c r="D53" s="1">
        <f t="shared" si="8"/>
        <v>8.855600775193806E-2</v>
      </c>
      <c r="E53">
        <v>59.27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29"/>
        <v>buy from the Grid</v>
      </c>
      <c r="X53" s="1">
        <f t="shared" si="30"/>
        <v>-1.754208217054264E-2</v>
      </c>
      <c r="Y53" s="1">
        <f t="shared" si="1"/>
        <v>1.754208217054264E-2</v>
      </c>
      <c r="AA53" s="1">
        <f t="shared" si="6"/>
        <v>-4.2589106761569866</v>
      </c>
      <c r="AC53" s="1">
        <f t="shared" si="31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8"/>
        <v>0</v>
      </c>
      <c r="C54" s="1">
        <f t="shared" si="3"/>
        <v>0</v>
      </c>
      <c r="D54" s="1">
        <f t="shared" si="8"/>
        <v>8.855600775193806E-2</v>
      </c>
      <c r="E54">
        <v>59.27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29"/>
        <v>buy from the Grid</v>
      </c>
      <c r="X54" s="1">
        <f t="shared" si="30"/>
        <v>-1.754208217054264E-2</v>
      </c>
      <c r="Y54" s="1">
        <f t="shared" si="1"/>
        <v>1.754208217054264E-2</v>
      </c>
      <c r="AA54" s="1">
        <f t="shared" si="6"/>
        <v>-4.5548796684050483</v>
      </c>
      <c r="AC54" s="1">
        <f t="shared" si="31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8"/>
        <v>0</v>
      </c>
      <c r="C55" s="1">
        <f t="shared" si="3"/>
        <v>0</v>
      </c>
      <c r="D55" s="1">
        <f t="shared" si="8"/>
        <v>8.855600775193806E-2</v>
      </c>
      <c r="E55">
        <v>59.27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29"/>
        <v>buy from the Grid</v>
      </c>
      <c r="X55" s="1">
        <f t="shared" si="30"/>
        <v>-2.364367596899225E-2</v>
      </c>
      <c r="Y55" s="1">
        <f t="shared" si="1"/>
        <v>2.364367596899225E-2</v>
      </c>
      <c r="AA55" s="1">
        <f t="shared" si="6"/>
        <v>-4.9537943970872185</v>
      </c>
      <c r="AC55" s="1">
        <f t="shared" si="31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8"/>
        <v>0</v>
      </c>
      <c r="C56" s="1">
        <f t="shared" si="3"/>
        <v>0</v>
      </c>
      <c r="D56" s="1">
        <f t="shared" si="8"/>
        <v>8.855600775193806E-2</v>
      </c>
      <c r="E56">
        <v>59.27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29"/>
        <v>buy from the Grid</v>
      </c>
      <c r="X56" s="1">
        <f t="shared" si="30"/>
        <v>-3.9660359689922479E-2</v>
      </c>
      <c r="Y56" s="1">
        <f t="shared" si="1"/>
        <v>3.9660359689922479E-2</v>
      </c>
      <c r="AA56" s="1">
        <f t="shared" si="6"/>
        <v>-5.6229416839089241</v>
      </c>
      <c r="AC56" s="1">
        <f t="shared" si="31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8"/>
        <v>0</v>
      </c>
      <c r="C57" s="1">
        <f t="shared" si="3"/>
        <v>0</v>
      </c>
      <c r="D57" s="1">
        <f t="shared" si="8"/>
        <v>8.855600775193806E-2</v>
      </c>
      <c r="E57">
        <v>59.27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29"/>
        <v>buy from the Grid</v>
      </c>
      <c r="X57" s="1">
        <f t="shared" si="30"/>
        <v>-3.8700185689922485E-2</v>
      </c>
      <c r="Y57" s="1">
        <f t="shared" si="1"/>
        <v>3.9660359689922479E-2</v>
      </c>
      <c r="AA57" s="1">
        <f t="shared" si="6"/>
        <v>-6.2758889707306293</v>
      </c>
      <c r="AC57" s="1">
        <f t="shared" si="31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8"/>
        <v>0</v>
      </c>
      <c r="C58" s="1">
        <f t="shared" si="3"/>
        <v>0</v>
      </c>
      <c r="D58" s="1">
        <f t="shared" si="8"/>
        <v>8.855600775193806E-2</v>
      </c>
      <c r="E58">
        <v>59.27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29"/>
        <v>buy from the Grid</v>
      </c>
      <c r="X58" s="1">
        <f t="shared" si="30"/>
        <v>-2.5151063689922482E-2</v>
      </c>
      <c r="Y58" s="1">
        <f t="shared" si="1"/>
        <v>3.9660359689922479E-2</v>
      </c>
      <c r="AA58" s="1">
        <f t="shared" si="6"/>
        <v>-6.7002362575523344</v>
      </c>
      <c r="AC58" s="1">
        <f t="shared" si="31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8"/>
        <v>0</v>
      </c>
      <c r="C59" s="1">
        <f t="shared" si="3"/>
        <v>0</v>
      </c>
      <c r="D59" s="1">
        <f t="shared" si="8"/>
        <v>8.855600775193806E-2</v>
      </c>
      <c r="E59">
        <v>59.27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2">0.25/L59</f>
        <v>0.62670034978624167</v>
      </c>
      <c r="Q59" s="1">
        <f t="shared" ref="Q59:Q67" si="33">K59-P59*L59</f>
        <v>0.50959999999999994</v>
      </c>
      <c r="R59" s="1">
        <f t="shared" ref="R59:R67" si="34">((1/(E59+0.01))*LN(0.25))+(E59*(K59-0.25))</f>
        <v>30.180606467592444</v>
      </c>
      <c r="S59" s="1">
        <f t="shared" ref="S59:S67" si="35">((1/(E59+0.01))*LN(L59))+(E59*(K59-L59))</f>
        <v>21.362313203789324</v>
      </c>
      <c r="T59" s="1">
        <f t="shared" ref="T59:T67" si="36">(S59+((S59^2)-4*(K59-L59*P59)*LN(L59*P59))^(0.5))/(2*(K59-L59*P59))</f>
        <v>41.984561126312826</v>
      </c>
      <c r="U59" s="1" t="str">
        <f t="shared" ref="U59:U67" si="37">IF(E59&gt;=T59*1.1,"sell to the Grid","charge")</f>
        <v>sell to the Grid</v>
      </c>
      <c r="W59" s="1">
        <f>(Q59*E59)/1000</f>
        <v>3.0203991999999999E-2</v>
      </c>
      <c r="Y59" s="1">
        <f t="shared" si="1"/>
        <v>2.364367596899225E-2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8"/>
        <v>0</v>
      </c>
      <c r="C60" s="1">
        <f t="shared" si="3"/>
        <v>0</v>
      </c>
      <c r="D60" s="1">
        <f t="shared" si="8"/>
        <v>8.855600775193806E-2</v>
      </c>
      <c r="E60">
        <v>59.27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2"/>
        <v>0.62670034978624167</v>
      </c>
      <c r="Q60" s="1">
        <f t="shared" si="33"/>
        <v>1.1828000000000001</v>
      </c>
      <c r="R60" s="1">
        <f t="shared" si="34"/>
        <v>70.081170467592443</v>
      </c>
      <c r="S60" s="1">
        <f t="shared" si="35"/>
        <v>61.262877203789337</v>
      </c>
      <c r="T60" s="1">
        <f t="shared" si="36"/>
        <v>51.817408397173388</v>
      </c>
      <c r="U60" s="1" t="str">
        <f t="shared" si="37"/>
        <v>sell to the Grid</v>
      </c>
      <c r="W60" s="1">
        <f>(Q60*E60)/1000</f>
        <v>7.0104555999999998E-2</v>
      </c>
      <c r="Y60" s="1">
        <f t="shared" si="1"/>
        <v>2.364367596899225E-2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8"/>
        <v>1.6616000000000002</v>
      </c>
      <c r="C61" s="1">
        <f t="shared" si="3"/>
        <v>0</v>
      </c>
      <c r="D61" s="1">
        <f t="shared" si="8"/>
        <v>1.4178360077519383</v>
      </c>
      <c r="E61">
        <v>59.27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2"/>
        <v>0.62670034978624167</v>
      </c>
      <c r="Q61" s="1">
        <f t="shared" si="33"/>
        <v>1.6616000000000002</v>
      </c>
      <c r="R61" s="1">
        <f t="shared" si="34"/>
        <v>98.459646467592464</v>
      </c>
      <c r="S61" s="1">
        <f t="shared" si="35"/>
        <v>89.641353203789336</v>
      </c>
      <c r="T61" s="1">
        <f t="shared" si="36"/>
        <v>53.964276791036603</v>
      </c>
      <c r="U61" s="1" t="str">
        <f t="shared" si="37"/>
        <v>charge</v>
      </c>
      <c r="Y61" s="1">
        <f t="shared" si="1"/>
        <v>2.364367596899225E-2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8"/>
        <v>1.9388000000000001</v>
      </c>
      <c r="C62" s="1">
        <f t="shared" si="3"/>
        <v>0</v>
      </c>
      <c r="D62" s="1">
        <f t="shared" si="8"/>
        <v>2.9688760077519385</v>
      </c>
      <c r="E62">
        <v>59.27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2"/>
        <v>0.62670034978624167</v>
      </c>
      <c r="Q62" s="1">
        <f t="shared" si="33"/>
        <v>1.9388000000000001</v>
      </c>
      <c r="R62" s="1">
        <f t="shared" si="34"/>
        <v>114.88929046759245</v>
      </c>
      <c r="S62" s="1">
        <f t="shared" si="35"/>
        <v>106.07099720378933</v>
      </c>
      <c r="T62" s="1">
        <f t="shared" si="36"/>
        <v>54.722679126387447</v>
      </c>
      <c r="U62" s="1" t="str">
        <f t="shared" si="37"/>
        <v>charge</v>
      </c>
      <c r="Y62" s="1">
        <f t="shared" si="1"/>
        <v>2.364367596899225E-2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8"/>
        <v>2.1008</v>
      </c>
      <c r="C63" s="1">
        <f t="shared" si="3"/>
        <v>0</v>
      </c>
      <c r="D63" s="1">
        <f t="shared" si="8"/>
        <v>4.6495160077519389</v>
      </c>
      <c r="E63">
        <v>59.27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2"/>
        <v>0.62670034978624167</v>
      </c>
      <c r="Q63" s="1">
        <f t="shared" si="33"/>
        <v>2.1008</v>
      </c>
      <c r="R63" s="1">
        <f t="shared" si="34"/>
        <v>124.49103046759245</v>
      </c>
      <c r="S63" s="1">
        <f t="shared" si="35"/>
        <v>115.67273720378932</v>
      </c>
      <c r="T63" s="1">
        <f t="shared" si="36"/>
        <v>55.073262102998882</v>
      </c>
      <c r="U63" s="1" t="str">
        <f t="shared" si="37"/>
        <v>charge</v>
      </c>
      <c r="Y63" s="1">
        <f t="shared" si="1"/>
        <v>2.364367596899225E-2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8"/>
        <v>1.9855999999999998</v>
      </c>
      <c r="C64" s="1">
        <f t="shared" si="3"/>
        <v>0</v>
      </c>
      <c r="D64" s="1">
        <f t="shared" si="8"/>
        <v>6.2379960077519385</v>
      </c>
      <c r="E64">
        <v>59.27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2"/>
        <v>0.62670034978624167</v>
      </c>
      <c r="Q64" s="1">
        <f t="shared" si="33"/>
        <v>1.9855999999999998</v>
      </c>
      <c r="R64" s="1">
        <f t="shared" si="34"/>
        <v>117.66312646759243</v>
      </c>
      <c r="S64" s="1">
        <f t="shared" si="35"/>
        <v>108.84483320378932</v>
      </c>
      <c r="T64" s="1">
        <f t="shared" si="36"/>
        <v>54.829833189833543</v>
      </c>
      <c r="U64" s="1" t="str">
        <f t="shared" si="37"/>
        <v>charge</v>
      </c>
      <c r="Y64" s="1">
        <f t="shared" si="1"/>
        <v>2.364367596899225E-2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8"/>
        <v>1.6976</v>
      </c>
      <c r="C65" s="1">
        <f t="shared" si="3"/>
        <v>0</v>
      </c>
      <c r="D65" s="1">
        <f t="shared" si="8"/>
        <v>7.5960760077519387</v>
      </c>
      <c r="E65">
        <v>59.27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2"/>
        <v>0.62670034978624167</v>
      </c>
      <c r="Q65" s="1">
        <f t="shared" si="33"/>
        <v>1.6976</v>
      </c>
      <c r="R65" s="1">
        <f t="shared" si="34"/>
        <v>100.59336646759245</v>
      </c>
      <c r="S65" s="1">
        <f t="shared" si="35"/>
        <v>91.775073203789333</v>
      </c>
      <c r="T65" s="1">
        <f t="shared" si="36"/>
        <v>54.076760650706312</v>
      </c>
      <c r="U65" s="1" t="str">
        <f t="shared" si="37"/>
        <v>charge</v>
      </c>
      <c r="Y65" s="1">
        <f t="shared" si="1"/>
        <v>2.364367596899225E-2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8"/>
        <v>0</v>
      </c>
      <c r="C66" s="1">
        <f t="shared" si="3"/>
        <v>0</v>
      </c>
      <c r="D66" s="1">
        <f t="shared" si="8"/>
        <v>7.5960760077519387</v>
      </c>
      <c r="E66">
        <v>59.27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2"/>
        <v>0.62670034978624167</v>
      </c>
      <c r="Q66" s="1">
        <f t="shared" si="33"/>
        <v>1.2547999999999999</v>
      </c>
      <c r="R66" s="1">
        <f t="shared" si="34"/>
        <v>74.348610467592437</v>
      </c>
      <c r="S66" s="1">
        <f t="shared" si="35"/>
        <v>65.530317203789323</v>
      </c>
      <c r="T66" s="1">
        <f t="shared" si="36"/>
        <v>52.244861143603224</v>
      </c>
      <c r="U66" s="1" t="str">
        <f t="shared" si="37"/>
        <v>sell to the Grid</v>
      </c>
      <c r="W66" s="1">
        <f>(Q66*E66)/1000</f>
        <v>7.4371995999999996E-2</v>
      </c>
      <c r="Y66" s="1">
        <f t="shared" ref="Y66:Y129" si="38">(L66*E66)/1000</f>
        <v>2.364367596899225E-2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8"/>
        <v>0</v>
      </c>
      <c r="C67" s="1">
        <f t="shared" ref="C67:C130" si="39">IF(V66="discharge",M66,0)</f>
        <v>0</v>
      </c>
      <c r="D67" s="1">
        <f t="shared" si="8"/>
        <v>7.5960760077519387</v>
      </c>
      <c r="E67">
        <v>59.27</v>
      </c>
      <c r="K67" s="1">
        <f>'Solar Availability and Gener GR'!F67</f>
        <v>0.9396000000000001</v>
      </c>
      <c r="L67" s="1">
        <v>0.65627906976744199</v>
      </c>
      <c r="M67" s="1">
        <f t="shared" ref="M67:M130" si="40">K67-L67</f>
        <v>0.28332093023255811</v>
      </c>
      <c r="N67" s="1" t="str">
        <f t="shared" ref="N67:N130" si="41">IF(M67&lt;0,"Buy from Grid","sell the surplus or charge")</f>
        <v>sell the surplus or charge</v>
      </c>
      <c r="O67" s="1">
        <v>0.25</v>
      </c>
      <c r="P67" s="1">
        <f t="shared" si="32"/>
        <v>0.38093550673281351</v>
      </c>
      <c r="Q67" s="1">
        <f t="shared" si="33"/>
        <v>0.6896000000000001</v>
      </c>
      <c r="R67" s="1">
        <f t="shared" si="34"/>
        <v>40.84920646759246</v>
      </c>
      <c r="S67" s="1">
        <f t="shared" si="35"/>
        <v>16.785326791812381</v>
      </c>
      <c r="T67" s="1">
        <f t="shared" si="36"/>
        <v>24.422982410600522</v>
      </c>
      <c r="U67" s="1" t="str">
        <f t="shared" si="37"/>
        <v>sell to the Grid</v>
      </c>
      <c r="W67" s="1">
        <f>(Q67*E67)/1000</f>
        <v>4.0872592000000013E-2</v>
      </c>
      <c r="Y67" s="1">
        <f t="shared" si="38"/>
        <v>3.8897660465116286E-2</v>
      </c>
      <c r="AA67" s="1">
        <f t="shared" ref="AA67:AA130" si="42">M67+AA66</f>
        <v>4.7233668432228599</v>
      </c>
      <c r="AD67" s="1">
        <f t="shared" ref="AD67:AD130" si="43">AC67+O67</f>
        <v>0.25</v>
      </c>
    </row>
    <row r="68" spans="1:30" ht="15">
      <c r="A68" s="1">
        <v>67</v>
      </c>
      <c r="B68" s="1">
        <f t="shared" si="18"/>
        <v>0</v>
      </c>
      <c r="C68" s="1">
        <f t="shared" si="39"/>
        <v>0</v>
      </c>
      <c r="D68" s="1">
        <f t="shared" ref="D68:D131" si="44">(D67)+(B68*0.8)+(C68/0.8)</f>
        <v>7.5960760077519387</v>
      </c>
      <c r="E68">
        <v>59.27</v>
      </c>
      <c r="K68" s="1">
        <f>'Solar Availability and Gener GR'!F68</f>
        <v>0.34559999999999996</v>
      </c>
      <c r="L68" s="1">
        <v>0.66914728682170543</v>
      </c>
      <c r="M68" s="1">
        <f t="shared" si="40"/>
        <v>-0.32354728682170547</v>
      </c>
      <c r="N68" s="1" t="str">
        <f t="shared" si="41"/>
        <v>Buy from Grid</v>
      </c>
      <c r="V68" s="1" t="str">
        <f t="shared" ref="V68:V82" si="45">IF(D68+M68&gt;0,"discharge","buy from the Grid")</f>
        <v>discharge</v>
      </c>
      <c r="Y68" s="1">
        <f t="shared" si="38"/>
        <v>3.9660359689922479E-2</v>
      </c>
      <c r="AA68" s="1">
        <f t="shared" si="42"/>
        <v>4.3998195564011544</v>
      </c>
      <c r="AD68" s="1">
        <f t="shared" si="43"/>
        <v>0</v>
      </c>
    </row>
    <row r="69" spans="1:30" ht="15">
      <c r="A69" s="1">
        <v>68</v>
      </c>
      <c r="B69" s="1">
        <f t="shared" si="18"/>
        <v>0</v>
      </c>
      <c r="C69" s="1">
        <f t="shared" si="39"/>
        <v>-0.32354728682170547</v>
      </c>
      <c r="D69" s="1">
        <f t="shared" si="44"/>
        <v>7.1916418992248072</v>
      </c>
      <c r="E69">
        <v>59.27</v>
      </c>
      <c r="K69" s="1">
        <f>'Solar Availability and Gener GR'!F69</f>
        <v>2.8799999999999999E-2</v>
      </c>
      <c r="L69" s="1">
        <v>0.65627906976744199</v>
      </c>
      <c r="M69" s="1">
        <f t="shared" si="40"/>
        <v>-0.62747906976744194</v>
      </c>
      <c r="N69" s="1" t="str">
        <f t="shared" si="41"/>
        <v>Buy from Grid</v>
      </c>
      <c r="V69" s="1" t="str">
        <f t="shared" si="45"/>
        <v>discharge</v>
      </c>
      <c r="Y69" s="1">
        <f t="shared" si="38"/>
        <v>3.8897660465116286E-2</v>
      </c>
      <c r="AA69" s="1">
        <f t="shared" si="42"/>
        <v>3.7723404866337127</v>
      </c>
      <c r="AD69" s="1">
        <f t="shared" si="43"/>
        <v>0</v>
      </c>
    </row>
    <row r="70" spans="1:30" ht="15">
      <c r="A70" s="1">
        <v>69</v>
      </c>
      <c r="B70" s="1">
        <f t="shared" si="18"/>
        <v>0</v>
      </c>
      <c r="C70" s="1">
        <f t="shared" si="39"/>
        <v>-0.62747906976744194</v>
      </c>
      <c r="D70" s="1">
        <f t="shared" si="44"/>
        <v>6.4072930620155049</v>
      </c>
      <c r="E70">
        <v>59.27</v>
      </c>
      <c r="K70" s="1">
        <f>'Solar Availability and Gener GR'!F70</f>
        <v>0</v>
      </c>
      <c r="L70" s="1">
        <v>0.66914728682170543</v>
      </c>
      <c r="M70" s="1">
        <f t="shared" si="40"/>
        <v>-0.66914728682170543</v>
      </c>
      <c r="N70" s="1" t="str">
        <f t="shared" si="41"/>
        <v>Buy from Grid</v>
      </c>
      <c r="V70" s="1" t="str">
        <f t="shared" si="45"/>
        <v>discharge</v>
      </c>
      <c r="Y70" s="1">
        <f t="shared" si="38"/>
        <v>3.9660359689922479E-2</v>
      </c>
      <c r="AA70" s="1">
        <f t="shared" si="42"/>
        <v>3.103193199812007</v>
      </c>
      <c r="AD70" s="1">
        <f t="shared" si="43"/>
        <v>0</v>
      </c>
    </row>
    <row r="71" spans="1:30" ht="15">
      <c r="A71" s="1">
        <v>70</v>
      </c>
      <c r="B71" s="1">
        <f t="shared" si="18"/>
        <v>0</v>
      </c>
      <c r="C71" s="1">
        <f t="shared" si="39"/>
        <v>-0.66914728682170543</v>
      </c>
      <c r="D71" s="1">
        <f t="shared" si="44"/>
        <v>5.570858953488373</v>
      </c>
      <c r="E71">
        <v>59.27</v>
      </c>
      <c r="K71" s="1">
        <f>'Solar Availability and Gener GR'!F71</f>
        <v>0</v>
      </c>
      <c r="L71" s="1">
        <v>0.39891472868217059</v>
      </c>
      <c r="M71" s="1">
        <f t="shared" si="40"/>
        <v>-0.39891472868217059</v>
      </c>
      <c r="N71" s="1" t="str">
        <f t="shared" si="41"/>
        <v>Buy from Grid</v>
      </c>
      <c r="V71" s="1" t="str">
        <f t="shared" si="45"/>
        <v>discharge</v>
      </c>
      <c r="Y71" s="1">
        <f t="shared" si="38"/>
        <v>2.364367596899225E-2</v>
      </c>
      <c r="AA71" s="1">
        <f t="shared" si="42"/>
        <v>2.7042784711298364</v>
      </c>
      <c r="AD71" s="1">
        <f t="shared" si="43"/>
        <v>0</v>
      </c>
    </row>
    <row r="72" spans="1:30" ht="15">
      <c r="A72" s="1">
        <v>71</v>
      </c>
      <c r="B72" s="1">
        <f t="shared" si="18"/>
        <v>0</v>
      </c>
      <c r="C72" s="1">
        <f t="shared" si="39"/>
        <v>-0.39891472868217059</v>
      </c>
      <c r="D72" s="1">
        <f t="shared" si="44"/>
        <v>5.0722155426356599</v>
      </c>
      <c r="E72">
        <v>59.27</v>
      </c>
      <c r="K72" s="1">
        <f>'Solar Availability and Gener GR'!F72</f>
        <v>0</v>
      </c>
      <c r="L72" s="1">
        <v>0.39891472868217059</v>
      </c>
      <c r="M72" s="1">
        <f t="shared" si="40"/>
        <v>-0.39891472868217059</v>
      </c>
      <c r="N72" s="1" t="str">
        <f t="shared" si="41"/>
        <v>Buy from Grid</v>
      </c>
      <c r="V72" s="1" t="str">
        <f t="shared" si="45"/>
        <v>discharge</v>
      </c>
      <c r="Y72" s="1">
        <f t="shared" si="38"/>
        <v>2.364367596899225E-2</v>
      </c>
      <c r="AA72" s="1">
        <f t="shared" si="42"/>
        <v>2.3053637424476658</v>
      </c>
      <c r="AD72" s="1">
        <f t="shared" si="43"/>
        <v>0</v>
      </c>
    </row>
    <row r="73" spans="1:30" ht="15">
      <c r="A73" s="1">
        <v>72</v>
      </c>
      <c r="B73" s="1">
        <f t="shared" si="18"/>
        <v>0</v>
      </c>
      <c r="C73" s="1">
        <f t="shared" si="39"/>
        <v>-0.39891472868217059</v>
      </c>
      <c r="D73" s="1">
        <f t="shared" si="44"/>
        <v>4.5735721317829467</v>
      </c>
      <c r="E73">
        <v>59.27</v>
      </c>
      <c r="K73" s="1">
        <f>'Solar Availability and Gener GR'!F73</f>
        <v>0</v>
      </c>
      <c r="L73" s="1">
        <v>0.39891472868217059</v>
      </c>
      <c r="M73" s="1">
        <f t="shared" si="40"/>
        <v>-0.39891472868217059</v>
      </c>
      <c r="N73" s="1" t="str">
        <f t="shared" si="41"/>
        <v>Buy from Grid</v>
      </c>
      <c r="V73" s="1" t="str">
        <f t="shared" si="45"/>
        <v>discharge</v>
      </c>
      <c r="Y73" s="1">
        <f t="shared" si="38"/>
        <v>2.364367596899225E-2</v>
      </c>
      <c r="AA73" s="1">
        <f t="shared" si="42"/>
        <v>1.9064490137654952</v>
      </c>
      <c r="AD73" s="1">
        <f t="shared" si="43"/>
        <v>0</v>
      </c>
    </row>
    <row r="74" spans="1:30" ht="15">
      <c r="A74" s="1">
        <v>73</v>
      </c>
      <c r="B74" s="1">
        <f t="shared" si="18"/>
        <v>0</v>
      </c>
      <c r="C74" s="1">
        <f t="shared" si="39"/>
        <v>-0.39891472868217059</v>
      </c>
      <c r="D74" s="1">
        <f t="shared" si="44"/>
        <v>4.0749287209302336</v>
      </c>
      <c r="E74">
        <v>59.27</v>
      </c>
      <c r="K74" s="1">
        <f>'Solar Availability and Gener GR'!F74</f>
        <v>0</v>
      </c>
      <c r="L74" s="1">
        <v>0.29596899224806206</v>
      </c>
      <c r="M74" s="1">
        <f t="shared" si="40"/>
        <v>-0.29596899224806206</v>
      </c>
      <c r="N74" s="1" t="str">
        <f t="shared" si="41"/>
        <v>Buy from Grid</v>
      </c>
      <c r="V74" s="1" t="str">
        <f t="shared" si="45"/>
        <v>discharge</v>
      </c>
      <c r="Y74" s="1">
        <f t="shared" si="38"/>
        <v>1.754208217054264E-2</v>
      </c>
      <c r="AA74" s="1">
        <f t="shared" si="42"/>
        <v>1.6104800215174331</v>
      </c>
      <c r="AD74" s="1">
        <f t="shared" si="43"/>
        <v>0</v>
      </c>
    </row>
    <row r="75" spans="1:30" ht="15">
      <c r="A75" s="1">
        <v>74</v>
      </c>
      <c r="B75" s="1">
        <f t="shared" si="18"/>
        <v>0</v>
      </c>
      <c r="C75" s="1">
        <f t="shared" si="39"/>
        <v>-0.29596899224806206</v>
      </c>
      <c r="D75" s="1">
        <f t="shared" si="44"/>
        <v>3.704967480620156</v>
      </c>
      <c r="E75">
        <v>59.27</v>
      </c>
      <c r="K75" s="1">
        <f>'Solar Availability and Gener GR'!F75</f>
        <v>0</v>
      </c>
      <c r="L75" s="1">
        <v>0.29596899224806206</v>
      </c>
      <c r="M75" s="1">
        <f t="shared" si="40"/>
        <v>-0.29596899224806206</v>
      </c>
      <c r="N75" s="1" t="str">
        <f t="shared" si="41"/>
        <v>Buy from Grid</v>
      </c>
      <c r="V75" s="1" t="str">
        <f t="shared" si="45"/>
        <v>discharge</v>
      </c>
      <c r="Y75" s="1">
        <f t="shared" si="38"/>
        <v>1.754208217054264E-2</v>
      </c>
      <c r="AA75" s="1">
        <f t="shared" si="42"/>
        <v>1.3145110292693709</v>
      </c>
      <c r="AD75" s="1">
        <f t="shared" si="43"/>
        <v>0</v>
      </c>
    </row>
    <row r="76" spans="1:30" ht="15">
      <c r="A76" s="1">
        <v>75</v>
      </c>
      <c r="B76" s="1">
        <f t="shared" si="18"/>
        <v>0</v>
      </c>
      <c r="C76" s="1">
        <f t="shared" si="39"/>
        <v>-0.29596899224806206</v>
      </c>
      <c r="D76" s="1">
        <f t="shared" si="44"/>
        <v>3.3350062403100784</v>
      </c>
      <c r="E76">
        <v>59.27</v>
      </c>
      <c r="K76" s="1">
        <f>'Solar Availability and Gener GR'!F76</f>
        <v>0</v>
      </c>
      <c r="L76" s="1">
        <v>0.29596899224806206</v>
      </c>
      <c r="M76" s="1">
        <f t="shared" si="40"/>
        <v>-0.29596899224806206</v>
      </c>
      <c r="N76" s="1" t="str">
        <f t="shared" si="41"/>
        <v>Buy from Grid</v>
      </c>
      <c r="V76" s="1" t="str">
        <f t="shared" si="45"/>
        <v>discharge</v>
      </c>
      <c r="Y76" s="1">
        <f t="shared" si="38"/>
        <v>1.754208217054264E-2</v>
      </c>
      <c r="AA76" s="1">
        <f t="shared" si="42"/>
        <v>1.0185420370213087</v>
      </c>
      <c r="AD76" s="1">
        <f t="shared" si="43"/>
        <v>0</v>
      </c>
    </row>
    <row r="77" spans="1:30" ht="15">
      <c r="A77" s="1">
        <v>76</v>
      </c>
      <c r="B77" s="1">
        <f t="shared" si="18"/>
        <v>0</v>
      </c>
      <c r="C77" s="1">
        <f t="shared" si="39"/>
        <v>-0.29596899224806206</v>
      </c>
      <c r="D77" s="1">
        <f t="shared" si="44"/>
        <v>2.9650450000000008</v>
      </c>
      <c r="E77">
        <v>59.27</v>
      </c>
      <c r="K77" s="1">
        <f>'Solar Availability and Gener GR'!F77</f>
        <v>0</v>
      </c>
      <c r="L77" s="1">
        <v>0.29596899224806206</v>
      </c>
      <c r="M77" s="1">
        <f t="shared" si="40"/>
        <v>-0.29596899224806206</v>
      </c>
      <c r="N77" s="1" t="str">
        <f t="shared" si="41"/>
        <v>Buy from Grid</v>
      </c>
      <c r="V77" s="1" t="str">
        <f t="shared" si="45"/>
        <v>discharge</v>
      </c>
      <c r="Y77" s="1">
        <f t="shared" si="38"/>
        <v>1.754208217054264E-2</v>
      </c>
      <c r="AA77" s="1">
        <f t="shared" si="42"/>
        <v>0.72257304477324669</v>
      </c>
      <c r="AD77" s="1">
        <f t="shared" si="43"/>
        <v>0</v>
      </c>
    </row>
    <row r="78" spans="1:30" ht="15">
      <c r="A78" s="1">
        <v>77</v>
      </c>
      <c r="B78" s="1">
        <f t="shared" si="18"/>
        <v>0</v>
      </c>
      <c r="C78" s="1">
        <f t="shared" si="39"/>
        <v>-0.29596899224806206</v>
      </c>
      <c r="D78" s="1">
        <f t="shared" si="44"/>
        <v>2.5950837596899232</v>
      </c>
      <c r="E78">
        <v>59.27</v>
      </c>
      <c r="K78" s="1">
        <f>'Solar Availability and Gener GR'!F78</f>
        <v>0</v>
      </c>
      <c r="L78" s="1">
        <v>0.29596899224806206</v>
      </c>
      <c r="M78" s="1">
        <f t="shared" si="40"/>
        <v>-0.29596899224806206</v>
      </c>
      <c r="N78" s="1" t="str">
        <f t="shared" si="41"/>
        <v>Buy from Grid</v>
      </c>
      <c r="V78" s="1" t="str">
        <f t="shared" si="45"/>
        <v>discharge</v>
      </c>
      <c r="Y78" s="1">
        <f t="shared" si="38"/>
        <v>1.754208217054264E-2</v>
      </c>
      <c r="AA78" s="1">
        <f t="shared" si="42"/>
        <v>0.42660405252518463</v>
      </c>
      <c r="AD78" s="1">
        <f t="shared" si="43"/>
        <v>0</v>
      </c>
    </row>
    <row r="79" spans="1:30" ht="15">
      <c r="A79" s="1">
        <v>78</v>
      </c>
      <c r="B79" s="1">
        <f t="shared" si="18"/>
        <v>0</v>
      </c>
      <c r="C79" s="1">
        <f t="shared" si="39"/>
        <v>-0.29596899224806206</v>
      </c>
      <c r="D79" s="1">
        <f t="shared" si="44"/>
        <v>2.2251225193798456</v>
      </c>
      <c r="E79">
        <v>59.27</v>
      </c>
      <c r="K79" s="1">
        <f>'Solar Availability and Gener GR'!F79</f>
        <v>0</v>
      </c>
      <c r="L79" s="1">
        <v>0.39891472868217059</v>
      </c>
      <c r="M79" s="1">
        <f t="shared" si="40"/>
        <v>-0.39891472868217059</v>
      </c>
      <c r="N79" s="1" t="str">
        <f t="shared" si="41"/>
        <v>Buy from Grid</v>
      </c>
      <c r="V79" s="1" t="str">
        <f t="shared" si="45"/>
        <v>discharge</v>
      </c>
      <c r="Y79" s="1">
        <f t="shared" si="38"/>
        <v>2.364367596899225E-2</v>
      </c>
      <c r="AA79" s="1">
        <f t="shared" si="42"/>
        <v>2.7689323843014035E-2</v>
      </c>
      <c r="AD79" s="1">
        <f t="shared" si="43"/>
        <v>0</v>
      </c>
    </row>
    <row r="80" spans="1:30" ht="15">
      <c r="A80" s="1">
        <v>79</v>
      </c>
      <c r="B80" s="1">
        <f t="shared" ref="B80:B143" si="46">IF(U80="charge",Q80,0)</f>
        <v>0</v>
      </c>
      <c r="C80" s="1">
        <f t="shared" si="39"/>
        <v>-0.39891472868217059</v>
      </c>
      <c r="D80" s="1">
        <f t="shared" si="44"/>
        <v>1.7264791085271325</v>
      </c>
      <c r="E80">
        <v>59.27</v>
      </c>
      <c r="K80" s="1">
        <f>'Solar Availability and Gener GR'!F80</f>
        <v>0</v>
      </c>
      <c r="L80" s="1">
        <v>0.65627906976744199</v>
      </c>
      <c r="M80" s="1">
        <f t="shared" si="40"/>
        <v>-0.65627906976744199</v>
      </c>
      <c r="N80" s="1" t="str">
        <f t="shared" si="41"/>
        <v>Buy from Grid</v>
      </c>
      <c r="V80" s="1" t="str">
        <f t="shared" si="45"/>
        <v>discharge</v>
      </c>
      <c r="Y80" s="1">
        <f t="shared" si="38"/>
        <v>3.8897660465116286E-2</v>
      </c>
      <c r="AA80" s="1">
        <f t="shared" si="42"/>
        <v>-0.62858974592442796</v>
      </c>
      <c r="AD80" s="1">
        <f t="shared" si="43"/>
        <v>0</v>
      </c>
    </row>
    <row r="81" spans="1:30" ht="15">
      <c r="A81" s="1">
        <v>80</v>
      </c>
      <c r="B81" s="1">
        <f t="shared" si="46"/>
        <v>0</v>
      </c>
      <c r="C81" s="1">
        <f t="shared" si="39"/>
        <v>-0.65627906976744199</v>
      </c>
      <c r="D81" s="1">
        <f t="shared" si="44"/>
        <v>0.90613027131783008</v>
      </c>
      <c r="E81">
        <v>59.27</v>
      </c>
      <c r="K81" s="1">
        <f>'Solar Availability and Gener GR'!F81</f>
        <v>0.12959999999999999</v>
      </c>
      <c r="L81" s="1">
        <v>0.65627906976744199</v>
      </c>
      <c r="M81" s="1">
        <f t="shared" si="40"/>
        <v>-0.52667906976744194</v>
      </c>
      <c r="N81" s="1" t="str">
        <f t="shared" si="41"/>
        <v>Buy from Grid</v>
      </c>
      <c r="V81" s="1" t="str">
        <f t="shared" si="45"/>
        <v>discharge</v>
      </c>
      <c r="Y81" s="1">
        <f t="shared" si="38"/>
        <v>3.8897660465116286E-2</v>
      </c>
      <c r="AA81" s="1">
        <f t="shared" si="42"/>
        <v>-1.15526881569187</v>
      </c>
      <c r="AD81" s="1">
        <f t="shared" si="43"/>
        <v>0</v>
      </c>
    </row>
    <row r="82" spans="1:30" ht="15">
      <c r="A82" s="1">
        <v>81</v>
      </c>
      <c r="B82" s="1">
        <f t="shared" si="46"/>
        <v>0</v>
      </c>
      <c r="C82" s="1">
        <f t="shared" si="39"/>
        <v>-0.52667906976744194</v>
      </c>
      <c r="D82" s="1">
        <f t="shared" si="44"/>
        <v>0.24778143410852771</v>
      </c>
      <c r="E82">
        <v>59.27</v>
      </c>
      <c r="K82" s="1">
        <f>'Solar Availability and Gener GR'!F82</f>
        <v>0.55079999999999996</v>
      </c>
      <c r="L82" s="1">
        <v>0.65627906976744199</v>
      </c>
      <c r="M82" s="1">
        <f t="shared" si="40"/>
        <v>-0.10547906976744204</v>
      </c>
      <c r="N82" s="1" t="str">
        <f t="shared" si="41"/>
        <v>Buy from Grid</v>
      </c>
      <c r="V82" s="1" t="str">
        <f t="shared" si="45"/>
        <v>discharge</v>
      </c>
      <c r="Y82" s="1">
        <f t="shared" si="38"/>
        <v>3.8897660465116286E-2</v>
      </c>
      <c r="AA82" s="1">
        <f t="shared" si="42"/>
        <v>-1.2607478854593119</v>
      </c>
      <c r="AD82" s="1">
        <f t="shared" si="43"/>
        <v>0</v>
      </c>
    </row>
    <row r="83" spans="1:30" ht="15">
      <c r="A83" s="1">
        <v>82</v>
      </c>
      <c r="B83" s="1">
        <f t="shared" si="46"/>
        <v>0</v>
      </c>
      <c r="C83" s="1">
        <f t="shared" si="39"/>
        <v>-0.10547906976744204</v>
      </c>
      <c r="D83" s="1">
        <f t="shared" si="44"/>
        <v>0.11593259689922517</v>
      </c>
      <c r="E83">
        <v>59.27</v>
      </c>
      <c r="K83" s="1">
        <f>'Solar Availability and Gener GR'!F83</f>
        <v>1.0691999999999999</v>
      </c>
      <c r="L83" s="1">
        <v>0.39891472868217059</v>
      </c>
      <c r="M83" s="1">
        <f t="shared" si="40"/>
        <v>0.67028527131782933</v>
      </c>
      <c r="N83" s="1" t="str">
        <f t="shared" si="41"/>
        <v>sell the surplus or charge</v>
      </c>
      <c r="O83" s="1">
        <v>0.25</v>
      </c>
      <c r="P83" s="1">
        <f t="shared" ref="P83:P92" si="47">0.25/L83</f>
        <v>0.62670034978624167</v>
      </c>
      <c r="Q83" s="1">
        <f t="shared" ref="Q83:Q92" si="48">K83-P83*L83</f>
        <v>0.81919999999999993</v>
      </c>
      <c r="R83" s="1">
        <f t="shared" ref="R83:R92" si="49">((1/(E83+0.01))*LN(0.25))+(E83*(K83-0.25))</f>
        <v>48.530598467592448</v>
      </c>
      <c r="S83" s="1">
        <f t="shared" ref="S83:S92" si="50">((1/(E83+0.01))*LN(L83))+(E83*(K83-L83))</f>
        <v>39.712305203789327</v>
      </c>
      <c r="T83" s="1">
        <f t="shared" ref="T83:T92" si="51">(S83+((S83^2)-4*(K83-L83*P83)*LN(L83*P83))^(0.5))/(2*(K83-L83*P83))</f>
        <v>48.511818395050177</v>
      </c>
      <c r="U83" s="1" t="str">
        <f t="shared" ref="U83:U92" si="52">IF(E83&gt;=T83*1.1,"sell to the Grid","charge")</f>
        <v>sell to the Grid</v>
      </c>
      <c r="W83" s="1">
        <f>(Q83*E83)/1000</f>
        <v>4.8553984000000001E-2</v>
      </c>
      <c r="Y83" s="1">
        <f t="shared" si="38"/>
        <v>2.364367596899225E-2</v>
      </c>
      <c r="AA83" s="1">
        <f t="shared" si="42"/>
        <v>-0.5904626141414826</v>
      </c>
      <c r="AD83" s="1">
        <f t="shared" si="43"/>
        <v>0.25</v>
      </c>
    </row>
    <row r="84" spans="1:30" ht="15">
      <c r="A84" s="1">
        <v>83</v>
      </c>
      <c r="B84" s="1">
        <f t="shared" si="46"/>
        <v>1.64</v>
      </c>
      <c r="C84" s="1">
        <f t="shared" si="39"/>
        <v>0</v>
      </c>
      <c r="D84" s="1">
        <f t="shared" si="44"/>
        <v>1.4279325968992251</v>
      </c>
      <c r="E84">
        <v>59.27</v>
      </c>
      <c r="K84" s="1">
        <f>'Solar Availability and Gener GR'!F84</f>
        <v>1.89</v>
      </c>
      <c r="L84" s="1">
        <v>0.39891472868217059</v>
      </c>
      <c r="M84" s="1">
        <f t="shared" si="40"/>
        <v>1.4910852713178293</v>
      </c>
      <c r="N84" s="1" t="str">
        <f t="shared" si="41"/>
        <v>sell the surplus or charge</v>
      </c>
      <c r="O84" s="1">
        <v>0.25</v>
      </c>
      <c r="P84" s="1">
        <f t="shared" si="47"/>
        <v>0.62670034978624167</v>
      </c>
      <c r="Q84" s="1">
        <f t="shared" si="48"/>
        <v>1.64</v>
      </c>
      <c r="R84" s="1">
        <f t="shared" si="49"/>
        <v>97.179414467592437</v>
      </c>
      <c r="S84" s="1">
        <f t="shared" si="50"/>
        <v>88.361121203789324</v>
      </c>
      <c r="T84" s="1">
        <f t="shared" si="51"/>
        <v>53.894416838519177</v>
      </c>
      <c r="U84" s="1" t="str">
        <f t="shared" si="52"/>
        <v>charge</v>
      </c>
      <c r="Y84" s="1">
        <f t="shared" si="38"/>
        <v>2.364367596899225E-2</v>
      </c>
      <c r="AA84" s="1">
        <f t="shared" si="42"/>
        <v>0.90062265717634671</v>
      </c>
      <c r="AD84" s="1">
        <f t="shared" si="43"/>
        <v>0.25</v>
      </c>
    </row>
    <row r="85" spans="1:30" ht="15">
      <c r="A85" s="1">
        <v>84</v>
      </c>
      <c r="B85" s="1">
        <f t="shared" si="46"/>
        <v>2.1764000000000001</v>
      </c>
      <c r="C85" s="1">
        <f t="shared" si="39"/>
        <v>0</v>
      </c>
      <c r="D85" s="1">
        <f t="shared" si="44"/>
        <v>3.1690525968992254</v>
      </c>
      <c r="E85">
        <v>59.27</v>
      </c>
      <c r="K85" s="1">
        <f>'Solar Availability and Gener GR'!F85</f>
        <v>2.4264000000000001</v>
      </c>
      <c r="L85" s="1">
        <v>0.39891472868217059</v>
      </c>
      <c r="M85" s="1">
        <f t="shared" si="40"/>
        <v>2.0274852713178295</v>
      </c>
      <c r="N85" s="1" t="str">
        <f t="shared" si="41"/>
        <v>sell the surplus or charge</v>
      </c>
      <c r="O85" s="1">
        <v>0.25</v>
      </c>
      <c r="P85" s="1">
        <f t="shared" si="47"/>
        <v>0.62670034978624167</v>
      </c>
      <c r="Q85" s="1">
        <f t="shared" si="48"/>
        <v>2.1764000000000001</v>
      </c>
      <c r="R85" s="1">
        <f t="shared" si="49"/>
        <v>128.97184246759247</v>
      </c>
      <c r="S85" s="1">
        <f t="shared" si="50"/>
        <v>120.15354920378934</v>
      </c>
      <c r="T85" s="1">
        <f t="shared" si="51"/>
        <v>55.219010561441728</v>
      </c>
      <c r="U85" s="1" t="str">
        <f t="shared" si="52"/>
        <v>charge</v>
      </c>
      <c r="Y85" s="1">
        <f t="shared" si="38"/>
        <v>2.364367596899225E-2</v>
      </c>
      <c r="AA85" s="1">
        <f t="shared" si="42"/>
        <v>2.9281079284941764</v>
      </c>
      <c r="AD85" s="1">
        <f t="shared" si="43"/>
        <v>0.25</v>
      </c>
    </row>
    <row r="86" spans="1:30" ht="15">
      <c r="A86" s="1">
        <v>85</v>
      </c>
      <c r="B86" s="1">
        <f t="shared" si="46"/>
        <v>2.4247999999999998</v>
      </c>
      <c r="C86" s="1">
        <f t="shared" si="39"/>
        <v>0</v>
      </c>
      <c r="D86" s="1">
        <f t="shared" si="44"/>
        <v>5.1088925968992251</v>
      </c>
      <c r="E86">
        <v>59.27</v>
      </c>
      <c r="K86" s="1">
        <f>'Solar Availability and Gener GR'!F86</f>
        <v>2.6747999999999998</v>
      </c>
      <c r="L86" s="1">
        <v>0.39891472868217059</v>
      </c>
      <c r="M86" s="1">
        <f t="shared" si="40"/>
        <v>2.2758852713178293</v>
      </c>
      <c r="N86" s="1" t="str">
        <f t="shared" si="41"/>
        <v>sell the surplus or charge</v>
      </c>
      <c r="O86" s="1">
        <v>0.25</v>
      </c>
      <c r="P86" s="1">
        <f t="shared" si="47"/>
        <v>0.62670034978624167</v>
      </c>
      <c r="Q86" s="1">
        <f t="shared" si="48"/>
        <v>2.4247999999999998</v>
      </c>
      <c r="R86" s="1">
        <f t="shared" si="49"/>
        <v>143.69451046759244</v>
      </c>
      <c r="S86" s="1">
        <f t="shared" si="50"/>
        <v>134.87621720378931</v>
      </c>
      <c r="T86" s="1">
        <f t="shared" si="51"/>
        <v>55.633922530769702</v>
      </c>
      <c r="U86" s="1" t="str">
        <f t="shared" si="52"/>
        <v>charge</v>
      </c>
      <c r="Y86" s="1">
        <f t="shared" si="38"/>
        <v>2.364367596899225E-2</v>
      </c>
      <c r="AA86" s="1">
        <f t="shared" si="42"/>
        <v>5.2039931998120057</v>
      </c>
      <c r="AD86" s="1">
        <f t="shared" si="43"/>
        <v>0.25</v>
      </c>
    </row>
    <row r="87" spans="1:30" ht="15">
      <c r="A87" s="1">
        <v>86</v>
      </c>
      <c r="B87" s="1">
        <f t="shared" si="46"/>
        <v>2.54</v>
      </c>
      <c r="C87" s="1">
        <f t="shared" si="39"/>
        <v>0</v>
      </c>
      <c r="D87" s="1">
        <f t="shared" si="44"/>
        <v>7.1408925968992252</v>
      </c>
      <c r="E87">
        <v>59.27</v>
      </c>
      <c r="K87" s="1">
        <f>'Solar Availability and Gener GR'!F87</f>
        <v>2.79</v>
      </c>
      <c r="L87" s="1">
        <v>0.39891472868217059</v>
      </c>
      <c r="M87" s="1">
        <f t="shared" si="40"/>
        <v>2.3910852713178294</v>
      </c>
      <c r="N87" s="1" t="str">
        <f t="shared" si="41"/>
        <v>sell the surplus or charge</v>
      </c>
      <c r="O87" s="1">
        <v>0.25</v>
      </c>
      <c r="P87" s="1">
        <f t="shared" si="47"/>
        <v>0.62670034978624167</v>
      </c>
      <c r="Q87" s="1">
        <f t="shared" si="48"/>
        <v>2.54</v>
      </c>
      <c r="R87" s="1">
        <f t="shared" si="49"/>
        <v>150.52241446759245</v>
      </c>
      <c r="S87" s="1">
        <f t="shared" si="50"/>
        <v>141.70412120378933</v>
      </c>
      <c r="T87" s="1">
        <f t="shared" si="51"/>
        <v>55.798805401827245</v>
      </c>
      <c r="U87" s="1" t="str">
        <f t="shared" si="52"/>
        <v>charge</v>
      </c>
      <c r="Y87" s="1">
        <f t="shared" si="38"/>
        <v>2.364367596899225E-2</v>
      </c>
      <c r="AA87" s="1">
        <f t="shared" si="42"/>
        <v>7.5950784711298347</v>
      </c>
      <c r="AD87" s="1">
        <f t="shared" si="43"/>
        <v>0.25</v>
      </c>
    </row>
    <row r="88" spans="1:30" ht="15">
      <c r="A88" s="1">
        <v>87</v>
      </c>
      <c r="B88" s="1">
        <f t="shared" si="46"/>
        <v>2.3852000000000002</v>
      </c>
      <c r="C88" s="1">
        <f t="shared" si="39"/>
        <v>0</v>
      </c>
      <c r="D88" s="1">
        <f t="shared" si="44"/>
        <v>9.0490525968992248</v>
      </c>
      <c r="E88">
        <v>59.27</v>
      </c>
      <c r="K88" s="1">
        <f>'Solar Availability and Gener GR'!F88</f>
        <v>2.6352000000000002</v>
      </c>
      <c r="L88" s="1">
        <v>0.39891472868217059</v>
      </c>
      <c r="M88" s="1">
        <f t="shared" si="40"/>
        <v>2.2362852713178296</v>
      </c>
      <c r="N88" s="1" t="str">
        <f t="shared" si="41"/>
        <v>sell the surplus or charge</v>
      </c>
      <c r="O88" s="1">
        <v>0.25</v>
      </c>
      <c r="P88" s="1">
        <f t="shared" si="47"/>
        <v>0.62670034978624167</v>
      </c>
      <c r="Q88" s="1">
        <f t="shared" si="48"/>
        <v>2.3852000000000002</v>
      </c>
      <c r="R88" s="1">
        <f t="shared" si="49"/>
        <v>141.34741846759246</v>
      </c>
      <c r="S88" s="1">
        <f t="shared" si="50"/>
        <v>132.52912520378933</v>
      </c>
      <c r="T88" s="1">
        <f t="shared" si="51"/>
        <v>55.573566332048543</v>
      </c>
      <c r="U88" s="1" t="str">
        <f t="shared" si="52"/>
        <v>charge</v>
      </c>
      <c r="Y88" s="1">
        <f t="shared" si="38"/>
        <v>2.364367596899225E-2</v>
      </c>
      <c r="AA88" s="1">
        <f t="shared" si="42"/>
        <v>9.8313637424476639</v>
      </c>
      <c r="AD88" s="1">
        <f t="shared" si="43"/>
        <v>0.25</v>
      </c>
    </row>
    <row r="89" spans="1:30" ht="15">
      <c r="A89" s="1">
        <v>88</v>
      </c>
      <c r="B89" s="1">
        <f t="shared" si="46"/>
        <v>0</v>
      </c>
      <c r="C89" s="1">
        <f t="shared" si="39"/>
        <v>0</v>
      </c>
      <c r="D89" s="1">
        <f t="shared" si="44"/>
        <v>9.0490525968992248</v>
      </c>
      <c r="E89">
        <v>59.27</v>
      </c>
      <c r="K89" s="1">
        <f>'Solar Availability and Gener GR'!F89</f>
        <v>2.3508</v>
      </c>
      <c r="L89" s="1">
        <v>0.66914728682170543</v>
      </c>
      <c r="M89" s="1">
        <f t="shared" si="40"/>
        <v>1.6816527131782946</v>
      </c>
      <c r="N89" s="1" t="str">
        <f t="shared" si="41"/>
        <v>sell the surplus or charge</v>
      </c>
      <c r="O89" s="1">
        <v>0.25</v>
      </c>
      <c r="P89" s="1">
        <f t="shared" si="47"/>
        <v>0.3736098239110287</v>
      </c>
      <c r="Q89" s="1">
        <f t="shared" si="48"/>
        <v>2.1008</v>
      </c>
      <c r="R89" s="1">
        <f t="shared" si="49"/>
        <v>124.49103046759245</v>
      </c>
      <c r="S89" s="1">
        <f t="shared" si="50"/>
        <v>99.664779132557072</v>
      </c>
      <c r="T89" s="1">
        <f t="shared" si="51"/>
        <v>47.455251236503614</v>
      </c>
      <c r="U89" s="1" t="str">
        <f t="shared" si="52"/>
        <v>sell to the Grid</v>
      </c>
      <c r="W89" s="1">
        <f>(Q89*E89)/1000</f>
        <v>0.12451441600000002</v>
      </c>
      <c r="Y89" s="1">
        <f t="shared" si="38"/>
        <v>3.9660359689922479E-2</v>
      </c>
      <c r="AA89" s="1">
        <f t="shared" si="42"/>
        <v>11.513016455625959</v>
      </c>
      <c r="AD89" s="1">
        <f t="shared" si="43"/>
        <v>0.25</v>
      </c>
    </row>
    <row r="90" spans="1:30" ht="15">
      <c r="A90" s="1">
        <v>89</v>
      </c>
      <c r="B90" s="1">
        <f t="shared" si="46"/>
        <v>0</v>
      </c>
      <c r="C90" s="1">
        <f t="shared" si="39"/>
        <v>0</v>
      </c>
      <c r="D90" s="1">
        <f t="shared" si="44"/>
        <v>9.0490525968992248</v>
      </c>
      <c r="E90">
        <v>59.27</v>
      </c>
      <c r="K90" s="1">
        <f>'Solar Availability and Gener GR'!F90</f>
        <v>1.9260000000000002</v>
      </c>
      <c r="L90" s="1">
        <v>0.66914728682170543</v>
      </c>
      <c r="M90" s="1">
        <f t="shared" si="40"/>
        <v>1.2568527131782947</v>
      </c>
      <c r="N90" s="1" t="str">
        <f t="shared" si="41"/>
        <v>sell the surplus or charge</v>
      </c>
      <c r="O90" s="1">
        <v>0.25</v>
      </c>
      <c r="P90" s="1">
        <f t="shared" si="47"/>
        <v>0.3736098239110287</v>
      </c>
      <c r="Q90" s="1">
        <f t="shared" si="48"/>
        <v>1.6760000000000002</v>
      </c>
      <c r="R90" s="1">
        <f t="shared" si="49"/>
        <v>99.313134467592462</v>
      </c>
      <c r="S90" s="1">
        <f t="shared" si="50"/>
        <v>74.486883132557082</v>
      </c>
      <c r="T90" s="1">
        <f t="shared" si="51"/>
        <v>44.461851160042578</v>
      </c>
      <c r="U90" s="1" t="str">
        <f t="shared" si="52"/>
        <v>sell to the Grid</v>
      </c>
      <c r="W90" s="1">
        <f>(Q90*E90)/1000</f>
        <v>9.9336520000000025E-2</v>
      </c>
      <c r="Y90" s="1">
        <f t="shared" si="38"/>
        <v>3.9660359689922479E-2</v>
      </c>
      <c r="AA90" s="1">
        <f t="shared" si="42"/>
        <v>12.769869168804254</v>
      </c>
      <c r="AD90" s="1">
        <f t="shared" si="43"/>
        <v>0.25</v>
      </c>
    </row>
    <row r="91" spans="1:30" ht="15">
      <c r="A91" s="1">
        <v>90</v>
      </c>
      <c r="B91" s="1">
        <f t="shared" si="46"/>
        <v>0</v>
      </c>
      <c r="C91" s="1">
        <f t="shared" si="39"/>
        <v>0</v>
      </c>
      <c r="D91" s="1">
        <f t="shared" si="44"/>
        <v>9.0490525968992248</v>
      </c>
      <c r="E91">
        <v>59.27</v>
      </c>
      <c r="K91" s="1">
        <f>'Solar Availability and Gener GR'!F91</f>
        <v>1.3139999999999998</v>
      </c>
      <c r="L91" s="1">
        <v>0.39891472868217059</v>
      </c>
      <c r="M91" s="1">
        <f t="shared" si="40"/>
        <v>0.91508527131782924</v>
      </c>
      <c r="N91" s="1" t="str">
        <f t="shared" si="41"/>
        <v>sell the surplus or charge</v>
      </c>
      <c r="O91" s="1">
        <v>0.25</v>
      </c>
      <c r="P91" s="1">
        <f t="shared" si="47"/>
        <v>0.62670034978624167</v>
      </c>
      <c r="Q91" s="1">
        <f t="shared" si="48"/>
        <v>1.0639999999999998</v>
      </c>
      <c r="R91" s="1">
        <f t="shared" si="49"/>
        <v>63.03989446759244</v>
      </c>
      <c r="S91" s="1">
        <f t="shared" si="50"/>
        <v>54.221601203789319</v>
      </c>
      <c r="T91" s="1">
        <f t="shared" si="51"/>
        <v>50.985705889895179</v>
      </c>
      <c r="U91" s="1" t="str">
        <f t="shared" si="52"/>
        <v>sell to the Grid</v>
      </c>
      <c r="W91" s="1">
        <f>(Q91*E91)/1000</f>
        <v>6.3063279999999985E-2</v>
      </c>
      <c r="Y91" s="1">
        <f t="shared" si="38"/>
        <v>2.364367596899225E-2</v>
      </c>
      <c r="AA91" s="1">
        <f t="shared" si="42"/>
        <v>13.684954440122084</v>
      </c>
      <c r="AD91" s="1">
        <f t="shared" si="43"/>
        <v>0.25</v>
      </c>
    </row>
    <row r="92" spans="1:30" ht="15">
      <c r="A92" s="1">
        <v>91</v>
      </c>
      <c r="B92" s="1">
        <f t="shared" si="46"/>
        <v>0</v>
      </c>
      <c r="C92" s="1">
        <f t="shared" si="39"/>
        <v>0</v>
      </c>
      <c r="D92" s="1">
        <f t="shared" si="44"/>
        <v>9.0490525968992248</v>
      </c>
      <c r="E92">
        <v>59.27</v>
      </c>
      <c r="K92" s="1">
        <f>'Solar Availability and Gener GR'!F92</f>
        <v>0.67320000000000002</v>
      </c>
      <c r="L92" s="1">
        <v>0.39891472868217059</v>
      </c>
      <c r="M92" s="1">
        <f t="shared" si="40"/>
        <v>0.27428527131782943</v>
      </c>
      <c r="N92" s="1" t="str">
        <f t="shared" si="41"/>
        <v>sell the surplus or charge</v>
      </c>
      <c r="O92" s="1">
        <v>0.25</v>
      </c>
      <c r="P92" s="1">
        <f t="shared" si="47"/>
        <v>0.62670034978624167</v>
      </c>
      <c r="Q92" s="1">
        <f t="shared" si="48"/>
        <v>0.42320000000000002</v>
      </c>
      <c r="R92" s="1">
        <f t="shared" si="49"/>
        <v>25.059678467592448</v>
      </c>
      <c r="S92" s="1">
        <f t="shared" si="50"/>
        <v>16.241385203789328</v>
      </c>
      <c r="T92" s="1">
        <f t="shared" si="51"/>
        <v>38.462730953891267</v>
      </c>
      <c r="U92" s="1" t="str">
        <f t="shared" si="52"/>
        <v>sell to the Grid</v>
      </c>
      <c r="W92" s="1">
        <f>(Q92*E92)/1000</f>
        <v>2.5083064000000002E-2</v>
      </c>
      <c r="Y92" s="1">
        <f t="shared" si="38"/>
        <v>2.364367596899225E-2</v>
      </c>
      <c r="AA92" s="1">
        <f t="shared" si="42"/>
        <v>13.959239711439913</v>
      </c>
      <c r="AD92" s="1">
        <f t="shared" si="43"/>
        <v>0.25</v>
      </c>
    </row>
    <row r="93" spans="1:30" ht="15">
      <c r="A93" s="1">
        <v>92</v>
      </c>
      <c r="B93" s="1">
        <f t="shared" si="46"/>
        <v>0</v>
      </c>
      <c r="C93" s="1">
        <f t="shared" si="39"/>
        <v>0</v>
      </c>
      <c r="D93" s="1">
        <f t="shared" si="44"/>
        <v>9.0490525968992248</v>
      </c>
      <c r="E93">
        <v>59.27</v>
      </c>
      <c r="K93" s="1">
        <f>'Solar Availability and Gener GR'!F93</f>
        <v>0.14399999999999999</v>
      </c>
      <c r="L93" s="1">
        <v>0.65627906976744199</v>
      </c>
      <c r="M93" s="1">
        <f t="shared" si="40"/>
        <v>-0.51227906976744197</v>
      </c>
      <c r="N93" s="1" t="str">
        <f t="shared" si="41"/>
        <v>Buy from Grid</v>
      </c>
      <c r="V93" s="1" t="str">
        <f t="shared" ref="V93:V105" si="53">IF(D93+M93&gt;0,"discharge","buy from the Grid")</f>
        <v>discharge</v>
      </c>
      <c r="Y93" s="1">
        <f t="shared" si="38"/>
        <v>3.8897660465116286E-2</v>
      </c>
      <c r="AA93" s="1">
        <f t="shared" si="42"/>
        <v>13.446960641672472</v>
      </c>
      <c r="AD93" s="1">
        <f t="shared" si="43"/>
        <v>0</v>
      </c>
    </row>
    <row r="94" spans="1:30" ht="15">
      <c r="A94" s="1">
        <v>93</v>
      </c>
      <c r="B94" s="1">
        <f t="shared" si="46"/>
        <v>0</v>
      </c>
      <c r="C94" s="1">
        <f t="shared" si="39"/>
        <v>-0.51227906976744197</v>
      </c>
      <c r="D94" s="1">
        <f t="shared" si="44"/>
        <v>8.4087037596899226</v>
      </c>
      <c r="E94">
        <v>59.27</v>
      </c>
      <c r="K94" s="1">
        <f>'Solar Availability and Gener GR'!F94</f>
        <v>1.224E-3</v>
      </c>
      <c r="L94" s="1">
        <v>0.65627906976744199</v>
      </c>
      <c r="M94" s="1">
        <f t="shared" si="40"/>
        <v>-0.65505506976744199</v>
      </c>
      <c r="N94" s="1" t="str">
        <f t="shared" si="41"/>
        <v>Buy from Grid</v>
      </c>
      <c r="V94" s="1" t="str">
        <f t="shared" si="53"/>
        <v>discharge</v>
      </c>
      <c r="Y94" s="1">
        <f t="shared" si="38"/>
        <v>3.8897660465116286E-2</v>
      </c>
      <c r="AA94" s="1">
        <f t="shared" si="42"/>
        <v>12.79190557190503</v>
      </c>
      <c r="AD94" s="1">
        <f t="shared" si="43"/>
        <v>0</v>
      </c>
    </row>
    <row r="95" spans="1:30" ht="15">
      <c r="A95" s="1">
        <v>94</v>
      </c>
      <c r="B95" s="1">
        <f t="shared" si="46"/>
        <v>0</v>
      </c>
      <c r="C95" s="1">
        <f t="shared" si="39"/>
        <v>-0.65505506976744199</v>
      </c>
      <c r="D95" s="1">
        <f t="shared" si="44"/>
        <v>7.5898849224806204</v>
      </c>
      <c r="E95">
        <v>59.27</v>
      </c>
      <c r="K95" s="1">
        <f>'Solar Availability and Gener GR'!F95</f>
        <v>0</v>
      </c>
      <c r="L95" s="1">
        <v>0.39891472868217059</v>
      </c>
      <c r="M95" s="1">
        <f t="shared" si="40"/>
        <v>-0.39891472868217059</v>
      </c>
      <c r="N95" s="1" t="str">
        <f t="shared" si="41"/>
        <v>Buy from Grid</v>
      </c>
      <c r="V95" s="1" t="str">
        <f t="shared" si="53"/>
        <v>discharge</v>
      </c>
      <c r="Y95" s="1">
        <f t="shared" si="38"/>
        <v>2.364367596899225E-2</v>
      </c>
      <c r="AA95" s="1">
        <f t="shared" si="42"/>
        <v>12.39299084322286</v>
      </c>
      <c r="AD95" s="1">
        <f t="shared" si="43"/>
        <v>0</v>
      </c>
    </row>
    <row r="96" spans="1:30" ht="15">
      <c r="A96" s="1">
        <v>95</v>
      </c>
      <c r="B96" s="1">
        <f t="shared" si="46"/>
        <v>0</v>
      </c>
      <c r="C96" s="1">
        <f t="shared" si="39"/>
        <v>-0.39891472868217059</v>
      </c>
      <c r="D96" s="1">
        <f t="shared" si="44"/>
        <v>7.0912415116279073</v>
      </c>
      <c r="E96">
        <v>59.27</v>
      </c>
      <c r="K96" s="1">
        <f>'Solar Availability and Gener GR'!F96</f>
        <v>0</v>
      </c>
      <c r="L96" s="1">
        <v>0.39891472868217059</v>
      </c>
      <c r="M96" s="1">
        <f t="shared" si="40"/>
        <v>-0.39891472868217059</v>
      </c>
      <c r="N96" s="1" t="str">
        <f t="shared" si="41"/>
        <v>Buy from Grid</v>
      </c>
      <c r="V96" s="1" t="str">
        <f t="shared" si="53"/>
        <v>discharge</v>
      </c>
      <c r="Y96" s="1">
        <f t="shared" si="38"/>
        <v>2.364367596899225E-2</v>
      </c>
      <c r="AA96" s="1">
        <f t="shared" si="42"/>
        <v>11.99407611454069</v>
      </c>
      <c r="AD96" s="1">
        <f t="shared" si="43"/>
        <v>0</v>
      </c>
    </row>
    <row r="97" spans="1:30" ht="15">
      <c r="A97" s="1">
        <v>96</v>
      </c>
      <c r="B97" s="1">
        <f t="shared" si="46"/>
        <v>0</v>
      </c>
      <c r="C97" s="1">
        <f t="shared" si="39"/>
        <v>-0.39891472868217059</v>
      </c>
      <c r="D97" s="1">
        <f t="shared" si="44"/>
        <v>6.5925981007751941</v>
      </c>
      <c r="E97">
        <v>59.27</v>
      </c>
      <c r="K97" s="1">
        <f>'Solar Availability and Gener GR'!F97</f>
        <v>0</v>
      </c>
      <c r="L97" s="1">
        <v>0.39891472868217059</v>
      </c>
      <c r="M97" s="1">
        <f t="shared" si="40"/>
        <v>-0.39891472868217059</v>
      </c>
      <c r="N97" s="1" t="str">
        <f t="shared" si="41"/>
        <v>Buy from Grid</v>
      </c>
      <c r="V97" s="1" t="str">
        <f t="shared" si="53"/>
        <v>discharge</v>
      </c>
      <c r="Y97" s="1">
        <f t="shared" si="38"/>
        <v>2.364367596899225E-2</v>
      </c>
      <c r="AA97" s="1">
        <f t="shared" si="42"/>
        <v>11.595161385858519</v>
      </c>
      <c r="AD97" s="1">
        <f t="shared" si="43"/>
        <v>0</v>
      </c>
    </row>
    <row r="98" spans="1:30" ht="15">
      <c r="A98" s="1">
        <v>97</v>
      </c>
      <c r="B98" s="1">
        <f t="shared" si="46"/>
        <v>0</v>
      </c>
      <c r="C98" s="1">
        <f t="shared" si="39"/>
        <v>-0.39891472868217059</v>
      </c>
      <c r="D98" s="1">
        <f t="shared" si="44"/>
        <v>6.093954689922481</v>
      </c>
      <c r="E98">
        <v>59.27</v>
      </c>
      <c r="K98" s="1">
        <f>'Solar Availability and Gener GR'!F98</f>
        <v>0</v>
      </c>
      <c r="L98" s="1">
        <v>0.30883720930232561</v>
      </c>
      <c r="M98" s="1">
        <f t="shared" si="40"/>
        <v>-0.30883720930232561</v>
      </c>
      <c r="N98" s="1" t="str">
        <f t="shared" si="41"/>
        <v>Buy from Grid</v>
      </c>
      <c r="V98" s="1" t="str">
        <f t="shared" si="53"/>
        <v>discharge</v>
      </c>
      <c r="Y98" s="1">
        <f t="shared" si="38"/>
        <v>1.830478139534884E-2</v>
      </c>
      <c r="AA98" s="1">
        <f t="shared" si="42"/>
        <v>11.286324176556194</v>
      </c>
      <c r="AD98" s="1">
        <f t="shared" si="43"/>
        <v>0</v>
      </c>
    </row>
    <row r="99" spans="1:30" ht="15">
      <c r="A99" s="1">
        <v>98</v>
      </c>
      <c r="B99" s="1">
        <f t="shared" si="46"/>
        <v>0</v>
      </c>
      <c r="C99" s="1">
        <f t="shared" si="39"/>
        <v>-0.30883720930232561</v>
      </c>
      <c r="D99" s="1">
        <f t="shared" si="44"/>
        <v>5.7079081782945744</v>
      </c>
      <c r="E99">
        <v>59.27</v>
      </c>
      <c r="K99" s="1">
        <f>'Solar Availability and Gener GR'!F99</f>
        <v>0</v>
      </c>
      <c r="L99" s="1">
        <v>0.29596899224806206</v>
      </c>
      <c r="M99" s="1">
        <f t="shared" si="40"/>
        <v>-0.29596899224806206</v>
      </c>
      <c r="N99" s="1" t="str">
        <f t="shared" si="41"/>
        <v>Buy from Grid</v>
      </c>
      <c r="V99" s="1" t="str">
        <f t="shared" si="53"/>
        <v>discharge</v>
      </c>
      <c r="Y99" s="1">
        <f t="shared" si="38"/>
        <v>1.754208217054264E-2</v>
      </c>
      <c r="AA99" s="1">
        <f t="shared" si="42"/>
        <v>10.990355184308132</v>
      </c>
      <c r="AD99" s="1">
        <f t="shared" si="43"/>
        <v>0</v>
      </c>
    </row>
    <row r="100" spans="1:30" ht="15">
      <c r="A100" s="1">
        <v>99</v>
      </c>
      <c r="B100" s="1">
        <f t="shared" si="46"/>
        <v>0</v>
      </c>
      <c r="C100" s="1">
        <f t="shared" si="39"/>
        <v>-0.29596899224806206</v>
      </c>
      <c r="D100" s="1">
        <f t="shared" si="44"/>
        <v>5.3379469379844968</v>
      </c>
      <c r="E100">
        <v>59.27</v>
      </c>
      <c r="K100" s="1">
        <f>'Solar Availability and Gener GR'!F100</f>
        <v>0</v>
      </c>
      <c r="L100" s="1">
        <v>0.29596899224806206</v>
      </c>
      <c r="M100" s="1">
        <f t="shared" si="40"/>
        <v>-0.29596899224806206</v>
      </c>
      <c r="N100" s="1" t="str">
        <f t="shared" si="41"/>
        <v>Buy from Grid</v>
      </c>
      <c r="V100" s="1" t="str">
        <f t="shared" si="53"/>
        <v>discharge</v>
      </c>
      <c r="Y100" s="1">
        <f t="shared" si="38"/>
        <v>1.754208217054264E-2</v>
      </c>
      <c r="AA100" s="1">
        <f t="shared" si="42"/>
        <v>10.694386192060071</v>
      </c>
      <c r="AD100" s="1">
        <f t="shared" si="43"/>
        <v>0</v>
      </c>
    </row>
    <row r="101" spans="1:30" ht="15">
      <c r="A101" s="1">
        <v>100</v>
      </c>
      <c r="B101" s="1">
        <f t="shared" si="46"/>
        <v>0</v>
      </c>
      <c r="C101" s="1">
        <f t="shared" si="39"/>
        <v>-0.29596899224806206</v>
      </c>
      <c r="D101" s="1">
        <f t="shared" si="44"/>
        <v>4.9679856976744192</v>
      </c>
      <c r="E101">
        <v>59.27</v>
      </c>
      <c r="K101" s="1">
        <f>'Solar Availability and Gener GR'!F101</f>
        <v>0</v>
      </c>
      <c r="L101" s="1">
        <v>0.29596899224806206</v>
      </c>
      <c r="M101" s="1">
        <f t="shared" si="40"/>
        <v>-0.29596899224806206</v>
      </c>
      <c r="N101" s="1" t="str">
        <f t="shared" si="41"/>
        <v>Buy from Grid</v>
      </c>
      <c r="V101" s="1" t="str">
        <f t="shared" si="53"/>
        <v>discharge</v>
      </c>
      <c r="Y101" s="1">
        <f t="shared" si="38"/>
        <v>1.754208217054264E-2</v>
      </c>
      <c r="AA101" s="1">
        <f t="shared" si="42"/>
        <v>10.398417199812009</v>
      </c>
      <c r="AD101" s="1">
        <f t="shared" si="43"/>
        <v>0</v>
      </c>
    </row>
    <row r="102" spans="1:30" ht="15">
      <c r="A102" s="1">
        <v>101</v>
      </c>
      <c r="B102" s="1">
        <f t="shared" si="46"/>
        <v>0</v>
      </c>
      <c r="C102" s="1">
        <f t="shared" si="39"/>
        <v>-0.29596899224806206</v>
      </c>
      <c r="D102" s="1">
        <f t="shared" si="44"/>
        <v>4.5980244573643416</v>
      </c>
      <c r="E102">
        <v>59.27</v>
      </c>
      <c r="K102" s="1">
        <f>'Solar Availability and Gener GR'!F102</f>
        <v>0</v>
      </c>
      <c r="L102" s="1">
        <v>0.29596899224806206</v>
      </c>
      <c r="M102" s="1">
        <f t="shared" si="40"/>
        <v>-0.29596899224806206</v>
      </c>
      <c r="N102" s="1" t="str">
        <f t="shared" si="41"/>
        <v>Buy from Grid</v>
      </c>
      <c r="V102" s="1" t="str">
        <f t="shared" si="53"/>
        <v>discharge</v>
      </c>
      <c r="Y102" s="1">
        <f t="shared" si="38"/>
        <v>1.754208217054264E-2</v>
      </c>
      <c r="AA102" s="1">
        <f t="shared" si="42"/>
        <v>10.102448207563947</v>
      </c>
      <c r="AD102" s="1">
        <f t="shared" si="43"/>
        <v>0</v>
      </c>
    </row>
    <row r="103" spans="1:30" ht="15">
      <c r="A103" s="1">
        <v>102</v>
      </c>
      <c r="B103" s="1">
        <f t="shared" si="46"/>
        <v>0</v>
      </c>
      <c r="C103" s="1">
        <f t="shared" si="39"/>
        <v>-0.29596899224806206</v>
      </c>
      <c r="D103" s="1">
        <f t="shared" si="44"/>
        <v>4.228063217054264</v>
      </c>
      <c r="E103">
        <v>59.27</v>
      </c>
      <c r="K103" s="1">
        <f>'Solar Availability and Gener GR'!F103</f>
        <v>0</v>
      </c>
      <c r="L103" s="1">
        <v>0.39891472868217059</v>
      </c>
      <c r="M103" s="1">
        <f t="shared" si="40"/>
        <v>-0.39891472868217059</v>
      </c>
      <c r="N103" s="1" t="str">
        <f t="shared" si="41"/>
        <v>Buy from Grid</v>
      </c>
      <c r="V103" s="1" t="str">
        <f t="shared" si="53"/>
        <v>discharge</v>
      </c>
      <c r="Y103" s="1">
        <f t="shared" si="38"/>
        <v>2.364367596899225E-2</v>
      </c>
      <c r="AA103" s="1">
        <f t="shared" si="42"/>
        <v>9.7035334788817771</v>
      </c>
      <c r="AD103" s="1">
        <f t="shared" si="43"/>
        <v>0</v>
      </c>
    </row>
    <row r="104" spans="1:30" ht="15">
      <c r="A104" s="1">
        <v>103</v>
      </c>
      <c r="B104" s="1">
        <f t="shared" si="46"/>
        <v>0</v>
      </c>
      <c r="C104" s="1">
        <f t="shared" si="39"/>
        <v>-0.39891472868217059</v>
      </c>
      <c r="D104" s="1">
        <f t="shared" si="44"/>
        <v>3.7294198062015509</v>
      </c>
      <c r="E104">
        <v>59.27</v>
      </c>
      <c r="K104" s="1">
        <f>'Solar Availability and Gener GR'!F104</f>
        <v>5.3999999999999999E-2</v>
      </c>
      <c r="L104" s="1">
        <v>0.66914728682170543</v>
      </c>
      <c r="M104" s="1">
        <f t="shared" si="40"/>
        <v>-0.61514728682170539</v>
      </c>
      <c r="N104" s="1" t="str">
        <f t="shared" si="41"/>
        <v>Buy from Grid</v>
      </c>
      <c r="V104" s="1" t="str">
        <f t="shared" si="53"/>
        <v>discharge</v>
      </c>
      <c r="Y104" s="1">
        <f t="shared" si="38"/>
        <v>3.9660359689922479E-2</v>
      </c>
      <c r="AA104" s="1">
        <f t="shared" si="42"/>
        <v>9.0883861920600708</v>
      </c>
      <c r="AD104" s="1">
        <f t="shared" si="43"/>
        <v>0</v>
      </c>
    </row>
    <row r="105" spans="1:30" ht="15">
      <c r="A105" s="1">
        <v>104</v>
      </c>
      <c r="B105" s="1">
        <f t="shared" si="46"/>
        <v>0</v>
      </c>
      <c r="C105" s="1">
        <f t="shared" si="39"/>
        <v>-0.61514728682170539</v>
      </c>
      <c r="D105" s="1">
        <f t="shared" si="44"/>
        <v>2.9604856976744189</v>
      </c>
      <c r="E105">
        <v>59.27</v>
      </c>
      <c r="K105" s="1">
        <f>'Solar Availability and Gener GR'!F105</f>
        <v>0.33119999999999994</v>
      </c>
      <c r="L105" s="1">
        <v>0.66914728682170543</v>
      </c>
      <c r="M105" s="1">
        <f t="shared" si="40"/>
        <v>-0.33794728682170549</v>
      </c>
      <c r="N105" s="1" t="str">
        <f t="shared" si="41"/>
        <v>Buy from Grid</v>
      </c>
      <c r="V105" s="1" t="str">
        <f t="shared" si="53"/>
        <v>discharge</v>
      </c>
      <c r="Y105" s="1">
        <f t="shared" si="38"/>
        <v>3.9660359689922479E-2</v>
      </c>
      <c r="AA105" s="1">
        <f t="shared" si="42"/>
        <v>8.7504389052383651</v>
      </c>
      <c r="AD105" s="1">
        <f t="shared" si="43"/>
        <v>0</v>
      </c>
    </row>
    <row r="106" spans="1:30" ht="15">
      <c r="A106" s="1">
        <v>105</v>
      </c>
      <c r="B106" s="1">
        <f t="shared" si="46"/>
        <v>0</v>
      </c>
      <c r="C106" s="1">
        <f t="shared" si="39"/>
        <v>-0.33794728682170549</v>
      </c>
      <c r="D106" s="1">
        <f t="shared" si="44"/>
        <v>2.5380515891472872</v>
      </c>
      <c r="E106">
        <v>59.27</v>
      </c>
      <c r="K106" s="1">
        <f>'Solar Availability and Gener GR'!F106</f>
        <v>0.74160000000000004</v>
      </c>
      <c r="L106" s="1">
        <v>0.66914728682170543</v>
      </c>
      <c r="M106" s="1">
        <f t="shared" si="40"/>
        <v>7.2452713178294603E-2</v>
      </c>
      <c r="N106" s="1" t="str">
        <f t="shared" si="41"/>
        <v>sell the surplus or charge</v>
      </c>
      <c r="O106" s="1">
        <v>0.25</v>
      </c>
      <c r="P106" s="1">
        <f t="shared" ref="P106:P116" si="54">0.25/L106</f>
        <v>0.3736098239110287</v>
      </c>
      <c r="Q106" s="1">
        <f t="shared" ref="Q106:Q116" si="55">K106-P106*L106</f>
        <v>0.49160000000000004</v>
      </c>
      <c r="R106" s="1">
        <f t="shared" ref="R106:R116" si="56">((1/(E106+0.01))*LN(0.25))+(E106*(K106-0.25))</f>
        <v>29.113746467592449</v>
      </c>
      <c r="S106" s="1">
        <f t="shared" ref="S106:S116" si="57">((1/(E106+0.01))*LN(L106))+(E106*(K106-L106))</f>
        <v>4.2874951325570798</v>
      </c>
      <c r="T106" s="1">
        <f t="shared" ref="T106:T116" si="58">(S106+((S106^2)-4*(K106-L106*P106)*LN(L106*P106))^(0.5))/(2*(K106-L106*P106))</f>
        <v>9.0336730706039194</v>
      </c>
      <c r="U106" s="1" t="str">
        <f t="shared" ref="U106:U116" si="59">IF(E106&gt;=T106*1.1,"sell to the Grid","charge")</f>
        <v>sell to the Grid</v>
      </c>
      <c r="W106" s="1">
        <f>(Q106*E106)/1000</f>
        <v>2.9137132000000003E-2</v>
      </c>
      <c r="Y106" s="1">
        <f t="shared" si="38"/>
        <v>3.9660359689922479E-2</v>
      </c>
      <c r="AA106" s="1">
        <f t="shared" si="42"/>
        <v>8.8228916184166604</v>
      </c>
      <c r="AD106" s="1">
        <f t="shared" si="43"/>
        <v>0.25</v>
      </c>
    </row>
    <row r="107" spans="1:30" ht="15">
      <c r="A107" s="1">
        <v>106</v>
      </c>
      <c r="B107" s="1">
        <f t="shared" si="46"/>
        <v>0</v>
      </c>
      <c r="C107" s="1">
        <f t="shared" si="39"/>
        <v>0</v>
      </c>
      <c r="D107" s="1">
        <f t="shared" si="44"/>
        <v>2.5380515891472872</v>
      </c>
      <c r="E107">
        <v>59.27</v>
      </c>
      <c r="K107" s="1">
        <f>'Solar Availability and Gener GR'!F107</f>
        <v>1.3176000000000001</v>
      </c>
      <c r="L107" s="1">
        <v>0.39891472868217059</v>
      </c>
      <c r="M107" s="1">
        <f t="shared" si="40"/>
        <v>0.91868527131782951</v>
      </c>
      <c r="N107" s="1" t="str">
        <f t="shared" si="41"/>
        <v>sell the surplus or charge</v>
      </c>
      <c r="O107" s="1">
        <v>0.25</v>
      </c>
      <c r="P107" s="1">
        <f t="shared" si="54"/>
        <v>0.62670034978624167</v>
      </c>
      <c r="Q107" s="1">
        <f t="shared" si="55"/>
        <v>1.0676000000000001</v>
      </c>
      <c r="R107" s="1">
        <f t="shared" si="56"/>
        <v>63.253266467592461</v>
      </c>
      <c r="S107" s="1">
        <f t="shared" si="57"/>
        <v>54.43497320378934</v>
      </c>
      <c r="T107" s="1">
        <f t="shared" si="58"/>
        <v>51.013626999921158</v>
      </c>
      <c r="U107" s="1" t="str">
        <f t="shared" si="59"/>
        <v>sell to the Grid</v>
      </c>
      <c r="W107" s="1">
        <f>(Q107*E107)/1000</f>
        <v>6.3276652000000017E-2</v>
      </c>
      <c r="Y107" s="1">
        <f t="shared" si="38"/>
        <v>2.364367596899225E-2</v>
      </c>
      <c r="AA107" s="1">
        <f t="shared" si="42"/>
        <v>9.741576889734489</v>
      </c>
      <c r="AD107" s="1">
        <f t="shared" si="43"/>
        <v>0.25</v>
      </c>
    </row>
    <row r="108" spans="1:30" ht="15">
      <c r="A108" s="1">
        <v>107</v>
      </c>
      <c r="B108" s="1">
        <f t="shared" si="46"/>
        <v>1.9100000000000001</v>
      </c>
      <c r="C108" s="1">
        <f t="shared" si="39"/>
        <v>0</v>
      </c>
      <c r="D108" s="1">
        <f t="shared" si="44"/>
        <v>4.0660515891472873</v>
      </c>
      <c r="E108">
        <v>59.27</v>
      </c>
      <c r="K108" s="1">
        <f>'Solar Availability and Gener GR'!F108</f>
        <v>2.16</v>
      </c>
      <c r="L108" s="1">
        <v>0.39891472868217059</v>
      </c>
      <c r="M108" s="1">
        <f t="shared" si="40"/>
        <v>1.7610852713178295</v>
      </c>
      <c r="N108" s="1" t="str">
        <f t="shared" si="41"/>
        <v>sell the surplus or charge</v>
      </c>
      <c r="O108" s="1">
        <v>0.25</v>
      </c>
      <c r="P108" s="1">
        <f t="shared" si="54"/>
        <v>0.62670034978624167</v>
      </c>
      <c r="Q108" s="1">
        <f t="shared" si="55"/>
        <v>1.9100000000000001</v>
      </c>
      <c r="R108" s="1">
        <f t="shared" si="56"/>
        <v>113.18231446759245</v>
      </c>
      <c r="S108" s="1">
        <f t="shared" si="57"/>
        <v>104.36402120378933</v>
      </c>
      <c r="T108" s="1">
        <f t="shared" si="58"/>
        <v>54.654128829543751</v>
      </c>
      <c r="U108" s="1" t="str">
        <f t="shared" si="59"/>
        <v>charge</v>
      </c>
      <c r="Y108" s="1">
        <f t="shared" si="38"/>
        <v>2.364367596899225E-2</v>
      </c>
      <c r="AA108" s="1">
        <f t="shared" si="42"/>
        <v>11.502662161052319</v>
      </c>
      <c r="AD108" s="1">
        <f t="shared" si="43"/>
        <v>0.25</v>
      </c>
    </row>
    <row r="109" spans="1:30" ht="15">
      <c r="A109" s="1">
        <v>108</v>
      </c>
      <c r="B109" s="1">
        <f t="shared" si="46"/>
        <v>2.4068000000000001</v>
      </c>
      <c r="C109" s="1">
        <f t="shared" si="39"/>
        <v>0</v>
      </c>
      <c r="D109" s="1">
        <f t="shared" si="44"/>
        <v>5.9914915891472873</v>
      </c>
      <c r="E109">
        <v>59.27</v>
      </c>
      <c r="K109" s="1">
        <f>'Solar Availability and Gener GR'!F109</f>
        <v>2.6568000000000001</v>
      </c>
      <c r="L109" s="1">
        <v>0.39891472868217059</v>
      </c>
      <c r="M109" s="1">
        <f t="shared" si="40"/>
        <v>2.2578852713178295</v>
      </c>
      <c r="N109" s="1" t="str">
        <f t="shared" si="41"/>
        <v>sell the surplus or charge</v>
      </c>
      <c r="O109" s="1">
        <v>0.25</v>
      </c>
      <c r="P109" s="1">
        <f t="shared" si="54"/>
        <v>0.62670034978624167</v>
      </c>
      <c r="Q109" s="1">
        <f t="shared" si="55"/>
        <v>2.4068000000000001</v>
      </c>
      <c r="R109" s="1">
        <f t="shared" si="56"/>
        <v>142.62765046759245</v>
      </c>
      <c r="S109" s="1">
        <f t="shared" si="57"/>
        <v>133.80935720378932</v>
      </c>
      <c r="T109" s="1">
        <f t="shared" si="58"/>
        <v>55.606734060221505</v>
      </c>
      <c r="U109" s="1" t="str">
        <f t="shared" si="59"/>
        <v>charge</v>
      </c>
      <c r="Y109" s="1">
        <f t="shared" si="38"/>
        <v>2.364367596899225E-2</v>
      </c>
      <c r="AA109" s="1">
        <f t="shared" si="42"/>
        <v>13.760547432370149</v>
      </c>
      <c r="AD109" s="1">
        <f t="shared" si="43"/>
        <v>0.25</v>
      </c>
    </row>
    <row r="110" spans="1:30" ht="15">
      <c r="A110" s="1">
        <v>109</v>
      </c>
      <c r="B110" s="1">
        <f t="shared" si="46"/>
        <v>2.6732000000000005</v>
      </c>
      <c r="C110" s="1">
        <f t="shared" si="39"/>
        <v>0</v>
      </c>
      <c r="D110" s="1">
        <f t="shared" si="44"/>
        <v>8.1300515891472873</v>
      </c>
      <c r="E110">
        <v>59.27</v>
      </c>
      <c r="K110" s="1">
        <f>'Solar Availability and Gener GR'!F110</f>
        <v>2.9232000000000005</v>
      </c>
      <c r="L110" s="1">
        <v>0.39891472868217059</v>
      </c>
      <c r="M110" s="1">
        <f t="shared" si="40"/>
        <v>2.5242852713178299</v>
      </c>
      <c r="N110" s="1" t="str">
        <f t="shared" si="41"/>
        <v>sell the surplus or charge</v>
      </c>
      <c r="O110" s="1">
        <v>0.25</v>
      </c>
      <c r="P110" s="1">
        <f t="shared" si="54"/>
        <v>0.62670034978624167</v>
      </c>
      <c r="Q110" s="1">
        <f t="shared" si="55"/>
        <v>2.6732000000000005</v>
      </c>
      <c r="R110" s="1">
        <f t="shared" si="56"/>
        <v>158.41717846759246</v>
      </c>
      <c r="S110" s="1">
        <f t="shared" si="57"/>
        <v>149.59888520378937</v>
      </c>
      <c r="T110" s="1">
        <f t="shared" si="58"/>
        <v>55.971739099022678</v>
      </c>
      <c r="U110" s="1" t="str">
        <f t="shared" si="59"/>
        <v>charge</v>
      </c>
      <c r="Y110" s="1">
        <f t="shared" si="38"/>
        <v>2.364367596899225E-2</v>
      </c>
      <c r="AA110" s="1">
        <f t="shared" si="42"/>
        <v>16.284832703687979</v>
      </c>
      <c r="AD110" s="1">
        <f t="shared" si="43"/>
        <v>0.25</v>
      </c>
    </row>
    <row r="111" spans="1:30" ht="15">
      <c r="A111" s="1">
        <v>110</v>
      </c>
      <c r="B111" s="1">
        <f t="shared" si="46"/>
        <v>2.7307999999999995</v>
      </c>
      <c r="C111" s="1">
        <f t="shared" si="39"/>
        <v>0</v>
      </c>
      <c r="D111" s="1">
        <f t="shared" si="44"/>
        <v>10.314691589147287</v>
      </c>
      <c r="E111">
        <v>59.27</v>
      </c>
      <c r="K111" s="1">
        <f>'Solar Availability and Gener GR'!F111</f>
        <v>2.9807999999999995</v>
      </c>
      <c r="L111" s="1">
        <v>0.39891472868217059</v>
      </c>
      <c r="M111" s="1">
        <f t="shared" si="40"/>
        <v>2.5818852713178289</v>
      </c>
      <c r="N111" s="1" t="str">
        <f t="shared" si="41"/>
        <v>sell the surplus or charge</v>
      </c>
      <c r="O111" s="1">
        <v>0.25</v>
      </c>
      <c r="P111" s="1">
        <f t="shared" si="54"/>
        <v>0.62670034978624167</v>
      </c>
      <c r="Q111" s="1">
        <f t="shared" si="55"/>
        <v>2.7307999999999995</v>
      </c>
      <c r="R111" s="1">
        <f t="shared" si="56"/>
        <v>161.83113046759243</v>
      </c>
      <c r="S111" s="1">
        <f t="shared" si="57"/>
        <v>153.0128372037893</v>
      </c>
      <c r="T111" s="1">
        <f t="shared" si="58"/>
        <v>56.041297135621519</v>
      </c>
      <c r="U111" s="1" t="str">
        <f t="shared" si="59"/>
        <v>charge</v>
      </c>
      <c r="Y111" s="1">
        <f t="shared" si="38"/>
        <v>2.364367596899225E-2</v>
      </c>
      <c r="AA111" s="1">
        <f t="shared" si="42"/>
        <v>18.866717975005809</v>
      </c>
      <c r="AD111" s="1">
        <f t="shared" si="43"/>
        <v>0.25</v>
      </c>
    </row>
    <row r="112" spans="1:30" ht="15">
      <c r="A112" s="1">
        <v>111</v>
      </c>
      <c r="B112" s="1">
        <f t="shared" si="46"/>
        <v>2.5580000000000003</v>
      </c>
      <c r="C112" s="1">
        <f t="shared" si="39"/>
        <v>0</v>
      </c>
      <c r="D112" s="1">
        <f t="shared" si="44"/>
        <v>12.361091589147287</v>
      </c>
      <c r="E112">
        <v>59.27</v>
      </c>
      <c r="K112" s="1">
        <f>'Solar Availability and Gener GR'!F112</f>
        <v>2.8080000000000003</v>
      </c>
      <c r="L112" s="1">
        <v>0.39891472868217059</v>
      </c>
      <c r="M112" s="1">
        <f t="shared" si="40"/>
        <v>2.4090852713178297</v>
      </c>
      <c r="N112" s="1" t="str">
        <f t="shared" si="41"/>
        <v>sell the surplus or charge</v>
      </c>
      <c r="O112" s="1">
        <v>0.25</v>
      </c>
      <c r="P112" s="1">
        <f t="shared" si="54"/>
        <v>0.62670034978624167</v>
      </c>
      <c r="Q112" s="1">
        <f t="shared" si="55"/>
        <v>2.5580000000000003</v>
      </c>
      <c r="R112" s="1">
        <f t="shared" si="56"/>
        <v>151.58927446759247</v>
      </c>
      <c r="S112" s="1">
        <f t="shared" si="57"/>
        <v>142.77098120378935</v>
      </c>
      <c r="T112" s="1">
        <f t="shared" si="58"/>
        <v>55.823227072559099</v>
      </c>
      <c r="U112" s="1" t="str">
        <f t="shared" si="59"/>
        <v>charge</v>
      </c>
      <c r="Y112" s="1">
        <f t="shared" si="38"/>
        <v>2.364367596899225E-2</v>
      </c>
      <c r="AA112" s="1">
        <f t="shared" si="42"/>
        <v>21.27580324632364</v>
      </c>
      <c r="AD112" s="1">
        <f t="shared" si="43"/>
        <v>0.25</v>
      </c>
    </row>
    <row r="113" spans="1:30" ht="15">
      <c r="A113" s="1">
        <v>112</v>
      </c>
      <c r="B113" s="1">
        <f t="shared" si="46"/>
        <v>2.27</v>
      </c>
      <c r="C113" s="1">
        <f t="shared" si="39"/>
        <v>0</v>
      </c>
      <c r="D113" s="1">
        <f t="shared" si="44"/>
        <v>14.177091589147288</v>
      </c>
      <c r="E113">
        <v>59.27</v>
      </c>
      <c r="K113" s="1">
        <f>'Solar Availability and Gener GR'!F113</f>
        <v>2.52</v>
      </c>
      <c r="L113" s="1">
        <v>0.39891472868217059</v>
      </c>
      <c r="M113" s="1">
        <f t="shared" si="40"/>
        <v>2.1210852713178294</v>
      </c>
      <c r="N113" s="1" t="str">
        <f t="shared" si="41"/>
        <v>sell the surplus or charge</v>
      </c>
      <c r="O113" s="1">
        <v>0.25</v>
      </c>
      <c r="P113" s="1">
        <f t="shared" si="54"/>
        <v>0.62670034978624167</v>
      </c>
      <c r="Q113" s="1">
        <f t="shared" si="55"/>
        <v>2.27</v>
      </c>
      <c r="R113" s="1">
        <f t="shared" si="56"/>
        <v>134.51951446759244</v>
      </c>
      <c r="S113" s="1">
        <f t="shared" si="57"/>
        <v>125.70122120378933</v>
      </c>
      <c r="T113" s="1">
        <f t="shared" si="58"/>
        <v>55.386013606498544</v>
      </c>
      <c r="U113" s="1" t="str">
        <f t="shared" si="59"/>
        <v>charge</v>
      </c>
      <c r="Y113" s="1">
        <f t="shared" si="38"/>
        <v>2.364367596899225E-2</v>
      </c>
      <c r="AA113" s="1">
        <f t="shared" si="42"/>
        <v>23.396888517641472</v>
      </c>
      <c r="AD113" s="1">
        <f t="shared" si="43"/>
        <v>0.25</v>
      </c>
    </row>
    <row r="114" spans="1:30" ht="15">
      <c r="A114" s="1">
        <v>113</v>
      </c>
      <c r="B114" s="1">
        <f t="shared" si="46"/>
        <v>1.8487999999999998</v>
      </c>
      <c r="C114" s="1">
        <f t="shared" si="39"/>
        <v>0</v>
      </c>
      <c r="D114" s="1">
        <f t="shared" si="44"/>
        <v>15.656131589147288</v>
      </c>
      <c r="E114">
        <v>59.27</v>
      </c>
      <c r="K114" s="1">
        <f>'Solar Availability and Gener GR'!F114</f>
        <v>2.0987999999999998</v>
      </c>
      <c r="L114" s="1">
        <v>0.39891472868217059</v>
      </c>
      <c r="M114" s="1">
        <f t="shared" si="40"/>
        <v>1.6998852713178292</v>
      </c>
      <c r="N114" s="1" t="str">
        <f t="shared" si="41"/>
        <v>sell the surplus or charge</v>
      </c>
      <c r="O114" s="1">
        <v>0.25</v>
      </c>
      <c r="P114" s="1">
        <f t="shared" si="54"/>
        <v>0.62670034978624167</v>
      </c>
      <c r="Q114" s="1">
        <f t="shared" si="55"/>
        <v>1.8487999999999998</v>
      </c>
      <c r="R114" s="1">
        <f t="shared" si="56"/>
        <v>109.55499046759243</v>
      </c>
      <c r="S114" s="1">
        <f t="shared" si="57"/>
        <v>100.73669720378932</v>
      </c>
      <c r="T114" s="1">
        <f t="shared" si="58"/>
        <v>54.501370163401049</v>
      </c>
      <c r="U114" s="1" t="str">
        <f t="shared" si="59"/>
        <v>charge</v>
      </c>
      <c r="Y114" s="1">
        <f t="shared" si="38"/>
        <v>2.364367596899225E-2</v>
      </c>
      <c r="AA114" s="1">
        <f t="shared" si="42"/>
        <v>25.0967737889593</v>
      </c>
      <c r="AD114" s="1">
        <f t="shared" si="43"/>
        <v>0.25</v>
      </c>
    </row>
    <row r="115" spans="1:30" ht="15">
      <c r="A115" s="1">
        <v>114</v>
      </c>
      <c r="B115" s="1">
        <f t="shared" si="46"/>
        <v>0</v>
      </c>
      <c r="C115" s="1">
        <f t="shared" si="39"/>
        <v>0</v>
      </c>
      <c r="D115" s="1">
        <f t="shared" si="44"/>
        <v>15.656131589147288</v>
      </c>
      <c r="E115">
        <v>59.27</v>
      </c>
      <c r="K115" s="1">
        <f>'Solar Availability and Gener GR'!F115</f>
        <v>1.4867999999999999</v>
      </c>
      <c r="L115" s="1">
        <v>0.66914728682170543</v>
      </c>
      <c r="M115" s="1">
        <f t="shared" si="40"/>
        <v>0.81765271317829447</v>
      </c>
      <c r="N115" s="1" t="str">
        <f t="shared" si="41"/>
        <v>sell the surplus or charge</v>
      </c>
      <c r="O115" s="1">
        <v>0.25</v>
      </c>
      <c r="P115" s="1">
        <f t="shared" si="54"/>
        <v>0.3736098239110287</v>
      </c>
      <c r="Q115" s="1">
        <f t="shared" si="55"/>
        <v>1.2367999999999999</v>
      </c>
      <c r="R115" s="1">
        <f t="shared" si="56"/>
        <v>73.281750467592445</v>
      </c>
      <c r="S115" s="1">
        <f t="shared" si="57"/>
        <v>48.455499132557073</v>
      </c>
      <c r="T115" s="1">
        <f t="shared" si="58"/>
        <v>39.206709033832169</v>
      </c>
      <c r="U115" s="1" t="str">
        <f t="shared" si="59"/>
        <v>sell to the Grid</v>
      </c>
      <c r="W115" s="1">
        <f>(Q115*E115)/1000</f>
        <v>7.3305136000000007E-2</v>
      </c>
      <c r="Y115" s="1">
        <f t="shared" si="38"/>
        <v>3.9660359689922479E-2</v>
      </c>
      <c r="AA115" s="1">
        <f t="shared" si="42"/>
        <v>25.914426502137594</v>
      </c>
      <c r="AD115" s="1">
        <f t="shared" si="43"/>
        <v>0.25</v>
      </c>
    </row>
    <row r="116" spans="1:30" ht="15">
      <c r="A116" s="1">
        <v>115</v>
      </c>
      <c r="B116" s="1">
        <f t="shared" si="46"/>
        <v>0</v>
      </c>
      <c r="C116" s="1">
        <f t="shared" si="39"/>
        <v>0</v>
      </c>
      <c r="D116" s="1">
        <f t="shared" si="44"/>
        <v>15.656131589147288</v>
      </c>
      <c r="E116">
        <v>59.27</v>
      </c>
      <c r="K116" s="1">
        <f>'Solar Availability and Gener GR'!F116</f>
        <v>0.89279999999999993</v>
      </c>
      <c r="L116" s="1">
        <v>0.66914728682170543</v>
      </c>
      <c r="M116" s="1">
        <f t="shared" si="40"/>
        <v>0.22365271317829449</v>
      </c>
      <c r="N116" s="1" t="str">
        <f t="shared" si="41"/>
        <v>sell the surplus or charge</v>
      </c>
      <c r="O116" s="1">
        <v>0.25</v>
      </c>
      <c r="P116" s="1">
        <f t="shared" si="54"/>
        <v>0.3736098239110287</v>
      </c>
      <c r="Q116" s="1">
        <f t="shared" si="55"/>
        <v>0.64279999999999993</v>
      </c>
      <c r="R116" s="1">
        <f t="shared" si="56"/>
        <v>38.075370467592442</v>
      </c>
      <c r="S116" s="1">
        <f t="shared" si="57"/>
        <v>13.249119132557073</v>
      </c>
      <c r="T116" s="1">
        <f t="shared" si="58"/>
        <v>20.715680123074357</v>
      </c>
      <c r="U116" s="1" t="str">
        <f t="shared" si="59"/>
        <v>sell to the Grid</v>
      </c>
      <c r="W116" s="1">
        <f>(Q116*E116)/1000</f>
        <v>3.8098755999999998E-2</v>
      </c>
      <c r="Y116" s="1">
        <f t="shared" si="38"/>
        <v>3.9660359689922479E-2</v>
      </c>
      <c r="AA116" s="1">
        <f t="shared" si="42"/>
        <v>26.138079215315887</v>
      </c>
      <c r="AD116" s="1">
        <f t="shared" si="43"/>
        <v>0.25</v>
      </c>
    </row>
    <row r="117" spans="1:30" ht="15">
      <c r="A117" s="1">
        <v>116</v>
      </c>
      <c r="B117" s="1">
        <f t="shared" si="46"/>
        <v>0</v>
      </c>
      <c r="C117" s="1">
        <f t="shared" si="39"/>
        <v>0</v>
      </c>
      <c r="D117" s="1">
        <f t="shared" si="44"/>
        <v>15.656131589147288</v>
      </c>
      <c r="E117">
        <v>59.27</v>
      </c>
      <c r="K117" s="1">
        <f>'Solar Availability and Gener GR'!F117</f>
        <v>0.31679999999999997</v>
      </c>
      <c r="L117" s="1">
        <v>0.66914728682170543</v>
      </c>
      <c r="M117" s="1">
        <f t="shared" si="40"/>
        <v>-0.35234728682170546</v>
      </c>
      <c r="N117" s="1" t="str">
        <f t="shared" si="41"/>
        <v>Buy from Grid</v>
      </c>
      <c r="V117" s="1" t="str">
        <f t="shared" ref="V117:V129" si="60">IF(D117+M117&gt;0,"discharge","buy from the Grid")</f>
        <v>discharge</v>
      </c>
      <c r="Y117" s="1">
        <f t="shared" si="38"/>
        <v>3.9660359689922479E-2</v>
      </c>
      <c r="AA117" s="1">
        <f t="shared" si="42"/>
        <v>25.785731928494183</v>
      </c>
      <c r="AD117" s="1">
        <f t="shared" si="43"/>
        <v>0</v>
      </c>
    </row>
    <row r="118" spans="1:30" ht="15">
      <c r="A118" s="1">
        <v>117</v>
      </c>
      <c r="B118" s="1">
        <f t="shared" si="46"/>
        <v>0</v>
      </c>
      <c r="C118" s="1">
        <f t="shared" si="39"/>
        <v>-0.35234728682170546</v>
      </c>
      <c r="D118" s="1">
        <f t="shared" si="44"/>
        <v>15.215697480620156</v>
      </c>
      <c r="E118">
        <v>59.27</v>
      </c>
      <c r="K118" s="1">
        <f>'Solar Availability and Gener GR'!F118</f>
        <v>2.1599999999999998E-2</v>
      </c>
      <c r="L118" s="1">
        <v>0.66914728682170543</v>
      </c>
      <c r="M118" s="1">
        <f t="shared" si="40"/>
        <v>-0.64754728682170548</v>
      </c>
      <c r="N118" s="1" t="str">
        <f t="shared" si="41"/>
        <v>Buy from Grid</v>
      </c>
      <c r="V118" s="1" t="str">
        <f t="shared" si="60"/>
        <v>discharge</v>
      </c>
      <c r="Y118" s="1">
        <f t="shared" si="38"/>
        <v>3.9660359689922479E-2</v>
      </c>
      <c r="AA118" s="1">
        <f t="shared" si="42"/>
        <v>25.138184641672478</v>
      </c>
      <c r="AD118" s="1">
        <f t="shared" si="43"/>
        <v>0</v>
      </c>
    </row>
    <row r="119" spans="1:30" ht="15">
      <c r="A119" s="1">
        <v>118</v>
      </c>
      <c r="B119" s="1">
        <f t="shared" si="46"/>
        <v>0</v>
      </c>
      <c r="C119" s="1">
        <f t="shared" si="39"/>
        <v>-0.64754728682170548</v>
      </c>
      <c r="D119" s="1">
        <f t="shared" si="44"/>
        <v>14.406263372093024</v>
      </c>
      <c r="E119">
        <v>59.27</v>
      </c>
      <c r="K119" s="1">
        <f>'Solar Availability and Gener GR'!F119</f>
        <v>0</v>
      </c>
      <c r="L119" s="1">
        <v>0.39891472868217059</v>
      </c>
      <c r="M119" s="1">
        <f t="shared" si="40"/>
        <v>-0.39891472868217059</v>
      </c>
      <c r="N119" s="1" t="str">
        <f t="shared" si="41"/>
        <v>Buy from Grid</v>
      </c>
      <c r="V119" s="1" t="str">
        <f t="shared" si="60"/>
        <v>discharge</v>
      </c>
      <c r="Y119" s="1">
        <f t="shared" si="38"/>
        <v>2.364367596899225E-2</v>
      </c>
      <c r="AA119" s="1">
        <f t="shared" si="42"/>
        <v>24.739269912990306</v>
      </c>
      <c r="AD119" s="1">
        <f t="shared" si="43"/>
        <v>0</v>
      </c>
    </row>
    <row r="120" spans="1:30" ht="15">
      <c r="A120" s="1">
        <v>119</v>
      </c>
      <c r="B120" s="1">
        <f t="shared" si="46"/>
        <v>0</v>
      </c>
      <c r="C120" s="1">
        <f t="shared" si="39"/>
        <v>-0.39891472868217059</v>
      </c>
      <c r="D120" s="1">
        <f t="shared" si="44"/>
        <v>13.907619961240311</v>
      </c>
      <c r="E120">
        <v>59.27</v>
      </c>
      <c r="K120" s="1">
        <f>'Solar Availability and Gener GR'!F120</f>
        <v>0</v>
      </c>
      <c r="L120" s="1">
        <v>0.39891472868217059</v>
      </c>
      <c r="M120" s="1">
        <f t="shared" si="40"/>
        <v>-0.39891472868217059</v>
      </c>
      <c r="N120" s="1" t="str">
        <f t="shared" si="41"/>
        <v>Buy from Grid</v>
      </c>
      <c r="V120" s="1" t="str">
        <f t="shared" si="60"/>
        <v>discharge</v>
      </c>
      <c r="Y120" s="1">
        <f t="shared" si="38"/>
        <v>2.364367596899225E-2</v>
      </c>
      <c r="AA120" s="1">
        <f t="shared" si="42"/>
        <v>24.340355184308134</v>
      </c>
      <c r="AD120" s="1">
        <f t="shared" si="43"/>
        <v>0</v>
      </c>
    </row>
    <row r="121" spans="1:30" ht="15">
      <c r="A121" s="1">
        <v>120</v>
      </c>
      <c r="B121" s="1">
        <f t="shared" si="46"/>
        <v>0</v>
      </c>
      <c r="C121" s="1">
        <f t="shared" si="39"/>
        <v>-0.39891472868217059</v>
      </c>
      <c r="D121" s="1">
        <f t="shared" si="44"/>
        <v>13.408976550387598</v>
      </c>
      <c r="E121">
        <v>59.27</v>
      </c>
      <c r="K121" s="1">
        <f>'Solar Availability and Gener GR'!F121</f>
        <v>0</v>
      </c>
      <c r="L121" s="1">
        <v>0.29596899224806206</v>
      </c>
      <c r="M121" s="1">
        <f t="shared" si="40"/>
        <v>-0.29596899224806206</v>
      </c>
      <c r="N121" s="1" t="str">
        <f t="shared" si="41"/>
        <v>Buy from Grid</v>
      </c>
      <c r="V121" s="1" t="str">
        <f t="shared" si="60"/>
        <v>discharge</v>
      </c>
      <c r="Y121" s="1">
        <f t="shared" si="38"/>
        <v>1.754208217054264E-2</v>
      </c>
      <c r="AA121" s="1">
        <f t="shared" si="42"/>
        <v>24.04438619206007</v>
      </c>
      <c r="AD121" s="1">
        <f t="shared" si="43"/>
        <v>0</v>
      </c>
    </row>
    <row r="122" spans="1:30" ht="15">
      <c r="A122" s="1">
        <v>121</v>
      </c>
      <c r="B122" s="1">
        <f t="shared" si="46"/>
        <v>0</v>
      </c>
      <c r="C122" s="1">
        <f t="shared" si="39"/>
        <v>-0.29596899224806206</v>
      </c>
      <c r="D122" s="1">
        <f t="shared" si="44"/>
        <v>13.03901531007752</v>
      </c>
      <c r="E122">
        <v>59.27</v>
      </c>
      <c r="K122" s="1">
        <f>'Solar Availability and Gener GR'!F122</f>
        <v>0</v>
      </c>
      <c r="L122" s="1">
        <v>0.29596899224806206</v>
      </c>
      <c r="M122" s="1">
        <f t="shared" si="40"/>
        <v>-0.29596899224806206</v>
      </c>
      <c r="N122" s="1" t="str">
        <f t="shared" si="41"/>
        <v>Buy from Grid</v>
      </c>
      <c r="V122" s="1" t="str">
        <f t="shared" si="60"/>
        <v>discharge</v>
      </c>
      <c r="Y122" s="1">
        <f t="shared" si="38"/>
        <v>1.754208217054264E-2</v>
      </c>
      <c r="AA122" s="1">
        <f t="shared" si="42"/>
        <v>23.748417199812007</v>
      </c>
      <c r="AD122" s="1">
        <f t="shared" si="43"/>
        <v>0</v>
      </c>
    </row>
    <row r="123" spans="1:30" ht="15">
      <c r="A123" s="1">
        <v>122</v>
      </c>
      <c r="B123" s="1">
        <f t="shared" si="46"/>
        <v>0</v>
      </c>
      <c r="C123" s="1">
        <f t="shared" si="39"/>
        <v>-0.29596899224806206</v>
      </c>
      <c r="D123" s="1">
        <f t="shared" si="44"/>
        <v>12.669054069767443</v>
      </c>
      <c r="E123">
        <v>59.27</v>
      </c>
      <c r="K123" s="1">
        <f>'Solar Availability and Gener GR'!F123</f>
        <v>0</v>
      </c>
      <c r="L123" s="1">
        <v>0.30883720930232561</v>
      </c>
      <c r="M123" s="1">
        <f t="shared" si="40"/>
        <v>-0.30883720930232561</v>
      </c>
      <c r="N123" s="1" t="str">
        <f t="shared" si="41"/>
        <v>Buy from Grid</v>
      </c>
      <c r="V123" s="1" t="str">
        <f t="shared" si="60"/>
        <v>discharge</v>
      </c>
      <c r="Y123" s="1">
        <f t="shared" si="38"/>
        <v>1.830478139534884E-2</v>
      </c>
      <c r="AA123" s="1">
        <f t="shared" si="42"/>
        <v>23.439579990509682</v>
      </c>
      <c r="AD123" s="1">
        <f t="shared" si="43"/>
        <v>0</v>
      </c>
    </row>
    <row r="124" spans="1:30" ht="15">
      <c r="A124" s="1">
        <v>123</v>
      </c>
      <c r="B124" s="1">
        <f t="shared" si="46"/>
        <v>0</v>
      </c>
      <c r="C124" s="1">
        <f t="shared" si="39"/>
        <v>-0.30883720930232561</v>
      </c>
      <c r="D124" s="1">
        <f t="shared" si="44"/>
        <v>12.283007558139536</v>
      </c>
      <c r="E124">
        <v>59.27</v>
      </c>
      <c r="K124" s="1">
        <f>'Solar Availability and Gener GR'!F124</f>
        <v>0</v>
      </c>
      <c r="L124" s="1">
        <v>0.30883720930232561</v>
      </c>
      <c r="M124" s="1">
        <f t="shared" si="40"/>
        <v>-0.30883720930232561</v>
      </c>
      <c r="N124" s="1" t="str">
        <f t="shared" si="41"/>
        <v>Buy from Grid</v>
      </c>
      <c r="V124" s="1" t="str">
        <f t="shared" si="60"/>
        <v>discharge</v>
      </c>
      <c r="Y124" s="1">
        <f t="shared" si="38"/>
        <v>1.830478139534884E-2</v>
      </c>
      <c r="AA124" s="1">
        <f t="shared" si="42"/>
        <v>23.130742781207356</v>
      </c>
      <c r="AD124" s="1">
        <f t="shared" si="43"/>
        <v>0</v>
      </c>
    </row>
    <row r="125" spans="1:30" ht="15">
      <c r="A125" s="1">
        <v>124</v>
      </c>
      <c r="B125" s="1">
        <f t="shared" si="46"/>
        <v>0</v>
      </c>
      <c r="C125" s="1">
        <f t="shared" si="39"/>
        <v>-0.30883720930232561</v>
      </c>
      <c r="D125" s="1">
        <f t="shared" si="44"/>
        <v>11.896961046511629</v>
      </c>
      <c r="E125">
        <v>59.27</v>
      </c>
      <c r="K125" s="1">
        <f>'Solar Availability and Gener GR'!F125</f>
        <v>0</v>
      </c>
      <c r="L125" s="1">
        <v>0.30883720930232561</v>
      </c>
      <c r="M125" s="1">
        <f t="shared" si="40"/>
        <v>-0.30883720930232561</v>
      </c>
      <c r="N125" s="1" t="str">
        <f t="shared" si="41"/>
        <v>Buy from Grid</v>
      </c>
      <c r="V125" s="1" t="str">
        <f t="shared" si="60"/>
        <v>discharge</v>
      </c>
      <c r="Y125" s="1">
        <f t="shared" si="38"/>
        <v>1.830478139534884E-2</v>
      </c>
      <c r="AA125" s="1">
        <f t="shared" si="42"/>
        <v>22.821905571905031</v>
      </c>
      <c r="AD125" s="1">
        <f t="shared" si="43"/>
        <v>0</v>
      </c>
    </row>
    <row r="126" spans="1:30" ht="15">
      <c r="A126" s="1">
        <v>125</v>
      </c>
      <c r="B126" s="1">
        <f t="shared" si="46"/>
        <v>0</v>
      </c>
      <c r="C126" s="1">
        <f t="shared" si="39"/>
        <v>-0.30883720930232561</v>
      </c>
      <c r="D126" s="1">
        <f t="shared" si="44"/>
        <v>11.510914534883723</v>
      </c>
      <c r="E126">
        <v>59.27</v>
      </c>
      <c r="K126" s="1">
        <f>'Solar Availability and Gener GR'!F126</f>
        <v>0</v>
      </c>
      <c r="L126" s="1">
        <v>0.39891472868217059</v>
      </c>
      <c r="M126" s="1">
        <f t="shared" si="40"/>
        <v>-0.39891472868217059</v>
      </c>
      <c r="N126" s="1" t="str">
        <f t="shared" si="41"/>
        <v>Buy from Grid</v>
      </c>
      <c r="V126" s="1" t="str">
        <f t="shared" si="60"/>
        <v>discharge</v>
      </c>
      <c r="Y126" s="1">
        <f t="shared" si="38"/>
        <v>2.364367596899225E-2</v>
      </c>
      <c r="AA126" s="1">
        <f t="shared" si="42"/>
        <v>22.422990843222859</v>
      </c>
      <c r="AD126" s="1">
        <f t="shared" si="43"/>
        <v>0</v>
      </c>
    </row>
    <row r="127" spans="1:30" ht="15">
      <c r="A127" s="1">
        <v>126</v>
      </c>
      <c r="B127" s="1">
        <f t="shared" si="46"/>
        <v>0</v>
      </c>
      <c r="C127" s="1">
        <f t="shared" si="39"/>
        <v>-0.39891472868217059</v>
      </c>
      <c r="D127" s="1">
        <f t="shared" si="44"/>
        <v>11.01227112403101</v>
      </c>
      <c r="E127">
        <v>59.27</v>
      </c>
      <c r="K127" s="1">
        <f>'Solar Availability and Gener GR'!F127</f>
        <v>0</v>
      </c>
      <c r="L127" s="1">
        <v>0.65627906976744199</v>
      </c>
      <c r="M127" s="1">
        <f t="shared" si="40"/>
        <v>-0.65627906976744199</v>
      </c>
      <c r="N127" s="1" t="str">
        <f t="shared" si="41"/>
        <v>Buy from Grid</v>
      </c>
      <c r="V127" s="1" t="str">
        <f t="shared" si="60"/>
        <v>discharge</v>
      </c>
      <c r="Y127" s="1">
        <f t="shared" si="38"/>
        <v>3.8897660465116286E-2</v>
      </c>
      <c r="AA127" s="1">
        <f t="shared" si="42"/>
        <v>21.766711773455416</v>
      </c>
      <c r="AD127" s="1">
        <f t="shared" si="43"/>
        <v>0</v>
      </c>
    </row>
    <row r="128" spans="1:30" ht="15">
      <c r="A128" s="1">
        <v>127</v>
      </c>
      <c r="B128" s="1">
        <f t="shared" si="46"/>
        <v>0</v>
      </c>
      <c r="C128" s="1">
        <f t="shared" si="39"/>
        <v>-0.65627906976744199</v>
      </c>
      <c r="D128" s="1">
        <f t="shared" si="44"/>
        <v>10.191922286821708</v>
      </c>
      <c r="E128">
        <v>59.27</v>
      </c>
      <c r="K128" s="1">
        <f>'Solar Availability and Gener GR'!F128</f>
        <v>7.4098637941778636E-2</v>
      </c>
      <c r="L128" s="1">
        <v>0.66914728682170543</v>
      </c>
      <c r="M128" s="1">
        <f t="shared" si="40"/>
        <v>-0.59504864887992681</v>
      </c>
      <c r="N128" s="1" t="str">
        <f t="shared" si="41"/>
        <v>Buy from Grid</v>
      </c>
      <c r="V128" s="1" t="str">
        <f t="shared" si="60"/>
        <v>discharge</v>
      </c>
      <c r="Y128" s="1">
        <f t="shared" si="38"/>
        <v>3.9660359689922479E-2</v>
      </c>
      <c r="AA128" s="1">
        <f t="shared" si="42"/>
        <v>21.171663124575488</v>
      </c>
      <c r="AD128" s="1">
        <f t="shared" si="43"/>
        <v>0</v>
      </c>
    </row>
    <row r="129" spans="1:30" ht="15">
      <c r="A129" s="1">
        <v>128</v>
      </c>
      <c r="B129" s="1">
        <f t="shared" si="46"/>
        <v>0</v>
      </c>
      <c r="C129" s="1">
        <f t="shared" si="39"/>
        <v>-0.59504864887992681</v>
      </c>
      <c r="D129" s="1">
        <f t="shared" si="44"/>
        <v>9.4481114757217988</v>
      </c>
      <c r="E129">
        <v>59.27</v>
      </c>
      <c r="K129" s="1">
        <f>'Solar Availability and Gener GR'!F129</f>
        <v>0.39921659396421116</v>
      </c>
      <c r="L129" s="1">
        <v>0.65627906976744199</v>
      </c>
      <c r="M129" s="1">
        <f t="shared" si="40"/>
        <v>-0.25706247580323083</v>
      </c>
      <c r="N129" s="1" t="str">
        <f t="shared" si="41"/>
        <v>Buy from Grid</v>
      </c>
      <c r="V129" s="1" t="str">
        <f t="shared" si="60"/>
        <v>discharge</v>
      </c>
      <c r="Y129" s="1">
        <f t="shared" si="38"/>
        <v>3.8897660465116286E-2</v>
      </c>
      <c r="AA129" s="1">
        <f t="shared" si="42"/>
        <v>20.914600648772257</v>
      </c>
      <c r="AD129" s="1">
        <f t="shared" si="43"/>
        <v>0</v>
      </c>
    </row>
    <row r="130" spans="1:30" ht="15">
      <c r="A130" s="1">
        <v>129</v>
      </c>
      <c r="B130" s="1">
        <f t="shared" si="46"/>
        <v>0</v>
      </c>
      <c r="C130" s="1">
        <f t="shared" si="39"/>
        <v>-0.25706247580323083</v>
      </c>
      <c r="D130" s="1">
        <f t="shared" si="44"/>
        <v>9.1267833809677601</v>
      </c>
      <c r="E130">
        <v>59.27</v>
      </c>
      <c r="K130" s="1">
        <f>'Solar Availability and Gener GR'!F130</f>
        <v>0.82006587732573366</v>
      </c>
      <c r="L130" s="1">
        <v>0.39891472868217059</v>
      </c>
      <c r="M130" s="1">
        <f t="shared" si="40"/>
        <v>0.42115114864356307</v>
      </c>
      <c r="N130" s="1" t="str">
        <f t="shared" si="41"/>
        <v>sell the surplus or charge</v>
      </c>
      <c r="O130" s="1">
        <v>0.25</v>
      </c>
      <c r="P130" s="1">
        <f t="shared" ref="P130:P140" si="61">0.25/L130</f>
        <v>0.62670034978624167</v>
      </c>
      <c r="Q130" s="1">
        <f t="shared" ref="Q130:Q140" si="62">K130-P130*L130</f>
        <v>0.57006587732573366</v>
      </c>
      <c r="R130" s="1">
        <f t="shared" ref="R130:R140" si="63">((1/(E130+0.01))*LN(0.25))+(E130*(K130-0.25))</f>
        <v>33.764419016688684</v>
      </c>
      <c r="S130" s="1">
        <f t="shared" ref="S130:S140" si="64">((1/(E130+0.01))*LN(L130))+(E130*(K130-L130))</f>
        <v>24.94612575288556</v>
      </c>
      <c r="T130" s="1">
        <f t="shared" ref="T130:T140" si="65">(S130+((S130^2)-4*(K130-L130*P130)*LN(L130*P130))^(0.5))/(2*(K130-L130*P130))</f>
        <v>43.815576498690056</v>
      </c>
      <c r="U130" s="1" t="str">
        <f t="shared" ref="U130:U140" si="66">IF(E130&gt;=T130*1.1,"sell to the Grid","charge")</f>
        <v>sell to the Grid</v>
      </c>
      <c r="W130" s="1">
        <f>(Q130*E130)/1000</f>
        <v>3.3787804549096238E-2</v>
      </c>
      <c r="Y130" s="1">
        <f t="shared" ref="Y130:Y193" si="67">(L130*E130)/1000</f>
        <v>2.364367596899225E-2</v>
      </c>
      <c r="AA130" s="1">
        <f t="shared" si="42"/>
        <v>21.335751797415821</v>
      </c>
      <c r="AD130" s="1">
        <f t="shared" si="43"/>
        <v>0.25</v>
      </c>
    </row>
    <row r="131" spans="1:30" ht="15">
      <c r="A131" s="1">
        <v>130</v>
      </c>
      <c r="B131" s="1">
        <f t="shared" si="46"/>
        <v>0</v>
      </c>
      <c r="C131" s="1">
        <f t="shared" ref="C131:C194" si="68">IF(V130="discharge",M130,0)</f>
        <v>0</v>
      </c>
      <c r="D131" s="1">
        <f t="shared" si="44"/>
        <v>9.1267833809677601</v>
      </c>
      <c r="E131">
        <v>59.27</v>
      </c>
      <c r="K131" s="1">
        <f>'Solar Availability and Gener GR'!F131</f>
        <v>1.4132288791952279</v>
      </c>
      <c r="L131" s="1">
        <v>0.39891472868217059</v>
      </c>
      <c r="M131" s="1">
        <f t="shared" ref="M131:M194" si="69">K131-L131</f>
        <v>1.0143141505130573</v>
      </c>
      <c r="N131" s="1" t="str">
        <f t="shared" ref="N131:N194" si="70">IF(M131&lt;0,"Buy from Grid","sell the surplus or charge")</f>
        <v>sell the surplus or charge</v>
      </c>
      <c r="O131" s="1">
        <v>0.25</v>
      </c>
      <c r="P131" s="1">
        <f t="shared" si="61"/>
        <v>0.62670034978624167</v>
      </c>
      <c r="Q131" s="1">
        <f t="shared" si="62"/>
        <v>1.1632288791952279</v>
      </c>
      <c r="R131" s="1">
        <f t="shared" si="63"/>
        <v>68.921190137493596</v>
      </c>
      <c r="S131" s="1">
        <f t="shared" si="64"/>
        <v>60.10289687369049</v>
      </c>
      <c r="T131" s="1">
        <f t="shared" si="65"/>
        <v>51.692075621589304</v>
      </c>
      <c r="U131" s="1" t="str">
        <f t="shared" si="66"/>
        <v>sell to the Grid</v>
      </c>
      <c r="W131" s="1">
        <f>(Q131*E131)/1000</f>
        <v>6.8944575669901156E-2</v>
      </c>
      <c r="Y131" s="1">
        <f t="shared" si="67"/>
        <v>2.364367596899225E-2</v>
      </c>
      <c r="AA131" s="1">
        <f t="shared" ref="AA131:AA194" si="71">M131+AA130</f>
        <v>22.350065947928879</v>
      </c>
      <c r="AD131" s="1">
        <f t="shared" ref="AD131:AD194" si="72">AC131+O131</f>
        <v>0.25</v>
      </c>
    </row>
    <row r="132" spans="1:30" ht="15">
      <c r="A132" s="1">
        <v>131</v>
      </c>
      <c r="B132" s="1">
        <f t="shared" si="46"/>
        <v>2.1777485978812412</v>
      </c>
      <c r="C132" s="1">
        <f t="shared" si="68"/>
        <v>0</v>
      </c>
      <c r="D132" s="1">
        <f t="shared" ref="D132:D195" si="73">(D131)+(B132*0.8)+(C132/0.8)</f>
        <v>10.868982259272753</v>
      </c>
      <c r="E132">
        <v>59.27</v>
      </c>
      <c r="K132" s="1">
        <f>'Solar Availability and Gener GR'!F132</f>
        <v>2.4277485978812412</v>
      </c>
      <c r="L132" s="1">
        <v>0.39891472868217059</v>
      </c>
      <c r="M132" s="1">
        <f t="shared" si="69"/>
        <v>2.0288338691990706</v>
      </c>
      <c r="N132" s="1" t="str">
        <f t="shared" si="70"/>
        <v>sell the surplus or charge</v>
      </c>
      <c r="O132" s="1">
        <v>0.25</v>
      </c>
      <c r="P132" s="1">
        <f t="shared" si="61"/>
        <v>0.62670034978624167</v>
      </c>
      <c r="Q132" s="1">
        <f t="shared" si="62"/>
        <v>2.1777485978812412</v>
      </c>
      <c r="R132" s="1">
        <f t="shared" si="63"/>
        <v>129.05177386401363</v>
      </c>
      <c r="S132" s="1">
        <f t="shared" si="64"/>
        <v>120.2334806002105</v>
      </c>
      <c r="T132" s="1">
        <f t="shared" si="65"/>
        <v>55.221518663396019</v>
      </c>
      <c r="U132" s="1" t="str">
        <f t="shared" si="66"/>
        <v>charge</v>
      </c>
      <c r="Y132" s="1">
        <f t="shared" si="67"/>
        <v>2.364367596899225E-2</v>
      </c>
      <c r="AA132" s="1">
        <f t="shared" si="71"/>
        <v>24.378899817127952</v>
      </c>
      <c r="AD132" s="1">
        <f t="shared" si="72"/>
        <v>0.25</v>
      </c>
    </row>
    <row r="133" spans="1:30" ht="15">
      <c r="A133" s="1">
        <v>132</v>
      </c>
      <c r="B133" s="1">
        <f t="shared" si="46"/>
        <v>2.6751936259236153</v>
      </c>
      <c r="C133" s="1">
        <f t="shared" si="68"/>
        <v>0</v>
      </c>
      <c r="D133" s="1">
        <f t="shared" si="73"/>
        <v>13.009137160011646</v>
      </c>
      <c r="E133">
        <v>59.27</v>
      </c>
      <c r="K133" s="1">
        <f>'Solar Availability and Gener GR'!F133</f>
        <v>2.9251936259236153</v>
      </c>
      <c r="L133" s="1">
        <v>0.39891472868217059</v>
      </c>
      <c r="M133" s="1">
        <f t="shared" si="69"/>
        <v>2.5262788972414447</v>
      </c>
      <c r="N133" s="1" t="str">
        <f t="shared" si="70"/>
        <v>sell the surplus or charge</v>
      </c>
      <c r="O133" s="1">
        <v>0.25</v>
      </c>
      <c r="P133" s="1">
        <f t="shared" si="61"/>
        <v>0.62670034978624167</v>
      </c>
      <c r="Q133" s="1">
        <f t="shared" si="62"/>
        <v>2.6751936259236153</v>
      </c>
      <c r="R133" s="1">
        <f t="shared" si="63"/>
        <v>158.53534067608513</v>
      </c>
      <c r="S133" s="1">
        <f t="shared" si="64"/>
        <v>149.717047412282</v>
      </c>
      <c r="T133" s="1">
        <f t="shared" si="65"/>
        <v>55.974196644877878</v>
      </c>
      <c r="U133" s="1" t="str">
        <f t="shared" si="66"/>
        <v>charge</v>
      </c>
      <c r="Y133" s="1">
        <f t="shared" si="67"/>
        <v>2.364367596899225E-2</v>
      </c>
      <c r="AA133" s="1">
        <f t="shared" si="71"/>
        <v>26.905178714369395</v>
      </c>
      <c r="AD133" s="1">
        <f t="shared" si="72"/>
        <v>0.25</v>
      </c>
    </row>
    <row r="134" spans="1:30" ht="15">
      <c r="A134" s="1">
        <v>133</v>
      </c>
      <c r="B134" s="1">
        <f t="shared" si="46"/>
        <v>2.9428647734354128</v>
      </c>
      <c r="C134" s="1">
        <f t="shared" si="68"/>
        <v>0</v>
      </c>
      <c r="D134" s="1">
        <f t="shared" si="73"/>
        <v>15.363428978759977</v>
      </c>
      <c r="E134">
        <v>59.27</v>
      </c>
      <c r="K134" s="1">
        <f>'Solar Availability and Gener GR'!F134</f>
        <v>3.1928647734354128</v>
      </c>
      <c r="L134" s="1">
        <v>0.38604651162790704</v>
      </c>
      <c r="M134" s="1">
        <f t="shared" si="69"/>
        <v>2.8068182618075057</v>
      </c>
      <c r="N134" s="1" t="str">
        <f t="shared" si="70"/>
        <v>sell the surplus or charge</v>
      </c>
      <c r="O134" s="1">
        <v>0.25</v>
      </c>
      <c r="P134" s="1">
        <f t="shared" si="61"/>
        <v>0.64759036144578308</v>
      </c>
      <c r="Q134" s="1">
        <f t="shared" si="62"/>
        <v>2.9428647734354128</v>
      </c>
      <c r="R134" s="1">
        <f t="shared" si="63"/>
        <v>174.40020958910935</v>
      </c>
      <c r="S134" s="1">
        <f t="shared" si="64"/>
        <v>166.34406241544946</v>
      </c>
      <c r="T134" s="1">
        <f t="shared" si="65"/>
        <v>56.532867509092235</v>
      </c>
      <c r="U134" s="1" t="str">
        <f t="shared" si="66"/>
        <v>charge</v>
      </c>
      <c r="Y134" s="1">
        <f t="shared" si="67"/>
        <v>2.288097674418605E-2</v>
      </c>
      <c r="AA134" s="1">
        <f t="shared" si="71"/>
        <v>29.711996976176902</v>
      </c>
      <c r="AD134" s="1">
        <f t="shared" si="72"/>
        <v>0.25</v>
      </c>
    </row>
    <row r="135" spans="1:30" ht="15">
      <c r="A135" s="1">
        <v>134</v>
      </c>
      <c r="B135" s="1">
        <f t="shared" si="46"/>
        <v>2.9424241075402815</v>
      </c>
      <c r="C135" s="1">
        <f t="shared" si="68"/>
        <v>0</v>
      </c>
      <c r="D135" s="1">
        <f t="shared" si="73"/>
        <v>17.717368264792203</v>
      </c>
      <c r="E135">
        <v>59.27</v>
      </c>
      <c r="K135" s="1">
        <f>'Solar Availability and Gener GR'!F135</f>
        <v>3.1924241075402815</v>
      </c>
      <c r="L135" s="1">
        <v>0.39891472868217059</v>
      </c>
      <c r="M135" s="1">
        <f t="shared" si="69"/>
        <v>2.7935093788581109</v>
      </c>
      <c r="N135" s="1" t="str">
        <f t="shared" si="70"/>
        <v>sell the surplus or charge</v>
      </c>
      <c r="O135" s="1">
        <v>0.25</v>
      </c>
      <c r="P135" s="1">
        <f t="shared" si="61"/>
        <v>0.62670034978624167</v>
      </c>
      <c r="Q135" s="1">
        <f t="shared" si="62"/>
        <v>2.9424241075402815</v>
      </c>
      <c r="R135" s="1">
        <f t="shared" si="63"/>
        <v>174.37409132150492</v>
      </c>
      <c r="S135" s="1">
        <f t="shared" si="64"/>
        <v>165.55579805770182</v>
      </c>
      <c r="T135" s="1">
        <f t="shared" si="65"/>
        <v>56.273476207918179</v>
      </c>
      <c r="U135" s="1" t="str">
        <f t="shared" si="66"/>
        <v>charge</v>
      </c>
      <c r="Y135" s="1">
        <f t="shared" si="67"/>
        <v>2.364367596899225E-2</v>
      </c>
      <c r="AA135" s="1">
        <f t="shared" si="71"/>
        <v>32.50550635503501</v>
      </c>
      <c r="AD135" s="1">
        <f t="shared" si="72"/>
        <v>0.25</v>
      </c>
    </row>
    <row r="136" spans="1:30" ht="15">
      <c r="A136" s="1">
        <v>135</v>
      </c>
      <c r="B136" s="1">
        <f t="shared" si="46"/>
        <v>2.8079809489895817</v>
      </c>
      <c r="C136" s="1">
        <f t="shared" si="68"/>
        <v>0</v>
      </c>
      <c r="D136" s="1">
        <f t="shared" si="73"/>
        <v>19.96375302398387</v>
      </c>
      <c r="E136">
        <v>59.27</v>
      </c>
      <c r="K136" s="1">
        <f>'Solar Availability and Gener GR'!F136</f>
        <v>3.0579809489895817</v>
      </c>
      <c r="L136" s="1">
        <v>0.39891472868217059</v>
      </c>
      <c r="M136" s="1">
        <f t="shared" si="69"/>
        <v>2.6590662203074111</v>
      </c>
      <c r="N136" s="1" t="str">
        <f t="shared" si="70"/>
        <v>sell the surplus or charge</v>
      </c>
      <c r="O136" s="1">
        <v>0.25</v>
      </c>
      <c r="P136" s="1">
        <f t="shared" si="61"/>
        <v>0.62670034978624167</v>
      </c>
      <c r="Q136" s="1">
        <f t="shared" si="62"/>
        <v>2.8079809489895817</v>
      </c>
      <c r="R136" s="1">
        <f t="shared" si="63"/>
        <v>166.40564531420495</v>
      </c>
      <c r="S136" s="1">
        <f t="shared" si="64"/>
        <v>157.58735205040185</v>
      </c>
      <c r="T136" s="1">
        <f t="shared" si="65"/>
        <v>56.130028238502895</v>
      </c>
      <c r="U136" s="1" t="str">
        <f t="shared" si="66"/>
        <v>charge</v>
      </c>
      <c r="Y136" s="1">
        <f t="shared" si="67"/>
        <v>2.364367596899225E-2</v>
      </c>
      <c r="AA136" s="1">
        <f t="shared" si="71"/>
        <v>35.164572575342419</v>
      </c>
      <c r="AD136" s="1">
        <f t="shared" si="72"/>
        <v>0.25</v>
      </c>
    </row>
    <row r="137" spans="1:30" ht="15">
      <c r="A137" s="1">
        <v>136</v>
      </c>
      <c r="B137" s="1">
        <f t="shared" si="46"/>
        <v>2.5394952372473929</v>
      </c>
      <c r="C137" s="1">
        <f t="shared" si="68"/>
        <v>0</v>
      </c>
      <c r="D137" s="1">
        <f t="shared" si="73"/>
        <v>21.995349213781783</v>
      </c>
      <c r="E137">
        <v>59.27</v>
      </c>
      <c r="K137" s="1">
        <f>'Solar Availability and Gener GR'!F137</f>
        <v>2.7894952372473929</v>
      </c>
      <c r="L137" s="1">
        <v>0.39891472868217059</v>
      </c>
      <c r="M137" s="1">
        <f t="shared" si="69"/>
        <v>2.3905805085652223</v>
      </c>
      <c r="N137" s="1" t="str">
        <f t="shared" si="70"/>
        <v>sell the surplus or charge</v>
      </c>
      <c r="O137" s="1">
        <v>0.25</v>
      </c>
      <c r="P137" s="1">
        <f t="shared" si="61"/>
        <v>0.62670034978624167</v>
      </c>
      <c r="Q137" s="1">
        <f t="shared" si="62"/>
        <v>2.5394952372473929</v>
      </c>
      <c r="R137" s="1">
        <f t="shared" si="63"/>
        <v>150.49249717924542</v>
      </c>
      <c r="S137" s="1">
        <f t="shared" si="64"/>
        <v>141.67420391544232</v>
      </c>
      <c r="T137" s="1">
        <f t="shared" si="65"/>
        <v>55.798115570807987</v>
      </c>
      <c r="U137" s="1" t="str">
        <f t="shared" si="66"/>
        <v>charge</v>
      </c>
      <c r="Y137" s="1">
        <f t="shared" si="67"/>
        <v>2.364367596899225E-2</v>
      </c>
      <c r="AA137" s="1">
        <f t="shared" si="71"/>
        <v>37.555153083907641</v>
      </c>
      <c r="AD137" s="1">
        <f t="shared" si="72"/>
        <v>0.25</v>
      </c>
    </row>
    <row r="138" spans="1:30" ht="15">
      <c r="A138" s="1">
        <v>137</v>
      </c>
      <c r="B138" s="1">
        <f t="shared" si="46"/>
        <v>0</v>
      </c>
      <c r="C138" s="1">
        <f t="shared" si="68"/>
        <v>0</v>
      </c>
      <c r="D138" s="1">
        <f t="shared" si="73"/>
        <v>21.995349213781783</v>
      </c>
      <c r="E138">
        <v>59.27</v>
      </c>
      <c r="K138" s="1">
        <f>'Solar Availability and Gener GR'!F138</f>
        <v>2.3678046826315309</v>
      </c>
      <c r="L138" s="1">
        <v>0.66914728682170543</v>
      </c>
      <c r="M138" s="1">
        <f t="shared" si="69"/>
        <v>1.6986573958098254</v>
      </c>
      <c r="N138" s="1" t="str">
        <f t="shared" si="70"/>
        <v>sell the surplus or charge</v>
      </c>
      <c r="O138" s="1">
        <v>0.25</v>
      </c>
      <c r="P138" s="1">
        <f t="shared" si="61"/>
        <v>0.3736098239110287</v>
      </c>
      <c r="Q138" s="1">
        <f t="shared" si="62"/>
        <v>2.1178046826315309</v>
      </c>
      <c r="R138" s="1">
        <f t="shared" si="63"/>
        <v>125.49889800716328</v>
      </c>
      <c r="S138" s="1">
        <f t="shared" si="64"/>
        <v>100.67264667212791</v>
      </c>
      <c r="T138" s="1">
        <f t="shared" si="65"/>
        <v>47.550088966653043</v>
      </c>
      <c r="U138" s="1" t="str">
        <f t="shared" si="66"/>
        <v>sell to the Grid</v>
      </c>
      <c r="W138" s="1">
        <f>(Q138*E138)/1000</f>
        <v>0.12552228353957084</v>
      </c>
      <c r="Y138" s="1">
        <f t="shared" si="67"/>
        <v>3.9660359689922479E-2</v>
      </c>
      <c r="AA138" s="1">
        <f t="shared" si="71"/>
        <v>39.253810479717465</v>
      </c>
      <c r="AD138" s="1">
        <f t="shared" si="72"/>
        <v>0.25</v>
      </c>
    </row>
    <row r="139" spans="1:30" ht="15">
      <c r="A139" s="1">
        <v>138</v>
      </c>
      <c r="B139" s="1">
        <f t="shared" si="46"/>
        <v>0</v>
      </c>
      <c r="C139" s="1">
        <f t="shared" si="68"/>
        <v>0</v>
      </c>
      <c r="D139" s="1">
        <f t="shared" si="73"/>
        <v>21.995349213781783</v>
      </c>
      <c r="E139">
        <v>59.27</v>
      </c>
      <c r="K139" s="1">
        <f>'Solar Availability and Gener GR'!F139</f>
        <v>1.7929226386539647</v>
      </c>
      <c r="L139" s="1">
        <v>0.65627906976744199</v>
      </c>
      <c r="M139" s="1">
        <f t="shared" si="69"/>
        <v>1.1366435688865226</v>
      </c>
      <c r="N139" s="1" t="str">
        <f t="shared" si="70"/>
        <v>sell the surplus or charge</v>
      </c>
      <c r="O139" s="1">
        <v>0.25</v>
      </c>
      <c r="P139" s="1">
        <f t="shared" si="61"/>
        <v>0.38093550673281351</v>
      </c>
      <c r="Q139" s="1">
        <f t="shared" si="62"/>
        <v>1.5429226386539647</v>
      </c>
      <c r="R139" s="1">
        <f t="shared" si="63"/>
        <v>91.42563926061294</v>
      </c>
      <c r="S139" s="1">
        <f t="shared" si="64"/>
        <v>67.361759584832868</v>
      </c>
      <c r="T139" s="1">
        <f t="shared" si="65"/>
        <v>43.679116532910804</v>
      </c>
      <c r="U139" s="1" t="str">
        <f t="shared" si="66"/>
        <v>sell to the Grid</v>
      </c>
      <c r="W139" s="1">
        <f>(Q139*E139)/1000</f>
        <v>9.14490247930205E-2</v>
      </c>
      <c r="Y139" s="1">
        <f t="shared" si="67"/>
        <v>3.8897660465116286E-2</v>
      </c>
      <c r="AA139" s="1">
        <f t="shared" si="71"/>
        <v>40.390454048603985</v>
      </c>
      <c r="AD139" s="1">
        <f t="shared" si="72"/>
        <v>0.25</v>
      </c>
    </row>
    <row r="140" spans="1:30" ht="15">
      <c r="A140" s="1">
        <v>139</v>
      </c>
      <c r="B140" s="1">
        <f t="shared" si="46"/>
        <v>0</v>
      </c>
      <c r="C140" s="1">
        <f t="shared" si="68"/>
        <v>0</v>
      </c>
      <c r="D140" s="1">
        <f t="shared" si="73"/>
        <v>21.995349213781783</v>
      </c>
      <c r="E140">
        <v>59.27</v>
      </c>
      <c r="K140" s="1">
        <f>'Solar Availability and Gener GR'!F140</f>
        <v>1.1222825603133602</v>
      </c>
      <c r="L140" s="1">
        <v>0.66914728682170543</v>
      </c>
      <c r="M140" s="1">
        <f t="shared" si="69"/>
        <v>0.45313527349165472</v>
      </c>
      <c r="N140" s="1" t="str">
        <f t="shared" si="70"/>
        <v>sell the surplus or charge</v>
      </c>
      <c r="O140" s="1">
        <v>0.25</v>
      </c>
      <c r="P140" s="1">
        <f t="shared" si="61"/>
        <v>0.3736098239110287</v>
      </c>
      <c r="Q140" s="1">
        <f t="shared" si="62"/>
        <v>0.87228256031336016</v>
      </c>
      <c r="R140" s="1">
        <f t="shared" si="63"/>
        <v>51.676801817365309</v>
      </c>
      <c r="S140" s="1">
        <f t="shared" si="64"/>
        <v>26.850550482329936</v>
      </c>
      <c r="T140" s="1">
        <f t="shared" si="65"/>
        <v>30.833484908653574</v>
      </c>
      <c r="U140" s="1" t="str">
        <f t="shared" si="66"/>
        <v>sell to the Grid</v>
      </c>
      <c r="W140" s="1">
        <f>(Q140*E140)/1000</f>
        <v>5.1700187349772858E-2</v>
      </c>
      <c r="Y140" s="1">
        <f t="shared" si="67"/>
        <v>3.9660359689922479E-2</v>
      </c>
      <c r="AA140" s="1">
        <f t="shared" si="71"/>
        <v>40.843589322095639</v>
      </c>
      <c r="AD140" s="1">
        <f t="shared" si="72"/>
        <v>0.25</v>
      </c>
    </row>
    <row r="141" spans="1:30" ht="15">
      <c r="A141" s="1">
        <v>140</v>
      </c>
      <c r="B141" s="1">
        <f t="shared" si="46"/>
        <v>0</v>
      </c>
      <c r="C141" s="1">
        <f t="shared" si="68"/>
        <v>0</v>
      </c>
      <c r="D141" s="1">
        <f t="shared" si="73"/>
        <v>21.995349213781783</v>
      </c>
      <c r="E141">
        <v>59.27</v>
      </c>
      <c r="K141" s="1">
        <f>'Solar Availability and Gener GR'!F141</f>
        <v>0.45164248197275875</v>
      </c>
      <c r="L141" s="1">
        <v>0.65627906976744199</v>
      </c>
      <c r="M141" s="1">
        <f t="shared" si="69"/>
        <v>-0.20463658779468324</v>
      </c>
      <c r="N141" s="1" t="str">
        <f t="shared" si="70"/>
        <v>Buy from Grid</v>
      </c>
      <c r="V141" s="1" t="str">
        <f t="shared" ref="V141:V153" si="74">IF(D141+M141&gt;0,"discharge","buy from the Grid")</f>
        <v>discharge</v>
      </c>
      <c r="Y141" s="1">
        <f t="shared" si="67"/>
        <v>3.8897660465116286E-2</v>
      </c>
      <c r="AA141" s="1">
        <f t="shared" si="71"/>
        <v>40.638952734300958</v>
      </c>
      <c r="AD141" s="1">
        <f t="shared" si="72"/>
        <v>0</v>
      </c>
    </row>
    <row r="142" spans="1:30" ht="15">
      <c r="A142" s="1">
        <v>141</v>
      </c>
      <c r="B142" s="1">
        <f t="shared" si="46"/>
        <v>0</v>
      </c>
      <c r="C142" s="1">
        <f t="shared" si="68"/>
        <v>-0.20463658779468324</v>
      </c>
      <c r="D142" s="1">
        <f t="shared" si="73"/>
        <v>21.739553479038427</v>
      </c>
      <c r="E142">
        <v>59.27</v>
      </c>
      <c r="K142" s="1">
        <f>'Solar Availability and Gener GR'!F142</f>
        <v>4.91142170390814E-2</v>
      </c>
      <c r="L142" s="1">
        <v>0.39891472868217059</v>
      </c>
      <c r="M142" s="1">
        <f t="shared" si="69"/>
        <v>-0.34980051164308917</v>
      </c>
      <c r="N142" s="1" t="str">
        <f t="shared" si="70"/>
        <v>Buy from Grid</v>
      </c>
      <c r="V142" s="1" t="str">
        <f t="shared" si="74"/>
        <v>discharge</v>
      </c>
      <c r="Y142" s="1">
        <f t="shared" si="67"/>
        <v>2.364367596899225E-2</v>
      </c>
      <c r="AA142" s="1">
        <f t="shared" si="71"/>
        <v>40.289152222657869</v>
      </c>
      <c r="AD142" s="1">
        <f t="shared" si="72"/>
        <v>0</v>
      </c>
    </row>
    <row r="143" spans="1:30" ht="15">
      <c r="A143" s="1">
        <v>142</v>
      </c>
      <c r="B143" s="1">
        <f t="shared" si="46"/>
        <v>0</v>
      </c>
      <c r="C143" s="1">
        <f t="shared" si="68"/>
        <v>-0.34980051164308917</v>
      </c>
      <c r="D143" s="1">
        <f t="shared" si="73"/>
        <v>21.302302839484565</v>
      </c>
      <c r="E143">
        <v>59.27</v>
      </c>
      <c r="K143" s="1">
        <f>'Solar Availability and Gener GR'!F143</f>
        <v>0</v>
      </c>
      <c r="L143" s="1">
        <v>0.39891472868217059</v>
      </c>
      <c r="M143" s="1">
        <f t="shared" si="69"/>
        <v>-0.39891472868217059</v>
      </c>
      <c r="N143" s="1" t="str">
        <f t="shared" si="70"/>
        <v>Buy from Grid</v>
      </c>
      <c r="V143" s="1" t="str">
        <f t="shared" si="74"/>
        <v>discharge</v>
      </c>
      <c r="Y143" s="1">
        <f t="shared" si="67"/>
        <v>2.364367596899225E-2</v>
      </c>
      <c r="AA143" s="1">
        <f t="shared" si="71"/>
        <v>39.890237493975697</v>
      </c>
      <c r="AD143" s="1">
        <f t="shared" si="72"/>
        <v>0</v>
      </c>
    </row>
    <row r="144" spans="1:30" ht="15">
      <c r="A144" s="1">
        <v>143</v>
      </c>
      <c r="B144" s="1">
        <f t="shared" ref="B144:B207" si="75">IF(U144="charge",Q144,0)</f>
        <v>0</v>
      </c>
      <c r="C144" s="1">
        <f t="shared" si="68"/>
        <v>-0.39891472868217059</v>
      </c>
      <c r="D144" s="1">
        <f t="shared" si="73"/>
        <v>20.80365942863185</v>
      </c>
      <c r="E144">
        <v>59.27</v>
      </c>
      <c r="K144" s="1">
        <f>'Solar Availability and Gener GR'!F144</f>
        <v>0</v>
      </c>
      <c r="L144" s="1">
        <v>0.39891472868217059</v>
      </c>
      <c r="M144" s="1">
        <f t="shared" si="69"/>
        <v>-0.39891472868217059</v>
      </c>
      <c r="N144" s="1" t="str">
        <f t="shared" si="70"/>
        <v>Buy from Grid</v>
      </c>
      <c r="V144" s="1" t="str">
        <f t="shared" si="74"/>
        <v>discharge</v>
      </c>
      <c r="Y144" s="1">
        <f t="shared" si="67"/>
        <v>2.364367596899225E-2</v>
      </c>
      <c r="AA144" s="1">
        <f t="shared" si="71"/>
        <v>39.491322765293525</v>
      </c>
      <c r="AD144" s="1">
        <f t="shared" si="72"/>
        <v>0</v>
      </c>
    </row>
    <row r="145" spans="1:30" ht="15">
      <c r="A145" s="1">
        <v>144</v>
      </c>
      <c r="B145" s="1">
        <f t="shared" si="75"/>
        <v>0</v>
      </c>
      <c r="C145" s="1">
        <f t="shared" si="68"/>
        <v>-0.39891472868217059</v>
      </c>
      <c r="D145" s="1">
        <f t="shared" si="73"/>
        <v>20.305016017779135</v>
      </c>
      <c r="E145">
        <v>59.27</v>
      </c>
      <c r="K145" s="1">
        <f>'Solar Availability and Gener GR'!F145</f>
        <v>0</v>
      </c>
      <c r="L145" s="1">
        <v>0.29596899224806206</v>
      </c>
      <c r="M145" s="1">
        <f t="shared" si="69"/>
        <v>-0.29596899224806206</v>
      </c>
      <c r="N145" s="1" t="str">
        <f t="shared" si="70"/>
        <v>Buy from Grid</v>
      </c>
      <c r="V145" s="1" t="str">
        <f t="shared" si="74"/>
        <v>discharge</v>
      </c>
      <c r="Y145" s="1">
        <f t="shared" si="67"/>
        <v>1.754208217054264E-2</v>
      </c>
      <c r="AA145" s="1">
        <f t="shared" si="71"/>
        <v>39.195353773045461</v>
      </c>
      <c r="AD145" s="1">
        <f t="shared" si="72"/>
        <v>0</v>
      </c>
    </row>
    <row r="146" spans="1:30" ht="15">
      <c r="A146" s="1">
        <v>145</v>
      </c>
      <c r="B146" s="1">
        <f t="shared" si="75"/>
        <v>0</v>
      </c>
      <c r="C146" s="1">
        <f t="shared" si="68"/>
        <v>-0.29596899224806206</v>
      </c>
      <c r="D146" s="1">
        <f t="shared" si="73"/>
        <v>19.935054777469059</v>
      </c>
      <c r="E146">
        <v>59.27</v>
      </c>
      <c r="K146" s="1">
        <f>'Solar Availability and Gener GR'!F146</f>
        <v>0</v>
      </c>
      <c r="L146" s="1">
        <v>0.29596899224806206</v>
      </c>
      <c r="M146" s="1">
        <f t="shared" si="69"/>
        <v>-0.29596899224806206</v>
      </c>
      <c r="N146" s="1" t="str">
        <f t="shared" si="70"/>
        <v>Buy from Grid</v>
      </c>
      <c r="V146" s="1" t="str">
        <f t="shared" si="74"/>
        <v>discharge</v>
      </c>
      <c r="Y146" s="1">
        <f t="shared" si="67"/>
        <v>1.754208217054264E-2</v>
      </c>
      <c r="AA146" s="1">
        <f t="shared" si="71"/>
        <v>38.899384780797398</v>
      </c>
      <c r="AD146" s="1">
        <f t="shared" si="72"/>
        <v>0</v>
      </c>
    </row>
    <row r="147" spans="1:30" ht="15">
      <c r="A147" s="1">
        <v>146</v>
      </c>
      <c r="B147" s="1">
        <f t="shared" si="75"/>
        <v>0</v>
      </c>
      <c r="C147" s="1">
        <f t="shared" si="68"/>
        <v>-0.29596899224806206</v>
      </c>
      <c r="D147" s="1">
        <f t="shared" si="73"/>
        <v>19.565093537158983</v>
      </c>
      <c r="E147">
        <v>59.27</v>
      </c>
      <c r="K147" s="1">
        <f>'Solar Availability and Gener GR'!F147</f>
        <v>0</v>
      </c>
      <c r="L147" s="1">
        <v>0.29596899224806206</v>
      </c>
      <c r="M147" s="1">
        <f t="shared" si="69"/>
        <v>-0.29596899224806206</v>
      </c>
      <c r="N147" s="1" t="str">
        <f t="shared" si="70"/>
        <v>Buy from Grid</v>
      </c>
      <c r="V147" s="1" t="str">
        <f t="shared" si="74"/>
        <v>discharge</v>
      </c>
      <c r="Y147" s="1">
        <f t="shared" si="67"/>
        <v>1.754208217054264E-2</v>
      </c>
      <c r="AA147" s="1">
        <f t="shared" si="71"/>
        <v>38.603415788549334</v>
      </c>
      <c r="AD147" s="1">
        <f t="shared" si="72"/>
        <v>0</v>
      </c>
    </row>
    <row r="148" spans="1:30" ht="15">
      <c r="A148" s="1">
        <v>147</v>
      </c>
      <c r="B148" s="1">
        <f t="shared" si="75"/>
        <v>0</v>
      </c>
      <c r="C148" s="1">
        <f t="shared" si="68"/>
        <v>-0.29596899224806206</v>
      </c>
      <c r="D148" s="1">
        <f t="shared" si="73"/>
        <v>19.195132296848907</v>
      </c>
      <c r="E148">
        <v>59.27</v>
      </c>
      <c r="K148" s="1">
        <f>'Solar Availability and Gener GR'!F148</f>
        <v>0</v>
      </c>
      <c r="L148" s="1">
        <v>0.30883720930232561</v>
      </c>
      <c r="M148" s="1">
        <f t="shared" si="69"/>
        <v>-0.30883720930232561</v>
      </c>
      <c r="N148" s="1" t="str">
        <f t="shared" si="70"/>
        <v>Buy from Grid</v>
      </c>
      <c r="V148" s="1" t="str">
        <f t="shared" si="74"/>
        <v>discharge</v>
      </c>
      <c r="Y148" s="1">
        <f t="shared" si="67"/>
        <v>1.830478139534884E-2</v>
      </c>
      <c r="AA148" s="1">
        <f t="shared" si="71"/>
        <v>38.294578579247009</v>
      </c>
      <c r="AD148" s="1">
        <f t="shared" si="72"/>
        <v>0</v>
      </c>
    </row>
    <row r="149" spans="1:30" ht="15">
      <c r="A149" s="1">
        <v>148</v>
      </c>
      <c r="B149" s="1">
        <f t="shared" si="75"/>
        <v>0</v>
      </c>
      <c r="C149" s="1">
        <f t="shared" si="68"/>
        <v>-0.30883720930232561</v>
      </c>
      <c r="D149" s="1">
        <f t="shared" si="73"/>
        <v>18.809085785221001</v>
      </c>
      <c r="E149">
        <v>59.27</v>
      </c>
      <c r="K149" s="1">
        <f>'Solar Availability and Gener GR'!F149</f>
        <v>0</v>
      </c>
      <c r="L149" s="1">
        <v>0.29596899224806206</v>
      </c>
      <c r="M149" s="1">
        <f t="shared" si="69"/>
        <v>-0.29596899224806206</v>
      </c>
      <c r="N149" s="1" t="str">
        <f t="shared" si="70"/>
        <v>Buy from Grid</v>
      </c>
      <c r="V149" s="1" t="str">
        <f t="shared" si="74"/>
        <v>discharge</v>
      </c>
      <c r="Y149" s="1">
        <f t="shared" si="67"/>
        <v>1.754208217054264E-2</v>
      </c>
      <c r="AA149" s="1">
        <f t="shared" si="71"/>
        <v>37.998609586998946</v>
      </c>
      <c r="AD149" s="1">
        <f t="shared" si="72"/>
        <v>0</v>
      </c>
    </row>
    <row r="150" spans="1:30" ht="15">
      <c r="A150" s="1">
        <v>149</v>
      </c>
      <c r="B150" s="1">
        <f t="shared" si="75"/>
        <v>0</v>
      </c>
      <c r="C150" s="1">
        <f t="shared" si="68"/>
        <v>-0.29596899224806206</v>
      </c>
      <c r="D150" s="1">
        <f t="shared" si="73"/>
        <v>18.439124544910925</v>
      </c>
      <c r="E150">
        <v>59.27</v>
      </c>
      <c r="K150" s="1">
        <f>'Solar Availability and Gener GR'!F150</f>
        <v>0</v>
      </c>
      <c r="L150" s="1">
        <v>0.39891472868217059</v>
      </c>
      <c r="M150" s="1">
        <f t="shared" si="69"/>
        <v>-0.39891472868217059</v>
      </c>
      <c r="N150" s="1" t="str">
        <f t="shared" si="70"/>
        <v>Buy from Grid</v>
      </c>
      <c r="V150" s="1" t="str">
        <f t="shared" si="74"/>
        <v>discharge</v>
      </c>
      <c r="Y150" s="1">
        <f t="shared" si="67"/>
        <v>2.364367596899225E-2</v>
      </c>
      <c r="AA150" s="1">
        <f t="shared" si="71"/>
        <v>37.599694858316774</v>
      </c>
      <c r="AD150" s="1">
        <f t="shared" si="72"/>
        <v>0</v>
      </c>
    </row>
    <row r="151" spans="1:30" ht="15">
      <c r="A151" s="1">
        <v>150</v>
      </c>
      <c r="B151" s="1">
        <f t="shared" si="75"/>
        <v>0</v>
      </c>
      <c r="C151" s="1">
        <f t="shared" si="68"/>
        <v>-0.39891472868217059</v>
      </c>
      <c r="D151" s="1">
        <f t="shared" si="73"/>
        <v>17.94048113405821</v>
      </c>
      <c r="E151">
        <v>59.27</v>
      </c>
      <c r="K151" s="1">
        <f>'Solar Availability and Gener GR'!F151</f>
        <v>0</v>
      </c>
      <c r="L151" s="1">
        <v>0.66914728682170543</v>
      </c>
      <c r="M151" s="1">
        <f t="shared" si="69"/>
        <v>-0.66914728682170543</v>
      </c>
      <c r="N151" s="1" t="str">
        <f t="shared" si="70"/>
        <v>Buy from Grid</v>
      </c>
      <c r="V151" s="1" t="str">
        <f t="shared" si="74"/>
        <v>discharge</v>
      </c>
      <c r="Y151" s="1">
        <f t="shared" si="67"/>
        <v>3.9660359689922479E-2</v>
      </c>
      <c r="AA151" s="1">
        <f t="shared" si="71"/>
        <v>36.930547571495069</v>
      </c>
      <c r="AD151" s="1">
        <f t="shared" si="72"/>
        <v>0</v>
      </c>
    </row>
    <row r="152" spans="1:30" ht="15">
      <c r="A152" s="1">
        <v>151</v>
      </c>
      <c r="B152" s="1">
        <f t="shared" si="75"/>
        <v>0</v>
      </c>
      <c r="C152" s="1">
        <f t="shared" si="68"/>
        <v>-0.66914728682170543</v>
      </c>
      <c r="D152" s="1">
        <f t="shared" si="73"/>
        <v>17.104047025531077</v>
      </c>
      <c r="E152">
        <v>59.27</v>
      </c>
      <c r="K152" s="1">
        <f>'Solar Availability and Gener GR'!F152</f>
        <v>5.3999999999999999E-2</v>
      </c>
      <c r="L152" s="1">
        <v>0.66914728682170543</v>
      </c>
      <c r="M152" s="1">
        <f t="shared" si="69"/>
        <v>-0.61514728682170539</v>
      </c>
      <c r="N152" s="1" t="str">
        <f t="shared" si="70"/>
        <v>Buy from Grid</v>
      </c>
      <c r="V152" s="1" t="str">
        <f t="shared" si="74"/>
        <v>discharge</v>
      </c>
      <c r="Y152" s="1">
        <f t="shared" si="67"/>
        <v>3.9660359689922479E-2</v>
      </c>
      <c r="AA152" s="1">
        <f t="shared" si="71"/>
        <v>36.315400284673366</v>
      </c>
      <c r="AD152" s="1">
        <f t="shared" si="72"/>
        <v>0</v>
      </c>
    </row>
    <row r="153" spans="1:30" ht="15">
      <c r="A153" s="1">
        <v>152</v>
      </c>
      <c r="B153" s="1">
        <f t="shared" si="75"/>
        <v>0</v>
      </c>
      <c r="C153" s="1">
        <f t="shared" si="68"/>
        <v>-0.61514728682170539</v>
      </c>
      <c r="D153" s="1">
        <f t="shared" si="73"/>
        <v>16.335112917003947</v>
      </c>
      <c r="E153">
        <v>59.27</v>
      </c>
      <c r="K153" s="1">
        <f>'Solar Availability and Gener GR'!F153</f>
        <v>0.33119999999999994</v>
      </c>
      <c r="L153" s="1">
        <v>0.66914728682170543</v>
      </c>
      <c r="M153" s="1">
        <f t="shared" si="69"/>
        <v>-0.33794728682170549</v>
      </c>
      <c r="N153" s="1" t="str">
        <f t="shared" si="70"/>
        <v>Buy from Grid</v>
      </c>
      <c r="V153" s="1" t="str">
        <f t="shared" si="74"/>
        <v>discharge</v>
      </c>
      <c r="Y153" s="1">
        <f t="shared" si="67"/>
        <v>3.9660359689922479E-2</v>
      </c>
      <c r="AA153" s="1">
        <f t="shared" si="71"/>
        <v>35.977452997851664</v>
      </c>
      <c r="AD153" s="1">
        <f t="shared" si="72"/>
        <v>0</v>
      </c>
    </row>
    <row r="154" spans="1:30" ht="15">
      <c r="A154" s="1">
        <v>153</v>
      </c>
      <c r="B154" s="1">
        <f t="shared" si="75"/>
        <v>0</v>
      </c>
      <c r="C154" s="1">
        <f t="shared" si="68"/>
        <v>-0.33794728682170549</v>
      </c>
      <c r="D154" s="1">
        <f t="shared" si="73"/>
        <v>15.912678808476816</v>
      </c>
      <c r="E154">
        <v>59.27</v>
      </c>
      <c r="K154" s="1">
        <f>'Solar Availability and Gener GR'!F154</f>
        <v>0.68602332413424605</v>
      </c>
      <c r="L154" s="1">
        <v>0.39891472868217059</v>
      </c>
      <c r="M154" s="1">
        <f t="shared" si="69"/>
        <v>0.28710859545207545</v>
      </c>
      <c r="N154" s="1" t="str">
        <f t="shared" si="70"/>
        <v>sell the surplus or charge</v>
      </c>
      <c r="O154" s="1">
        <v>0.25</v>
      </c>
      <c r="P154" s="1">
        <f t="shared" ref="P154:P165" si="76">0.25/L154</f>
        <v>0.62670034978624167</v>
      </c>
      <c r="Q154" s="1">
        <f t="shared" ref="Q154:Q165" si="77">K154-P154*L154</f>
        <v>0.43602332413424605</v>
      </c>
      <c r="R154" s="1">
        <f t="shared" ref="R154:R165" si="78">((1/(E154+0.01))*LN(0.25))+(E154*(K154-0.25))</f>
        <v>25.819716889029209</v>
      </c>
      <c r="S154" s="1">
        <f t="shared" ref="S154:S165" si="79">((1/(E154+0.01))*LN(L154))+(E154*(K154-L154))</f>
        <v>17.001423625226089</v>
      </c>
      <c r="T154" s="1">
        <f t="shared" ref="T154:T165" si="80">(S154+((S154^2)-4*(K154-L154*P154)*LN(L154*P154))^(0.5))/(2*(K154-L154*P154))</f>
        <v>39.073375070494656</v>
      </c>
      <c r="U154" s="1" t="str">
        <f t="shared" ref="U154:U165" si="81">IF(E154&gt;=T154*1.1,"sell to the Grid","charge")</f>
        <v>sell to the Grid</v>
      </c>
      <c r="W154" s="1">
        <f>(Q154*E154)/1000</f>
        <v>2.5843102421436764E-2</v>
      </c>
      <c r="Y154" s="1">
        <f t="shared" si="67"/>
        <v>2.364367596899225E-2</v>
      </c>
      <c r="AA154" s="1">
        <f t="shared" si="71"/>
        <v>36.264561593303739</v>
      </c>
      <c r="AD154" s="1">
        <f t="shared" si="72"/>
        <v>0.25</v>
      </c>
    </row>
    <row r="155" spans="1:30" ht="15">
      <c r="A155" s="1">
        <v>154</v>
      </c>
      <c r="B155" s="1">
        <f t="shared" si="75"/>
        <v>0</v>
      </c>
      <c r="C155" s="1">
        <f t="shared" si="68"/>
        <v>0</v>
      </c>
      <c r="D155" s="1">
        <f t="shared" si="73"/>
        <v>15.912678808476816</v>
      </c>
      <c r="E155">
        <v>59.27</v>
      </c>
      <c r="K155" s="1">
        <f>'Solar Availability and Gener GR'!F155</f>
        <v>1.2600640968574714</v>
      </c>
      <c r="L155" s="1">
        <v>0.39891472868217059</v>
      </c>
      <c r="M155" s="1">
        <f t="shared" si="69"/>
        <v>0.86114936817530086</v>
      </c>
      <c r="N155" s="1" t="str">
        <f t="shared" si="70"/>
        <v>sell the surplus or charge</v>
      </c>
      <c r="O155" s="1">
        <v>0.25</v>
      </c>
      <c r="P155" s="1">
        <f t="shared" si="76"/>
        <v>0.62670034978624167</v>
      </c>
      <c r="Q155" s="1">
        <f t="shared" si="77"/>
        <v>1.0100640968574714</v>
      </c>
      <c r="R155" s="1">
        <f t="shared" si="78"/>
        <v>59.843113488334787</v>
      </c>
      <c r="S155" s="1">
        <f t="shared" si="79"/>
        <v>51.024820224531666</v>
      </c>
      <c r="T155" s="1">
        <f t="shared" si="80"/>
        <v>50.543572523384405</v>
      </c>
      <c r="U155" s="1" t="str">
        <f t="shared" si="81"/>
        <v>sell to the Grid</v>
      </c>
      <c r="W155" s="1">
        <f>(Q155*E155)/1000</f>
        <v>5.9866499020742342E-2</v>
      </c>
      <c r="Y155" s="1">
        <f t="shared" si="67"/>
        <v>2.364367596899225E-2</v>
      </c>
      <c r="AA155" s="1">
        <f t="shared" si="71"/>
        <v>37.125710961479037</v>
      </c>
      <c r="AD155" s="1">
        <f t="shared" si="72"/>
        <v>0.25</v>
      </c>
    </row>
    <row r="156" spans="1:30" ht="15">
      <c r="A156" s="1">
        <v>155</v>
      </c>
      <c r="B156" s="1">
        <f t="shared" si="75"/>
        <v>1.9766981216059798</v>
      </c>
      <c r="C156" s="1">
        <f t="shared" si="68"/>
        <v>0</v>
      </c>
      <c r="D156" s="1">
        <f t="shared" si="73"/>
        <v>17.494037305761601</v>
      </c>
      <c r="E156">
        <v>59.27</v>
      </c>
      <c r="K156" s="1">
        <f>'Solar Availability and Gener GR'!F156</f>
        <v>2.2266981216059798</v>
      </c>
      <c r="L156" s="1">
        <v>0.39891472868217059</v>
      </c>
      <c r="M156" s="1">
        <f t="shared" si="69"/>
        <v>1.8277833929238092</v>
      </c>
      <c r="N156" s="1" t="str">
        <f t="shared" si="70"/>
        <v>sell the surplus or charge</v>
      </c>
      <c r="O156" s="1">
        <v>0.25</v>
      </c>
      <c r="P156" s="1">
        <f t="shared" si="76"/>
        <v>0.62670034978624167</v>
      </c>
      <c r="Q156" s="1">
        <f t="shared" si="77"/>
        <v>1.9766981216059798</v>
      </c>
      <c r="R156" s="1">
        <f t="shared" si="78"/>
        <v>117.13551213517887</v>
      </c>
      <c r="S156" s="1">
        <f t="shared" si="79"/>
        <v>108.31721887137574</v>
      </c>
      <c r="T156" s="1">
        <f t="shared" si="80"/>
        <v>54.809841971808794</v>
      </c>
      <c r="U156" s="1" t="str">
        <f t="shared" si="81"/>
        <v>charge</v>
      </c>
      <c r="Y156" s="1">
        <f t="shared" si="67"/>
        <v>2.364367596899225E-2</v>
      </c>
      <c r="AA156" s="1">
        <f t="shared" si="71"/>
        <v>38.953494354402849</v>
      </c>
      <c r="AD156" s="1">
        <f t="shared" si="72"/>
        <v>0.25</v>
      </c>
    </row>
    <row r="157" spans="1:30" ht="15">
      <c r="A157" s="1">
        <v>156</v>
      </c>
      <c r="B157" s="1">
        <f t="shared" si="75"/>
        <v>2.6560179827294559</v>
      </c>
      <c r="C157" s="1">
        <f t="shared" si="68"/>
        <v>0</v>
      </c>
      <c r="D157" s="1">
        <f t="shared" si="73"/>
        <v>19.618851691945167</v>
      </c>
      <c r="E157">
        <v>59.27</v>
      </c>
      <c r="K157" s="1">
        <f>'Solar Availability and Gener GR'!F157</f>
        <v>2.9060179827294559</v>
      </c>
      <c r="L157" s="1">
        <v>0.39891472868217059</v>
      </c>
      <c r="M157" s="1">
        <f t="shared" si="69"/>
        <v>2.5071032540472853</v>
      </c>
      <c r="N157" s="1" t="str">
        <f t="shared" si="70"/>
        <v>sell the surplus or charge</v>
      </c>
      <c r="O157" s="1">
        <v>0.25</v>
      </c>
      <c r="P157" s="1">
        <f t="shared" si="76"/>
        <v>0.62670034978624167</v>
      </c>
      <c r="Q157" s="1">
        <f t="shared" si="77"/>
        <v>2.6560179827294559</v>
      </c>
      <c r="R157" s="1">
        <f t="shared" si="78"/>
        <v>157.39880030396731</v>
      </c>
      <c r="S157" s="1">
        <f t="shared" si="79"/>
        <v>148.58050704016418</v>
      </c>
      <c r="T157" s="1">
        <f t="shared" si="80"/>
        <v>55.950405910581559</v>
      </c>
      <c r="U157" s="1" t="str">
        <f t="shared" si="81"/>
        <v>charge</v>
      </c>
      <c r="Y157" s="1">
        <f t="shared" si="67"/>
        <v>2.364367596899225E-2</v>
      </c>
      <c r="AA157" s="1">
        <f t="shared" si="71"/>
        <v>41.460597608450136</v>
      </c>
      <c r="AD157" s="1">
        <f t="shared" si="72"/>
        <v>0.25</v>
      </c>
    </row>
    <row r="158" spans="1:30" ht="15">
      <c r="A158" s="1">
        <v>157</v>
      </c>
      <c r="B158" s="1">
        <f t="shared" si="75"/>
        <v>2.923729190777173</v>
      </c>
      <c r="C158" s="1">
        <f t="shared" si="68"/>
        <v>0</v>
      </c>
      <c r="D158" s="1">
        <f t="shared" si="73"/>
        <v>21.957835044566906</v>
      </c>
      <c r="E158">
        <v>59.27</v>
      </c>
      <c r="K158" s="1">
        <f>'Solar Availability and Gener GR'!F158</f>
        <v>3.173729190777173</v>
      </c>
      <c r="L158" s="1">
        <v>0.39891472868217059</v>
      </c>
      <c r="M158" s="1">
        <f t="shared" si="69"/>
        <v>2.7748144620950024</v>
      </c>
      <c r="N158" s="1" t="str">
        <f t="shared" si="70"/>
        <v>sell the surplus or charge</v>
      </c>
      <c r="O158" s="1">
        <v>0.25</v>
      </c>
      <c r="P158" s="1">
        <f t="shared" si="76"/>
        <v>0.62670034978624167</v>
      </c>
      <c r="Q158" s="1">
        <f t="shared" si="77"/>
        <v>2.923729190777173</v>
      </c>
      <c r="R158" s="1">
        <f t="shared" si="78"/>
        <v>173.26604360495548</v>
      </c>
      <c r="S158" s="1">
        <f t="shared" si="79"/>
        <v>164.44775034115239</v>
      </c>
      <c r="T158" s="1">
        <f t="shared" si="80"/>
        <v>56.254318697171058</v>
      </c>
      <c r="U158" s="1" t="str">
        <f t="shared" si="81"/>
        <v>charge</v>
      </c>
      <c r="Y158" s="1">
        <f t="shared" si="67"/>
        <v>2.364367596899225E-2</v>
      </c>
      <c r="AA158" s="1">
        <f t="shared" si="71"/>
        <v>44.235412070545138</v>
      </c>
      <c r="AD158" s="1">
        <f t="shared" si="72"/>
        <v>0.25</v>
      </c>
    </row>
    <row r="159" spans="1:30" ht="15">
      <c r="A159" s="1">
        <v>158</v>
      </c>
      <c r="B159" s="1">
        <f t="shared" si="75"/>
        <v>3.0190465592450799</v>
      </c>
      <c r="C159" s="1">
        <f t="shared" si="68"/>
        <v>0</v>
      </c>
      <c r="D159" s="1">
        <f t="shared" si="73"/>
        <v>24.37307229196297</v>
      </c>
      <c r="E159">
        <v>59.27</v>
      </c>
      <c r="K159" s="1">
        <f>'Solar Availability and Gener GR'!F159</f>
        <v>3.2690465592450799</v>
      </c>
      <c r="L159" s="1">
        <v>0.39891472868217059</v>
      </c>
      <c r="M159" s="1">
        <f t="shared" si="69"/>
        <v>2.8701318305629093</v>
      </c>
      <c r="N159" s="1" t="str">
        <f t="shared" si="70"/>
        <v>sell the surplus or charge</v>
      </c>
      <c r="O159" s="1">
        <v>0.25</v>
      </c>
      <c r="P159" s="1">
        <f t="shared" si="76"/>
        <v>0.62670034978624167</v>
      </c>
      <c r="Q159" s="1">
        <f t="shared" si="77"/>
        <v>3.0190465592450799</v>
      </c>
      <c r="R159" s="1">
        <f t="shared" si="78"/>
        <v>178.91550403404833</v>
      </c>
      <c r="S159" s="1">
        <f t="shared" si="79"/>
        <v>170.09721077024523</v>
      </c>
      <c r="T159" s="1">
        <f t="shared" si="80"/>
        <v>56.349516027726523</v>
      </c>
      <c r="U159" s="1" t="str">
        <f t="shared" si="81"/>
        <v>charge</v>
      </c>
      <c r="Y159" s="1">
        <f t="shared" si="67"/>
        <v>2.364367596899225E-2</v>
      </c>
      <c r="AA159" s="1">
        <f t="shared" si="71"/>
        <v>47.105543901108049</v>
      </c>
      <c r="AD159" s="1">
        <f t="shared" si="72"/>
        <v>0.25</v>
      </c>
    </row>
    <row r="160" spans="1:30" ht="15">
      <c r="A160" s="1">
        <v>159</v>
      </c>
      <c r="B160" s="1">
        <f t="shared" si="75"/>
        <v>2.9228745660108606</v>
      </c>
      <c r="C160" s="1">
        <f t="shared" si="68"/>
        <v>0</v>
      </c>
      <c r="D160" s="1">
        <f t="shared" si="73"/>
        <v>26.71137194477166</v>
      </c>
      <c r="E160">
        <v>59.27</v>
      </c>
      <c r="K160" s="1">
        <f>'Solar Availability and Gener GR'!F160</f>
        <v>3.1728745660108606</v>
      </c>
      <c r="L160" s="1">
        <v>0.39891472868217059</v>
      </c>
      <c r="M160" s="1">
        <f t="shared" si="69"/>
        <v>2.77395983732869</v>
      </c>
      <c r="N160" s="1" t="str">
        <f t="shared" si="70"/>
        <v>sell the surplus or charge</v>
      </c>
      <c r="O160" s="1">
        <v>0.25</v>
      </c>
      <c r="P160" s="1">
        <f t="shared" si="76"/>
        <v>0.62670034978624167</v>
      </c>
      <c r="Q160" s="1">
        <f t="shared" si="77"/>
        <v>2.9228745660108606</v>
      </c>
      <c r="R160" s="1">
        <f t="shared" si="78"/>
        <v>173.21538999505617</v>
      </c>
      <c r="S160" s="1">
        <f t="shared" si="79"/>
        <v>164.39709673125304</v>
      </c>
      <c r="T160" s="1">
        <f t="shared" si="80"/>
        <v>56.253437068606701</v>
      </c>
      <c r="U160" s="1" t="str">
        <f t="shared" si="81"/>
        <v>charge</v>
      </c>
      <c r="Y160" s="1">
        <f t="shared" si="67"/>
        <v>2.364367596899225E-2</v>
      </c>
      <c r="AA160" s="1">
        <f t="shared" si="71"/>
        <v>49.879503738436739</v>
      </c>
      <c r="AD160" s="1">
        <f t="shared" si="72"/>
        <v>0.25</v>
      </c>
    </row>
    <row r="161" spans="1:30" ht="15">
      <c r="A161" s="1">
        <v>160</v>
      </c>
      <c r="B161" s="1">
        <f t="shared" si="75"/>
        <v>0</v>
      </c>
      <c r="C161" s="1">
        <f t="shared" si="68"/>
        <v>0</v>
      </c>
      <c r="D161" s="1">
        <f t="shared" si="73"/>
        <v>26.71137194477166</v>
      </c>
      <c r="E161">
        <v>59.27</v>
      </c>
      <c r="K161" s="1">
        <f>'Solar Availability and Gener GR'!F161</f>
        <v>2.9426733730971213</v>
      </c>
      <c r="L161" s="1">
        <v>0.66914728682170543</v>
      </c>
      <c r="M161" s="1">
        <f t="shared" si="69"/>
        <v>2.2735260862754156</v>
      </c>
      <c r="N161" s="1" t="str">
        <f t="shared" si="70"/>
        <v>sell the surplus or charge</v>
      </c>
      <c r="O161" s="1">
        <v>0.25</v>
      </c>
      <c r="P161" s="1">
        <f t="shared" si="76"/>
        <v>0.3736098239110287</v>
      </c>
      <c r="Q161" s="1">
        <f t="shared" si="77"/>
        <v>2.6926733730971213</v>
      </c>
      <c r="R161" s="1">
        <f t="shared" si="78"/>
        <v>159.57136529105884</v>
      </c>
      <c r="S161" s="1">
        <f t="shared" si="79"/>
        <v>134.74511395602346</v>
      </c>
      <c r="T161" s="1">
        <f t="shared" si="80"/>
        <v>50.051674504948707</v>
      </c>
      <c r="U161" s="1" t="str">
        <f t="shared" si="81"/>
        <v>sell to the Grid</v>
      </c>
      <c r="W161" s="1">
        <f>(Q161*E161)/1000</f>
        <v>0.15959475082346639</v>
      </c>
      <c r="Y161" s="1">
        <f t="shared" si="67"/>
        <v>3.9660359689922479E-2</v>
      </c>
      <c r="AA161" s="1">
        <f t="shared" si="71"/>
        <v>52.153029824712156</v>
      </c>
      <c r="AD161" s="1">
        <f t="shared" si="72"/>
        <v>0.25</v>
      </c>
    </row>
    <row r="162" spans="1:30" ht="15">
      <c r="A162" s="1">
        <v>161</v>
      </c>
      <c r="B162" s="1">
        <f t="shared" si="75"/>
        <v>0</v>
      </c>
      <c r="C162" s="1">
        <f t="shared" si="68"/>
        <v>0</v>
      </c>
      <c r="D162" s="1">
        <f t="shared" si="73"/>
        <v>26.71137194477166</v>
      </c>
      <c r="E162">
        <v>59.27</v>
      </c>
      <c r="K162" s="1">
        <f>'Solar Availability and Gener GR'!F162</f>
        <v>2.5114083503961528</v>
      </c>
      <c r="L162" s="1">
        <v>0.66914728682170543</v>
      </c>
      <c r="M162" s="1">
        <f t="shared" si="69"/>
        <v>1.8422610635744474</v>
      </c>
      <c r="N162" s="1" t="str">
        <f t="shared" si="70"/>
        <v>sell the surplus or charge</v>
      </c>
      <c r="O162" s="1">
        <v>0.25</v>
      </c>
      <c r="P162" s="1">
        <f t="shared" si="76"/>
        <v>0.3736098239110287</v>
      </c>
      <c r="Q162" s="1">
        <f t="shared" si="77"/>
        <v>2.2614083503961528</v>
      </c>
      <c r="R162" s="1">
        <f t="shared" si="78"/>
        <v>134.01028739557242</v>
      </c>
      <c r="S162" s="1">
        <f t="shared" si="79"/>
        <v>109.18403606053705</v>
      </c>
      <c r="T162" s="1">
        <f t="shared" si="80"/>
        <v>48.294126657225078</v>
      </c>
      <c r="U162" s="1" t="str">
        <f t="shared" si="81"/>
        <v>sell to the Grid</v>
      </c>
      <c r="W162" s="1">
        <f>(Q162*E162)/1000</f>
        <v>0.13403367292797999</v>
      </c>
      <c r="Y162" s="1">
        <f t="shared" si="67"/>
        <v>3.9660359689922479E-2</v>
      </c>
      <c r="AA162" s="1">
        <f t="shared" si="71"/>
        <v>53.995290888286604</v>
      </c>
      <c r="AD162" s="1">
        <f t="shared" si="72"/>
        <v>0.25</v>
      </c>
    </row>
    <row r="163" spans="1:30" ht="15">
      <c r="A163" s="1">
        <v>162</v>
      </c>
      <c r="B163" s="1">
        <f t="shared" si="75"/>
        <v>0</v>
      </c>
      <c r="C163" s="1">
        <f t="shared" si="68"/>
        <v>0</v>
      </c>
      <c r="D163" s="1">
        <f t="shared" si="73"/>
        <v>26.71137194477166</v>
      </c>
      <c r="E163">
        <v>59.27</v>
      </c>
      <c r="K163" s="1">
        <f>'Solar Availability and Gener GR'!F163</f>
        <v>1.8790794979079473</v>
      </c>
      <c r="L163" s="1">
        <v>0.66914728682170543</v>
      </c>
      <c r="M163" s="1">
        <f t="shared" si="69"/>
        <v>1.2099322110862418</v>
      </c>
      <c r="N163" s="1" t="str">
        <f t="shared" si="70"/>
        <v>sell the surplus or charge</v>
      </c>
      <c r="O163" s="1">
        <v>0.25</v>
      </c>
      <c r="P163" s="1">
        <f t="shared" si="76"/>
        <v>0.3736098239110287</v>
      </c>
      <c r="Q163" s="1">
        <f t="shared" si="77"/>
        <v>1.6290794979079473</v>
      </c>
      <c r="R163" s="1">
        <f t="shared" si="78"/>
        <v>96.532156308596484</v>
      </c>
      <c r="S163" s="1">
        <f t="shared" si="79"/>
        <v>71.705904973561104</v>
      </c>
      <c r="T163" s="1">
        <f t="shared" si="80"/>
        <v>44.035534380890958</v>
      </c>
      <c r="U163" s="1" t="str">
        <f t="shared" si="81"/>
        <v>sell to the Grid</v>
      </c>
      <c r="W163" s="1">
        <f>(Q163*E163)/1000</f>
        <v>9.6555541841004039E-2</v>
      </c>
      <c r="Y163" s="1">
        <f t="shared" si="67"/>
        <v>3.9660359689922479E-2</v>
      </c>
      <c r="AA163" s="1">
        <f t="shared" si="71"/>
        <v>55.205223099372844</v>
      </c>
      <c r="AD163" s="1">
        <f t="shared" si="72"/>
        <v>0.25</v>
      </c>
    </row>
    <row r="164" spans="1:30" ht="15">
      <c r="A164" s="1">
        <v>163</v>
      </c>
      <c r="B164" s="1">
        <f t="shared" si="75"/>
        <v>0</v>
      </c>
      <c r="C164" s="1">
        <f t="shared" si="68"/>
        <v>0</v>
      </c>
      <c r="D164" s="1">
        <f t="shared" si="73"/>
        <v>26.71137194477166</v>
      </c>
      <c r="E164">
        <v>59.27</v>
      </c>
      <c r="K164" s="1">
        <f>'Solar Availability and Gener GR'!F164</f>
        <v>1.2276017092495295</v>
      </c>
      <c r="L164" s="1">
        <v>0.65627906976744199</v>
      </c>
      <c r="M164" s="1">
        <f t="shared" si="69"/>
        <v>0.5713226394820875</v>
      </c>
      <c r="N164" s="1" t="str">
        <f t="shared" si="70"/>
        <v>sell the surplus or charge</v>
      </c>
      <c r="O164" s="1">
        <v>0.25</v>
      </c>
      <c r="P164" s="1">
        <f t="shared" si="76"/>
        <v>0.38093550673281351</v>
      </c>
      <c r="Q164" s="1">
        <f t="shared" si="77"/>
        <v>0.97760170924952949</v>
      </c>
      <c r="R164" s="1">
        <f t="shared" si="78"/>
        <v>57.919067774812063</v>
      </c>
      <c r="S164" s="1">
        <f t="shared" si="79"/>
        <v>33.855188099031992</v>
      </c>
      <c r="T164" s="1">
        <f t="shared" si="80"/>
        <v>34.671759638599369</v>
      </c>
      <c r="U164" s="1" t="str">
        <f t="shared" si="81"/>
        <v>sell to the Grid</v>
      </c>
      <c r="W164" s="1">
        <f>(Q164*E164)/1000</f>
        <v>5.7942453307219616E-2</v>
      </c>
      <c r="Y164" s="1">
        <f t="shared" si="67"/>
        <v>3.8897660465116286E-2</v>
      </c>
      <c r="AA164" s="1">
        <f t="shared" si="71"/>
        <v>55.776545738854935</v>
      </c>
      <c r="AD164" s="1">
        <f t="shared" si="72"/>
        <v>0.25</v>
      </c>
    </row>
    <row r="165" spans="1:30" ht="15">
      <c r="A165" s="1">
        <v>164</v>
      </c>
      <c r="B165" s="1">
        <f t="shared" si="75"/>
        <v>0</v>
      </c>
      <c r="C165" s="1">
        <f t="shared" si="68"/>
        <v>0</v>
      </c>
      <c r="D165" s="1">
        <f t="shared" si="73"/>
        <v>26.71137194477166</v>
      </c>
      <c r="E165">
        <v>59.27</v>
      </c>
      <c r="K165" s="1">
        <f>'Solar Availability and Gener GR'!F165</f>
        <v>0.48992700080121115</v>
      </c>
      <c r="L165" s="1">
        <v>0.39891472868217059</v>
      </c>
      <c r="M165" s="1">
        <f t="shared" si="69"/>
        <v>9.101227211904056E-2</v>
      </c>
      <c r="N165" s="1" t="str">
        <f t="shared" si="70"/>
        <v>sell the surplus or charge</v>
      </c>
      <c r="O165" s="1">
        <v>0.25</v>
      </c>
      <c r="P165" s="1">
        <f t="shared" si="76"/>
        <v>0.62670034978624167</v>
      </c>
      <c r="Q165" s="1">
        <f t="shared" si="77"/>
        <v>0.23992700080121115</v>
      </c>
      <c r="R165" s="1">
        <f t="shared" si="78"/>
        <v>14.19708780508023</v>
      </c>
      <c r="S165" s="1">
        <f t="shared" si="79"/>
        <v>5.3787945412771121</v>
      </c>
      <c r="T165" s="1">
        <f t="shared" si="80"/>
        <v>22.673299284008422</v>
      </c>
      <c r="U165" s="1" t="str">
        <f t="shared" si="81"/>
        <v>sell to the Grid</v>
      </c>
      <c r="W165" s="1">
        <f>(Q165*E165)/1000</f>
        <v>1.4220473337487785E-2</v>
      </c>
      <c r="Y165" s="1">
        <f t="shared" si="67"/>
        <v>2.364367596899225E-2</v>
      </c>
      <c r="AA165" s="1">
        <f t="shared" si="71"/>
        <v>55.867558010973973</v>
      </c>
      <c r="AD165" s="1">
        <f t="shared" si="72"/>
        <v>0.25</v>
      </c>
    </row>
    <row r="166" spans="1:30" ht="15">
      <c r="A166" s="1">
        <v>165</v>
      </c>
      <c r="B166" s="1">
        <f t="shared" si="75"/>
        <v>0</v>
      </c>
      <c r="C166" s="1">
        <f t="shared" si="68"/>
        <v>0</v>
      </c>
      <c r="D166" s="1">
        <f t="shared" si="73"/>
        <v>26.71137194477166</v>
      </c>
      <c r="E166">
        <v>59.27</v>
      </c>
      <c r="K166" s="1">
        <f>'Solar Availability and Gener GR'!F166</f>
        <v>6.8263153209294117E-2</v>
      </c>
      <c r="L166" s="1">
        <v>0.39891472868217059</v>
      </c>
      <c r="M166" s="1">
        <f t="shared" si="69"/>
        <v>-0.33065157547287649</v>
      </c>
      <c r="N166" s="1" t="str">
        <f t="shared" si="70"/>
        <v>Buy from Grid</v>
      </c>
      <c r="V166" s="1" t="str">
        <f t="shared" ref="V166:V177" si="82">IF(D166+M166&gt;0,"discharge","buy from the Grid")</f>
        <v>discharge</v>
      </c>
      <c r="Y166" s="1">
        <f t="shared" si="67"/>
        <v>2.364367596899225E-2</v>
      </c>
      <c r="AA166" s="1">
        <f t="shared" si="71"/>
        <v>55.536906435501095</v>
      </c>
      <c r="AD166" s="1">
        <f t="shared" si="72"/>
        <v>0</v>
      </c>
    </row>
    <row r="167" spans="1:30" ht="15">
      <c r="A167" s="1">
        <v>166</v>
      </c>
      <c r="B167" s="1">
        <f t="shared" si="75"/>
        <v>0</v>
      </c>
      <c r="C167" s="1">
        <f t="shared" si="68"/>
        <v>-0.33065157547287649</v>
      </c>
      <c r="D167" s="1">
        <f t="shared" si="73"/>
        <v>26.298057475430564</v>
      </c>
      <c r="E167">
        <v>59.27</v>
      </c>
      <c r="K167" s="1">
        <f>'Solar Availability and Gener GR'!F167</f>
        <v>0</v>
      </c>
      <c r="L167" s="1">
        <v>0.39891472868217059</v>
      </c>
      <c r="M167" s="1">
        <f t="shared" si="69"/>
        <v>-0.39891472868217059</v>
      </c>
      <c r="N167" s="1" t="str">
        <f t="shared" si="70"/>
        <v>Buy from Grid</v>
      </c>
      <c r="V167" s="1" t="str">
        <f t="shared" si="82"/>
        <v>discharge</v>
      </c>
      <c r="Y167" s="1">
        <f t="shared" si="67"/>
        <v>2.364367596899225E-2</v>
      </c>
      <c r="AA167" s="1">
        <f t="shared" si="71"/>
        <v>55.137991706818923</v>
      </c>
      <c r="AD167" s="1">
        <f t="shared" si="72"/>
        <v>0</v>
      </c>
    </row>
    <row r="168" spans="1:30" ht="15">
      <c r="A168" s="1">
        <v>167</v>
      </c>
      <c r="B168" s="1">
        <f t="shared" si="75"/>
        <v>0</v>
      </c>
      <c r="C168" s="1">
        <f t="shared" si="68"/>
        <v>-0.39891472868217059</v>
      </c>
      <c r="D168" s="1">
        <f t="shared" si="73"/>
        <v>25.799414064577849</v>
      </c>
      <c r="E168">
        <v>59.27</v>
      </c>
      <c r="K168" s="1">
        <f>'Solar Availability and Gener GR'!F168</f>
        <v>0</v>
      </c>
      <c r="L168" s="1">
        <v>0.29596899224806206</v>
      </c>
      <c r="M168" s="1">
        <f t="shared" si="69"/>
        <v>-0.29596899224806206</v>
      </c>
      <c r="N168" s="1" t="str">
        <f t="shared" si="70"/>
        <v>Buy from Grid</v>
      </c>
      <c r="V168" s="1" t="str">
        <f t="shared" si="82"/>
        <v>discharge</v>
      </c>
      <c r="Y168" s="1">
        <f t="shared" si="67"/>
        <v>1.754208217054264E-2</v>
      </c>
      <c r="AA168" s="1">
        <f t="shared" si="71"/>
        <v>54.842022714570859</v>
      </c>
      <c r="AD168" s="1">
        <f t="shared" si="72"/>
        <v>0</v>
      </c>
    </row>
    <row r="169" spans="1:30" ht="15">
      <c r="A169" s="1">
        <v>168</v>
      </c>
      <c r="B169" s="1">
        <f t="shared" si="75"/>
        <v>0</v>
      </c>
      <c r="C169" s="1">
        <f t="shared" si="68"/>
        <v>-0.29596899224806206</v>
      </c>
      <c r="D169" s="1">
        <f t="shared" si="73"/>
        <v>25.429452824267774</v>
      </c>
      <c r="E169">
        <v>59.27</v>
      </c>
      <c r="K169" s="1">
        <f>'Solar Availability and Gener GR'!F169</f>
        <v>0</v>
      </c>
      <c r="L169" s="1">
        <v>0.29596899224806206</v>
      </c>
      <c r="M169" s="1">
        <f t="shared" si="69"/>
        <v>-0.29596899224806206</v>
      </c>
      <c r="N169" s="1" t="str">
        <f t="shared" si="70"/>
        <v>Buy from Grid</v>
      </c>
      <c r="V169" s="1" t="str">
        <f t="shared" si="82"/>
        <v>discharge</v>
      </c>
      <c r="Y169" s="1">
        <f t="shared" si="67"/>
        <v>1.754208217054264E-2</v>
      </c>
      <c r="AA169" s="1">
        <f t="shared" si="71"/>
        <v>54.546053722322796</v>
      </c>
      <c r="AD169" s="1">
        <f t="shared" si="72"/>
        <v>0</v>
      </c>
    </row>
    <row r="170" spans="1:30" ht="15">
      <c r="A170" s="1">
        <v>169</v>
      </c>
      <c r="B170" s="1">
        <f t="shared" si="75"/>
        <v>0</v>
      </c>
      <c r="C170" s="1">
        <f t="shared" si="68"/>
        <v>-0.29596899224806206</v>
      </c>
      <c r="D170" s="1">
        <f t="shared" si="73"/>
        <v>25.059491583957698</v>
      </c>
      <c r="E170">
        <v>59.27</v>
      </c>
      <c r="K170" s="1">
        <f>'Solar Availability and Gener GR'!F170</f>
        <v>0</v>
      </c>
      <c r="L170" s="1">
        <v>0.29596899224806206</v>
      </c>
      <c r="M170" s="1">
        <f t="shared" si="69"/>
        <v>-0.29596899224806206</v>
      </c>
      <c r="N170" s="1" t="str">
        <f t="shared" si="70"/>
        <v>Buy from Grid</v>
      </c>
      <c r="V170" s="1" t="str">
        <f t="shared" si="82"/>
        <v>discharge</v>
      </c>
      <c r="Y170" s="1">
        <f t="shared" si="67"/>
        <v>1.754208217054264E-2</v>
      </c>
      <c r="AA170" s="1">
        <f t="shared" si="71"/>
        <v>54.250084730074732</v>
      </c>
      <c r="AD170" s="1">
        <f t="shared" si="72"/>
        <v>0</v>
      </c>
    </row>
    <row r="171" spans="1:30" ht="15">
      <c r="A171" s="1">
        <v>170</v>
      </c>
      <c r="B171" s="1">
        <f t="shared" si="75"/>
        <v>0</v>
      </c>
      <c r="C171" s="1">
        <f t="shared" si="68"/>
        <v>-0.29596899224806206</v>
      </c>
      <c r="D171" s="1">
        <f t="shared" si="73"/>
        <v>24.689530343647622</v>
      </c>
      <c r="E171">
        <v>59.27</v>
      </c>
      <c r="K171" s="1">
        <f>'Solar Availability and Gener GR'!F171</f>
        <v>0</v>
      </c>
      <c r="L171" s="1">
        <v>0.29596899224806206</v>
      </c>
      <c r="M171" s="1">
        <f t="shared" si="69"/>
        <v>-0.29596899224806206</v>
      </c>
      <c r="N171" s="1" t="str">
        <f t="shared" si="70"/>
        <v>Buy from Grid</v>
      </c>
      <c r="V171" s="1" t="str">
        <f t="shared" si="82"/>
        <v>discharge</v>
      </c>
      <c r="Y171" s="1">
        <f t="shared" si="67"/>
        <v>1.754208217054264E-2</v>
      </c>
      <c r="AA171" s="1">
        <f t="shared" si="71"/>
        <v>53.954115737826669</v>
      </c>
      <c r="AD171" s="1">
        <f t="shared" si="72"/>
        <v>0</v>
      </c>
    </row>
    <row r="172" spans="1:30" ht="15">
      <c r="A172" s="1">
        <v>171</v>
      </c>
      <c r="B172" s="1">
        <f t="shared" si="75"/>
        <v>0</v>
      </c>
      <c r="C172" s="1">
        <f t="shared" si="68"/>
        <v>-0.29596899224806206</v>
      </c>
      <c r="D172" s="1">
        <f t="shared" si="73"/>
        <v>24.319569103337546</v>
      </c>
      <c r="E172">
        <v>59.27</v>
      </c>
      <c r="K172" s="1">
        <f>'Solar Availability and Gener GR'!F172</f>
        <v>0</v>
      </c>
      <c r="L172" s="1">
        <v>0.39891472868217059</v>
      </c>
      <c r="M172" s="1">
        <f t="shared" si="69"/>
        <v>-0.39891472868217059</v>
      </c>
      <c r="N172" s="1" t="str">
        <f t="shared" si="70"/>
        <v>Buy from Grid</v>
      </c>
      <c r="V172" s="1" t="str">
        <f t="shared" si="82"/>
        <v>discharge</v>
      </c>
      <c r="Y172" s="1">
        <f t="shared" si="67"/>
        <v>2.364367596899225E-2</v>
      </c>
      <c r="AA172" s="1">
        <f t="shared" si="71"/>
        <v>53.555201009144497</v>
      </c>
      <c r="AD172" s="1">
        <f t="shared" si="72"/>
        <v>0</v>
      </c>
    </row>
    <row r="173" spans="1:30" ht="15">
      <c r="A173" s="1">
        <v>172</v>
      </c>
      <c r="B173" s="1">
        <f t="shared" si="75"/>
        <v>0</v>
      </c>
      <c r="C173" s="1">
        <f t="shared" si="68"/>
        <v>-0.39891472868217059</v>
      </c>
      <c r="D173" s="1">
        <f t="shared" si="73"/>
        <v>23.820925692484831</v>
      </c>
      <c r="E173">
        <v>59.27</v>
      </c>
      <c r="K173" s="1">
        <f>'Solar Availability and Gener GR'!F173</f>
        <v>0</v>
      </c>
      <c r="L173" s="1">
        <v>0.66914728682170543</v>
      </c>
      <c r="M173" s="1">
        <f t="shared" si="69"/>
        <v>-0.66914728682170543</v>
      </c>
      <c r="N173" s="1" t="str">
        <f t="shared" si="70"/>
        <v>Buy from Grid</v>
      </c>
      <c r="V173" s="1" t="str">
        <f t="shared" si="82"/>
        <v>discharge</v>
      </c>
      <c r="Y173" s="1">
        <f t="shared" si="67"/>
        <v>3.9660359689922479E-2</v>
      </c>
      <c r="AA173" s="1">
        <f t="shared" si="71"/>
        <v>52.886053722322792</v>
      </c>
      <c r="AD173" s="1">
        <f t="shared" si="72"/>
        <v>0</v>
      </c>
    </row>
    <row r="174" spans="1:30" ht="15">
      <c r="A174" s="1">
        <v>173</v>
      </c>
      <c r="B174" s="1">
        <f t="shared" si="75"/>
        <v>0</v>
      </c>
      <c r="C174" s="1">
        <f t="shared" si="68"/>
        <v>-0.66914728682170543</v>
      </c>
      <c r="D174" s="1">
        <f t="shared" si="73"/>
        <v>22.984491583957698</v>
      </c>
      <c r="E174">
        <v>59.27</v>
      </c>
      <c r="K174" s="1">
        <f>'Solar Availability and Gener GR'!F174</f>
        <v>0</v>
      </c>
      <c r="L174" s="1">
        <v>0.66914728682170543</v>
      </c>
      <c r="M174" s="1">
        <f t="shared" si="69"/>
        <v>-0.66914728682170543</v>
      </c>
      <c r="N174" s="1" t="str">
        <f t="shared" si="70"/>
        <v>Buy from Grid</v>
      </c>
      <c r="V174" s="1" t="str">
        <f t="shared" si="82"/>
        <v>discharge</v>
      </c>
      <c r="Y174" s="1">
        <f t="shared" si="67"/>
        <v>3.9660359689922479E-2</v>
      </c>
      <c r="AA174" s="1">
        <f t="shared" si="71"/>
        <v>52.216906435501087</v>
      </c>
      <c r="AD174" s="1">
        <f t="shared" si="72"/>
        <v>0</v>
      </c>
    </row>
    <row r="175" spans="1:30" ht="15">
      <c r="A175" s="1">
        <v>174</v>
      </c>
      <c r="B175" s="1">
        <f t="shared" si="75"/>
        <v>0</v>
      </c>
      <c r="C175" s="1">
        <f t="shared" si="68"/>
        <v>-0.66914728682170543</v>
      </c>
      <c r="D175" s="1">
        <f t="shared" si="73"/>
        <v>22.148057475430566</v>
      </c>
      <c r="E175">
        <v>59.27</v>
      </c>
      <c r="K175" s="1">
        <f>'Solar Availability and Gener GR'!F175</f>
        <v>0</v>
      </c>
      <c r="L175" s="1">
        <v>0.65627906976744199</v>
      </c>
      <c r="M175" s="1">
        <f t="shared" si="69"/>
        <v>-0.65627906976744199</v>
      </c>
      <c r="N175" s="1" t="str">
        <f t="shared" si="70"/>
        <v>Buy from Grid</v>
      </c>
      <c r="V175" s="1" t="str">
        <f t="shared" si="82"/>
        <v>discharge</v>
      </c>
      <c r="Y175" s="1">
        <f t="shared" si="67"/>
        <v>3.8897660465116286E-2</v>
      </c>
      <c r="AA175" s="1">
        <f t="shared" si="71"/>
        <v>51.560627365733644</v>
      </c>
      <c r="AD175" s="1">
        <f t="shared" si="72"/>
        <v>0</v>
      </c>
    </row>
    <row r="176" spans="1:30" ht="15">
      <c r="A176" s="1">
        <v>175</v>
      </c>
      <c r="B176" s="1">
        <f t="shared" si="75"/>
        <v>0</v>
      </c>
      <c r="C176" s="1">
        <f t="shared" si="68"/>
        <v>-0.65627906976744199</v>
      </c>
      <c r="D176" s="1">
        <f t="shared" si="73"/>
        <v>21.327708638221264</v>
      </c>
      <c r="E176">
        <v>59.27</v>
      </c>
      <c r="K176" s="1">
        <f>'Solar Availability and Gener GR'!F176</f>
        <v>1.6611768895219918E-2</v>
      </c>
      <c r="L176" s="1">
        <v>0.39891472868217059</v>
      </c>
      <c r="M176" s="1">
        <f t="shared" si="69"/>
        <v>-0.38230295978695067</v>
      </c>
      <c r="N176" s="1" t="str">
        <f t="shared" si="70"/>
        <v>Buy from Grid</v>
      </c>
      <c r="V176" s="1" t="str">
        <f t="shared" si="82"/>
        <v>discharge</v>
      </c>
      <c r="Y176" s="1">
        <f t="shared" si="67"/>
        <v>2.364367596899225E-2</v>
      </c>
      <c r="AA176" s="1">
        <f t="shared" si="71"/>
        <v>51.178324405946697</v>
      </c>
      <c r="AD176" s="1">
        <f t="shared" si="72"/>
        <v>0</v>
      </c>
    </row>
    <row r="177" spans="1:30" ht="15">
      <c r="A177" s="1">
        <v>176</v>
      </c>
      <c r="B177" s="1">
        <f t="shared" si="75"/>
        <v>0</v>
      </c>
      <c r="C177" s="1">
        <f t="shared" si="68"/>
        <v>-0.38230295978695067</v>
      </c>
      <c r="D177" s="1">
        <f t="shared" si="73"/>
        <v>20.849829938487577</v>
      </c>
      <c r="E177">
        <v>59.27</v>
      </c>
      <c r="K177" s="1">
        <f>'Solar Availability and Gener GR'!F177</f>
        <v>0.18857829609187202</v>
      </c>
      <c r="L177" s="1">
        <v>0.39891472868217059</v>
      </c>
      <c r="M177" s="1">
        <f t="shared" si="69"/>
        <v>-0.21033643259029858</v>
      </c>
      <c r="N177" s="1" t="str">
        <f t="shared" si="70"/>
        <v>Buy from Grid</v>
      </c>
      <c r="V177" s="1" t="str">
        <f t="shared" si="82"/>
        <v>discharge</v>
      </c>
      <c r="Y177" s="1">
        <f t="shared" si="67"/>
        <v>2.364367596899225E-2</v>
      </c>
      <c r="AA177" s="1">
        <f t="shared" si="71"/>
        <v>50.967987973356401</v>
      </c>
      <c r="AD177" s="1">
        <f t="shared" si="72"/>
        <v>0</v>
      </c>
    </row>
    <row r="178" spans="1:30" ht="15">
      <c r="A178" s="1">
        <v>177</v>
      </c>
      <c r="B178" s="1">
        <f t="shared" si="75"/>
        <v>0</v>
      </c>
      <c r="C178" s="1">
        <f t="shared" si="68"/>
        <v>-0.21033643259029858</v>
      </c>
      <c r="D178" s="1">
        <f t="shared" si="73"/>
        <v>20.586909397749704</v>
      </c>
      <c r="E178">
        <v>59.27</v>
      </c>
      <c r="K178" s="1">
        <f>'Solar Availability and Gener GR'!F178</f>
        <v>0.47539837977387839</v>
      </c>
      <c r="L178" s="1">
        <v>0.39891472868217059</v>
      </c>
      <c r="M178" s="1">
        <f t="shared" si="69"/>
        <v>7.6483651091707794E-2</v>
      </c>
      <c r="N178" s="1" t="str">
        <f t="shared" si="70"/>
        <v>sell the surplus or charge</v>
      </c>
      <c r="O178" s="1">
        <v>0.25</v>
      </c>
      <c r="P178" s="1">
        <f t="shared" ref="P178:P189" si="83">0.25/L178</f>
        <v>0.62670034978624167</v>
      </c>
      <c r="Q178" s="1">
        <f t="shared" ref="Q178:Q189" si="84">K178-P178*L178</f>
        <v>0.22539837977387839</v>
      </c>
      <c r="R178" s="1">
        <f t="shared" ref="R178:R189" si="85">((1/(E178+0.01))*LN(0.25))+(E178*(K178-0.25))</f>
        <v>13.335976436790217</v>
      </c>
      <c r="S178" s="1">
        <f t="shared" ref="S178:S189" si="86">((1/(E178+0.01))*LN(L178))+(E178*(K178-L178))</f>
        <v>4.5176831729870992</v>
      </c>
      <c r="T178" s="1">
        <f t="shared" ref="T178:T189" si="87">(S178+((S178^2)-4*(K178-L178*P178)*LN(L178*P178))^(0.5))/(2*(K178-L178*P178))</f>
        <v>20.345404163366876</v>
      </c>
      <c r="U178" s="1" t="str">
        <f t="shared" ref="U178:U189" si="88">IF(E178&gt;=T178*1.1,"sell to the Grid","charge")</f>
        <v>sell to the Grid</v>
      </c>
      <c r="W178" s="1">
        <f>(Q178*E178)/1000</f>
        <v>1.3359361969197773E-2</v>
      </c>
      <c r="Y178" s="1">
        <f t="shared" si="67"/>
        <v>2.364367596899225E-2</v>
      </c>
      <c r="AA178" s="1">
        <f t="shared" si="71"/>
        <v>51.044471624448107</v>
      </c>
      <c r="AD178" s="1">
        <f t="shared" si="72"/>
        <v>0.25</v>
      </c>
    </row>
    <row r="179" spans="1:30" ht="15">
      <c r="A179" s="1">
        <v>178</v>
      </c>
      <c r="B179" s="1">
        <f t="shared" si="75"/>
        <v>0</v>
      </c>
      <c r="C179" s="1">
        <f t="shared" si="68"/>
        <v>0</v>
      </c>
      <c r="D179" s="1">
        <f t="shared" si="73"/>
        <v>20.586909397749704</v>
      </c>
      <c r="E179">
        <v>59.27</v>
      </c>
      <c r="K179" s="1">
        <f>'Solar Availability and Gener GR'!F179</f>
        <v>0.86753761239205807</v>
      </c>
      <c r="L179" s="1">
        <v>0.39891472868217059</v>
      </c>
      <c r="M179" s="1">
        <f t="shared" si="69"/>
        <v>0.46862288370988747</v>
      </c>
      <c r="N179" s="1" t="str">
        <f t="shared" si="70"/>
        <v>sell the surplus or charge</v>
      </c>
      <c r="O179" s="1">
        <v>0.25</v>
      </c>
      <c r="P179" s="1">
        <f t="shared" si="83"/>
        <v>0.62670034978624167</v>
      </c>
      <c r="Q179" s="1">
        <f t="shared" si="84"/>
        <v>0.61753761239205807</v>
      </c>
      <c r="R179" s="1">
        <f t="shared" si="85"/>
        <v>36.578068754069733</v>
      </c>
      <c r="S179" s="1">
        <f t="shared" si="86"/>
        <v>27.759775490266609</v>
      </c>
      <c r="T179" s="1">
        <f t="shared" si="87"/>
        <v>45.002247531800236</v>
      </c>
      <c r="U179" s="1" t="str">
        <f t="shared" si="88"/>
        <v>sell to the Grid</v>
      </c>
      <c r="W179" s="1">
        <f>(Q179*E179)/1000</f>
        <v>3.6601454286477285E-2</v>
      </c>
      <c r="Y179" s="1">
        <f t="shared" si="67"/>
        <v>2.364367596899225E-2</v>
      </c>
      <c r="AA179" s="1">
        <f t="shared" si="71"/>
        <v>51.513094508157998</v>
      </c>
      <c r="AD179" s="1">
        <f t="shared" si="72"/>
        <v>0.25</v>
      </c>
    </row>
    <row r="180" spans="1:30" ht="15">
      <c r="A180" s="1">
        <v>179</v>
      </c>
      <c r="B180" s="1">
        <f t="shared" si="75"/>
        <v>0</v>
      </c>
      <c r="C180" s="1">
        <f t="shared" si="68"/>
        <v>0</v>
      </c>
      <c r="D180" s="1">
        <f t="shared" si="73"/>
        <v>20.586909397749704</v>
      </c>
      <c r="E180">
        <v>59.27</v>
      </c>
      <c r="K180" s="1">
        <f>'Solar Availability and Gener GR'!F180</f>
        <v>1.8437193982017253</v>
      </c>
      <c r="L180" s="1">
        <v>0.39891472868217059</v>
      </c>
      <c r="M180" s="1">
        <f t="shared" si="69"/>
        <v>1.4448046695195547</v>
      </c>
      <c r="N180" s="1" t="str">
        <f t="shared" si="70"/>
        <v>sell the surplus or charge</v>
      </c>
      <c r="O180" s="1">
        <v>0.25</v>
      </c>
      <c r="P180" s="1">
        <f t="shared" si="83"/>
        <v>0.62670034978624167</v>
      </c>
      <c r="Q180" s="1">
        <f t="shared" si="84"/>
        <v>1.5937193982017253</v>
      </c>
      <c r="R180" s="1">
        <f t="shared" si="85"/>
        <v>94.436363199008696</v>
      </c>
      <c r="S180" s="1">
        <f t="shared" si="86"/>
        <v>85.618069935205583</v>
      </c>
      <c r="T180" s="1">
        <f t="shared" si="87"/>
        <v>53.738360178917098</v>
      </c>
      <c r="U180" s="1" t="str">
        <f t="shared" si="88"/>
        <v>sell to the Grid</v>
      </c>
      <c r="W180" s="1">
        <f>(Q180*E180)/1000</f>
        <v>9.4459748731416257E-2</v>
      </c>
      <c r="Y180" s="1">
        <f t="shared" si="67"/>
        <v>2.364367596899225E-2</v>
      </c>
      <c r="AA180" s="1">
        <f t="shared" si="71"/>
        <v>52.957899177677554</v>
      </c>
      <c r="AD180" s="1">
        <f t="shared" si="72"/>
        <v>0.25</v>
      </c>
    </row>
    <row r="181" spans="1:30" ht="15">
      <c r="A181" s="1">
        <v>180</v>
      </c>
      <c r="B181" s="1">
        <f t="shared" si="75"/>
        <v>2.4645820350752228</v>
      </c>
      <c r="C181" s="1">
        <f t="shared" si="68"/>
        <v>0</v>
      </c>
      <c r="D181" s="1">
        <f t="shared" si="73"/>
        <v>22.558575025809883</v>
      </c>
      <c r="E181">
        <v>59.27</v>
      </c>
      <c r="K181" s="1">
        <f>'Solar Availability and Gener GR'!F181</f>
        <v>2.7145820350752228</v>
      </c>
      <c r="L181" s="1">
        <v>0.39891472868217059</v>
      </c>
      <c r="M181" s="1">
        <f t="shared" si="69"/>
        <v>2.3156673063930522</v>
      </c>
      <c r="N181" s="1" t="str">
        <f t="shared" si="70"/>
        <v>sell the surplus or charge</v>
      </c>
      <c r="O181" s="1">
        <v>0.25</v>
      </c>
      <c r="P181" s="1">
        <f t="shared" si="83"/>
        <v>0.62670034978624167</v>
      </c>
      <c r="Q181" s="1">
        <f t="shared" si="84"/>
        <v>2.4645820350752228</v>
      </c>
      <c r="R181" s="1">
        <f t="shared" si="85"/>
        <v>146.0523916865009</v>
      </c>
      <c r="S181" s="1">
        <f t="shared" si="86"/>
        <v>137.23409842269777</v>
      </c>
      <c r="T181" s="1">
        <f t="shared" si="87"/>
        <v>55.692603598838232</v>
      </c>
      <c r="U181" s="1" t="str">
        <f t="shared" si="88"/>
        <v>charge</v>
      </c>
      <c r="Y181" s="1">
        <f t="shared" si="67"/>
        <v>2.364367596899225E-2</v>
      </c>
      <c r="AA181" s="1">
        <f t="shared" si="71"/>
        <v>55.273566484070606</v>
      </c>
      <c r="AD181" s="1">
        <f t="shared" si="72"/>
        <v>0.25</v>
      </c>
    </row>
    <row r="182" spans="1:30" ht="15">
      <c r="A182" s="1">
        <v>181</v>
      </c>
      <c r="B182" s="1">
        <f t="shared" si="75"/>
        <v>2.7705377014154697</v>
      </c>
      <c r="C182" s="1">
        <f t="shared" si="68"/>
        <v>0</v>
      </c>
      <c r="D182" s="1">
        <f t="shared" si="73"/>
        <v>24.775005186942259</v>
      </c>
      <c r="E182">
        <v>59.27</v>
      </c>
      <c r="K182" s="1">
        <f>'Solar Availability and Gener GR'!F182</f>
        <v>3.0205377014154697</v>
      </c>
      <c r="L182" s="1">
        <v>0.39891472868217059</v>
      </c>
      <c r="M182" s="1">
        <f t="shared" si="69"/>
        <v>2.6216229727332991</v>
      </c>
      <c r="N182" s="1" t="str">
        <f t="shared" si="70"/>
        <v>sell the surplus or charge</v>
      </c>
      <c r="O182" s="1">
        <v>0.25</v>
      </c>
      <c r="P182" s="1">
        <f t="shared" si="83"/>
        <v>0.62670034978624167</v>
      </c>
      <c r="Q182" s="1">
        <f t="shared" si="84"/>
        <v>2.7705377014154697</v>
      </c>
      <c r="R182" s="1">
        <f t="shared" si="85"/>
        <v>164.18638403048735</v>
      </c>
      <c r="S182" s="1">
        <f t="shared" si="86"/>
        <v>155.36809076668422</v>
      </c>
      <c r="T182" s="1">
        <f t="shared" si="87"/>
        <v>56.087598909197453</v>
      </c>
      <c r="U182" s="1" t="str">
        <f t="shared" si="88"/>
        <v>charge</v>
      </c>
      <c r="Y182" s="1">
        <f t="shared" si="67"/>
        <v>2.364367596899225E-2</v>
      </c>
      <c r="AA182" s="1">
        <f t="shared" si="71"/>
        <v>57.895189456803905</v>
      </c>
      <c r="AD182" s="1">
        <f t="shared" si="72"/>
        <v>0.25</v>
      </c>
    </row>
    <row r="183" spans="1:30" ht="15">
      <c r="A183" s="1">
        <v>182</v>
      </c>
      <c r="B183" s="1">
        <f t="shared" si="75"/>
        <v>2.8658417163714054</v>
      </c>
      <c r="C183" s="1">
        <f t="shared" si="68"/>
        <v>0</v>
      </c>
      <c r="D183" s="1">
        <f t="shared" si="73"/>
        <v>27.067678560039383</v>
      </c>
      <c r="E183">
        <v>59.27</v>
      </c>
      <c r="K183" s="1">
        <f>'Solar Availability and Gener GR'!F183</f>
        <v>3.1158417163714054</v>
      </c>
      <c r="L183" s="1">
        <v>0.39891472868217059</v>
      </c>
      <c r="M183" s="1">
        <f t="shared" si="69"/>
        <v>2.7169269876892348</v>
      </c>
      <c r="N183" s="1" t="str">
        <f t="shared" si="70"/>
        <v>sell the surplus or charge</v>
      </c>
      <c r="O183" s="1">
        <v>0.25</v>
      </c>
      <c r="P183" s="1">
        <f t="shared" si="83"/>
        <v>0.62670034978624167</v>
      </c>
      <c r="Q183" s="1">
        <f t="shared" si="84"/>
        <v>2.8658417163714054</v>
      </c>
      <c r="R183" s="1">
        <f t="shared" si="85"/>
        <v>169.83505299692564</v>
      </c>
      <c r="S183" s="1">
        <f t="shared" si="86"/>
        <v>161.01675973312254</v>
      </c>
      <c r="T183" s="1">
        <f t="shared" si="87"/>
        <v>56.193413915253622</v>
      </c>
      <c r="U183" s="1" t="str">
        <f t="shared" si="88"/>
        <v>charge</v>
      </c>
      <c r="Y183" s="1">
        <f t="shared" si="67"/>
        <v>2.364367596899225E-2</v>
      </c>
      <c r="AA183" s="1">
        <f t="shared" si="71"/>
        <v>60.61211644449314</v>
      </c>
      <c r="AD183" s="1">
        <f t="shared" si="72"/>
        <v>0.25</v>
      </c>
    </row>
    <row r="184" spans="1:30" ht="15">
      <c r="A184" s="1">
        <v>183</v>
      </c>
      <c r="B184" s="1">
        <f t="shared" si="75"/>
        <v>2.7601086085640518</v>
      </c>
      <c r="C184" s="1">
        <f t="shared" si="68"/>
        <v>0</v>
      </c>
      <c r="D184" s="1">
        <f t="shared" si="73"/>
        <v>29.275765446890624</v>
      </c>
      <c r="E184">
        <v>59.27</v>
      </c>
      <c r="K184" s="1">
        <f>'Solar Availability and Gener GR'!F184</f>
        <v>3.0101086085640518</v>
      </c>
      <c r="L184" s="1">
        <v>0.39891472868217059</v>
      </c>
      <c r="M184" s="1">
        <f t="shared" si="69"/>
        <v>2.6111938798818812</v>
      </c>
      <c r="N184" s="1" t="str">
        <f t="shared" si="70"/>
        <v>sell the surplus or charge</v>
      </c>
      <c r="O184" s="1">
        <v>0.25</v>
      </c>
      <c r="P184" s="1">
        <f t="shared" si="83"/>
        <v>0.62670034978624167</v>
      </c>
      <c r="Q184" s="1">
        <f t="shared" si="84"/>
        <v>2.7601086085640518</v>
      </c>
      <c r="R184" s="1">
        <f t="shared" si="85"/>
        <v>163.5682516971838</v>
      </c>
      <c r="S184" s="1">
        <f t="shared" si="86"/>
        <v>154.74995843338067</v>
      </c>
      <c r="T184" s="1">
        <f t="shared" si="87"/>
        <v>56.075576100734189</v>
      </c>
      <c r="U184" s="1" t="str">
        <f t="shared" si="88"/>
        <v>charge</v>
      </c>
      <c r="Y184" s="1">
        <f t="shared" si="67"/>
        <v>2.364367596899225E-2</v>
      </c>
      <c r="AA184" s="1">
        <f t="shared" si="71"/>
        <v>63.223310324375021</v>
      </c>
      <c r="AD184" s="1">
        <f t="shared" si="72"/>
        <v>0.25</v>
      </c>
    </row>
    <row r="185" spans="1:30" ht="15">
      <c r="A185" s="1">
        <v>184</v>
      </c>
      <c r="B185" s="1">
        <f t="shared" si="75"/>
        <v>0</v>
      </c>
      <c r="C185" s="1">
        <f t="shared" si="68"/>
        <v>0</v>
      </c>
      <c r="D185" s="1">
        <f t="shared" si="73"/>
        <v>29.275765446890624</v>
      </c>
      <c r="E185">
        <v>59.27</v>
      </c>
      <c r="K185" s="1">
        <f>'Solar Availability and Gener GR'!F185</f>
        <v>2.732048428736757</v>
      </c>
      <c r="L185" s="1">
        <v>0.65627906976744199</v>
      </c>
      <c r="M185" s="1">
        <f t="shared" si="69"/>
        <v>2.0757693589693149</v>
      </c>
      <c r="N185" s="1" t="str">
        <f t="shared" si="70"/>
        <v>sell the surplus or charge</v>
      </c>
      <c r="O185" s="1">
        <v>0.25</v>
      </c>
      <c r="P185" s="1">
        <f t="shared" si="83"/>
        <v>0.38093550673281351</v>
      </c>
      <c r="Q185" s="1">
        <f t="shared" si="84"/>
        <v>2.482048428736757</v>
      </c>
      <c r="R185" s="1">
        <f t="shared" si="85"/>
        <v>147.08762483882003</v>
      </c>
      <c r="S185" s="1">
        <f t="shared" si="86"/>
        <v>123.02374516303996</v>
      </c>
      <c r="T185" s="1">
        <f t="shared" si="87"/>
        <v>49.576674802687911</v>
      </c>
      <c r="U185" s="1" t="str">
        <f t="shared" si="88"/>
        <v>sell to the Grid</v>
      </c>
      <c r="W185" s="1">
        <f>(Q185*E185)/1000</f>
        <v>0.14711101037122759</v>
      </c>
      <c r="Y185" s="1">
        <f t="shared" si="67"/>
        <v>3.8897660465116286E-2</v>
      </c>
      <c r="AA185" s="1">
        <f t="shared" si="71"/>
        <v>65.299079683344331</v>
      </c>
      <c r="AD185" s="1">
        <f t="shared" si="72"/>
        <v>0.25</v>
      </c>
    </row>
    <row r="186" spans="1:30" ht="15">
      <c r="A186" s="1">
        <v>185</v>
      </c>
      <c r="B186" s="1">
        <f t="shared" si="75"/>
        <v>0</v>
      </c>
      <c r="C186" s="1">
        <f t="shared" si="68"/>
        <v>0</v>
      </c>
      <c r="D186" s="1">
        <f t="shared" si="73"/>
        <v>29.275765446890624</v>
      </c>
      <c r="E186">
        <v>59.27</v>
      </c>
      <c r="K186" s="1">
        <f>'Solar Availability and Gener GR'!F186</f>
        <v>2.2528977120982803</v>
      </c>
      <c r="L186" s="1">
        <v>0.66914728682170543</v>
      </c>
      <c r="M186" s="1">
        <f t="shared" si="69"/>
        <v>1.5837504252765748</v>
      </c>
      <c r="N186" s="1" t="str">
        <f t="shared" si="70"/>
        <v>sell the surplus or charge</v>
      </c>
      <c r="O186" s="1">
        <v>0.25</v>
      </c>
      <c r="P186" s="1">
        <f t="shared" si="83"/>
        <v>0.3736098239110287</v>
      </c>
      <c r="Q186" s="1">
        <f t="shared" si="84"/>
        <v>2.0028977120982803</v>
      </c>
      <c r="R186" s="1">
        <f t="shared" si="85"/>
        <v>118.68836186365752</v>
      </c>
      <c r="S186" s="1">
        <f t="shared" si="86"/>
        <v>93.862110528622154</v>
      </c>
      <c r="T186" s="1">
        <f t="shared" si="87"/>
        <v>46.877922121374368</v>
      </c>
      <c r="U186" s="1" t="str">
        <f t="shared" si="88"/>
        <v>sell to the Grid</v>
      </c>
      <c r="W186" s="1">
        <f>(Q186*E186)/1000</f>
        <v>0.11871174739606508</v>
      </c>
      <c r="Y186" s="1">
        <f t="shared" si="67"/>
        <v>3.9660359689922479E-2</v>
      </c>
      <c r="AA186" s="1">
        <f t="shared" si="71"/>
        <v>66.882830108620908</v>
      </c>
      <c r="AD186" s="1">
        <f t="shared" si="72"/>
        <v>0.25</v>
      </c>
    </row>
    <row r="187" spans="1:30" ht="15">
      <c r="A187" s="1">
        <v>186</v>
      </c>
      <c r="B187" s="1">
        <f t="shared" si="75"/>
        <v>0</v>
      </c>
      <c r="C187" s="1">
        <f t="shared" si="68"/>
        <v>0</v>
      </c>
      <c r="D187" s="1">
        <f t="shared" si="73"/>
        <v>29.275765446890624</v>
      </c>
      <c r="E187">
        <v>59.27</v>
      </c>
      <c r="K187" s="1">
        <f>'Solar Availability and Gener GR'!F187</f>
        <v>1.6588800854624735</v>
      </c>
      <c r="L187" s="1">
        <v>0.65627906976744199</v>
      </c>
      <c r="M187" s="1">
        <f t="shared" si="69"/>
        <v>1.0026010156950314</v>
      </c>
      <c r="N187" s="1" t="str">
        <f t="shared" si="70"/>
        <v>sell the surplus or charge</v>
      </c>
      <c r="O187" s="1">
        <v>0.25</v>
      </c>
      <c r="P187" s="1">
        <f t="shared" si="83"/>
        <v>0.38093550673281351</v>
      </c>
      <c r="Q187" s="1">
        <f t="shared" si="84"/>
        <v>1.4088800854624735</v>
      </c>
      <c r="R187" s="1">
        <f t="shared" si="85"/>
        <v>83.480937132953244</v>
      </c>
      <c r="S187" s="1">
        <f t="shared" si="86"/>
        <v>59.417057457173172</v>
      </c>
      <c r="T187" s="1">
        <f t="shared" si="87"/>
        <v>42.196572523254211</v>
      </c>
      <c r="U187" s="1" t="str">
        <f t="shared" si="88"/>
        <v>sell to the Grid</v>
      </c>
      <c r="W187" s="1">
        <f>(Q187*E187)/1000</f>
        <v>8.35043226653608E-2</v>
      </c>
      <c r="Y187" s="1">
        <f t="shared" si="67"/>
        <v>3.8897660465116286E-2</v>
      </c>
      <c r="AA187" s="1">
        <f t="shared" si="71"/>
        <v>67.885431124315943</v>
      </c>
      <c r="AD187" s="1">
        <f t="shared" si="72"/>
        <v>0.25</v>
      </c>
    </row>
    <row r="188" spans="1:30" ht="15">
      <c r="A188" s="1">
        <v>187</v>
      </c>
      <c r="B188" s="1">
        <f t="shared" si="75"/>
        <v>0</v>
      </c>
      <c r="C188" s="1">
        <f t="shared" si="68"/>
        <v>0</v>
      </c>
      <c r="D188" s="1">
        <f t="shared" si="73"/>
        <v>29.275765446890624</v>
      </c>
      <c r="E188">
        <v>59.27</v>
      </c>
      <c r="K188" s="1">
        <f>'Solar Availability and Gener GR'!F188</f>
        <v>1.6588800854624735</v>
      </c>
      <c r="L188" s="1">
        <v>0.66914728682170543</v>
      </c>
      <c r="M188" s="1">
        <f t="shared" si="69"/>
        <v>0.98973279864076802</v>
      </c>
      <c r="N188" s="1" t="str">
        <f t="shared" si="70"/>
        <v>sell the surplus or charge</v>
      </c>
      <c r="O188" s="1">
        <v>0.25</v>
      </c>
      <c r="P188" s="1">
        <f t="shared" si="83"/>
        <v>0.3736098239110287</v>
      </c>
      <c r="Q188" s="1">
        <f t="shared" si="84"/>
        <v>1.4088800854624735</v>
      </c>
      <c r="R188" s="1">
        <f t="shared" si="85"/>
        <v>83.480937132953244</v>
      </c>
      <c r="S188" s="1">
        <f t="shared" si="86"/>
        <v>58.654685797917885</v>
      </c>
      <c r="T188" s="1">
        <f t="shared" si="87"/>
        <v>41.655756357393898</v>
      </c>
      <c r="U188" s="1" t="str">
        <f t="shared" si="88"/>
        <v>sell to the Grid</v>
      </c>
      <c r="W188" s="1">
        <f>(Q188*E188)/1000</f>
        <v>8.35043226653608E-2</v>
      </c>
      <c r="Y188" s="1">
        <f t="shared" si="67"/>
        <v>3.9660359689922479E-2</v>
      </c>
      <c r="AA188" s="1">
        <f t="shared" si="71"/>
        <v>68.875163922956716</v>
      </c>
      <c r="AD188" s="1">
        <f t="shared" si="72"/>
        <v>0.25</v>
      </c>
    </row>
    <row r="189" spans="1:30" ht="15">
      <c r="A189" s="1">
        <v>188</v>
      </c>
      <c r="B189" s="1">
        <f t="shared" si="75"/>
        <v>0</v>
      </c>
      <c r="C189" s="1">
        <f t="shared" si="68"/>
        <v>0</v>
      </c>
      <c r="D189" s="1">
        <f t="shared" si="73"/>
        <v>29.275765446890624</v>
      </c>
      <c r="E189">
        <v>59.27</v>
      </c>
      <c r="K189" s="1">
        <f>'Solar Availability and Gener GR'!F189</f>
        <v>0.89248197275883356</v>
      </c>
      <c r="L189" s="1">
        <v>0.39891472868217059</v>
      </c>
      <c r="M189" s="1">
        <f t="shared" si="69"/>
        <v>0.49356724407666297</v>
      </c>
      <c r="N189" s="1" t="str">
        <f t="shared" si="70"/>
        <v>sell the surplus or charge</v>
      </c>
      <c r="O189" s="1">
        <v>0.25</v>
      </c>
      <c r="P189" s="1">
        <f t="shared" si="83"/>
        <v>0.62670034978624167</v>
      </c>
      <c r="Q189" s="1">
        <f t="shared" si="84"/>
        <v>0.64248197275883356</v>
      </c>
      <c r="R189" s="1">
        <f t="shared" si="85"/>
        <v>38.056520993008512</v>
      </c>
      <c r="S189" s="1">
        <f t="shared" si="86"/>
        <v>29.238227729205391</v>
      </c>
      <c r="T189" s="1">
        <f t="shared" si="87"/>
        <v>45.555610562286077</v>
      </c>
      <c r="U189" s="1" t="str">
        <f t="shared" si="88"/>
        <v>sell to the Grid</v>
      </c>
      <c r="W189" s="1">
        <f>(Q189*E189)/1000</f>
        <v>3.8079906525416062E-2</v>
      </c>
      <c r="Y189" s="1">
        <f t="shared" si="67"/>
        <v>2.364367596899225E-2</v>
      </c>
      <c r="AA189" s="1">
        <f t="shared" si="71"/>
        <v>69.368731167033374</v>
      </c>
      <c r="AD189" s="1">
        <f t="shared" si="72"/>
        <v>0.25</v>
      </c>
    </row>
    <row r="190" spans="1:30" ht="15">
      <c r="A190" s="1">
        <v>189</v>
      </c>
      <c r="B190" s="1">
        <f t="shared" si="75"/>
        <v>0</v>
      </c>
      <c r="C190" s="1">
        <f t="shared" si="68"/>
        <v>0</v>
      </c>
      <c r="D190" s="1">
        <f t="shared" si="73"/>
        <v>29.275765446890624</v>
      </c>
      <c r="E190">
        <v>59.27</v>
      </c>
      <c r="K190" s="1">
        <f>'Solar Availability and Gener GR'!F190</f>
        <v>0.26016647378260532</v>
      </c>
      <c r="L190" s="1">
        <v>0.39891472868217059</v>
      </c>
      <c r="M190" s="1">
        <f t="shared" si="69"/>
        <v>-0.13874825489956527</v>
      </c>
      <c r="N190" s="1" t="str">
        <f t="shared" si="70"/>
        <v>Buy from Grid</v>
      </c>
      <c r="V190" s="1" t="str">
        <f t="shared" ref="V190:V202" si="89">IF(D190+M190&gt;0,"discharge","buy from the Grid")</f>
        <v>discharge</v>
      </c>
      <c r="Y190" s="1">
        <f t="shared" si="67"/>
        <v>2.364367596899225E-2</v>
      </c>
      <c r="AA190" s="1">
        <f t="shared" si="71"/>
        <v>69.229982912133806</v>
      </c>
      <c r="AD190" s="1">
        <f t="shared" si="72"/>
        <v>0</v>
      </c>
    </row>
    <row r="191" spans="1:30" ht="15">
      <c r="A191" s="1">
        <v>190</v>
      </c>
      <c r="B191" s="1">
        <f t="shared" si="75"/>
        <v>0</v>
      </c>
      <c r="C191" s="1">
        <f t="shared" si="68"/>
        <v>-0.13874825489956527</v>
      </c>
      <c r="D191" s="1">
        <f t="shared" si="73"/>
        <v>29.102330128266168</v>
      </c>
      <c r="E191">
        <v>59.27</v>
      </c>
      <c r="K191" s="1">
        <f>'Solar Availability and Gener GR'!F191</f>
        <v>1.0856405234577132E-2</v>
      </c>
      <c r="L191" s="1">
        <v>0.39891472868217059</v>
      </c>
      <c r="M191" s="1">
        <f t="shared" si="69"/>
        <v>-0.38805832344759345</v>
      </c>
      <c r="N191" s="1" t="str">
        <f t="shared" si="70"/>
        <v>Buy from Grid</v>
      </c>
      <c r="V191" s="1" t="str">
        <f t="shared" si="89"/>
        <v>discharge</v>
      </c>
      <c r="Y191" s="1">
        <f t="shared" si="67"/>
        <v>2.364367596899225E-2</v>
      </c>
      <c r="AA191" s="1">
        <f t="shared" si="71"/>
        <v>68.841924588686211</v>
      </c>
      <c r="AD191" s="1">
        <f t="shared" si="72"/>
        <v>0</v>
      </c>
    </row>
    <row r="192" spans="1:30" ht="15">
      <c r="A192" s="1">
        <v>191</v>
      </c>
      <c r="B192" s="1">
        <f t="shared" si="75"/>
        <v>0</v>
      </c>
      <c r="C192" s="1">
        <f t="shared" si="68"/>
        <v>-0.38805832344759345</v>
      </c>
      <c r="D192" s="1">
        <f t="shared" si="73"/>
        <v>28.617257223956678</v>
      </c>
      <c r="E192">
        <v>59.27</v>
      </c>
      <c r="K192" s="1">
        <f>'Solar Availability and Gener GR'!F192</f>
        <v>0</v>
      </c>
      <c r="L192" s="1">
        <v>0.29596899224806206</v>
      </c>
      <c r="M192" s="1">
        <f t="shared" si="69"/>
        <v>-0.29596899224806206</v>
      </c>
      <c r="N192" s="1" t="str">
        <f t="shared" si="70"/>
        <v>Buy from Grid</v>
      </c>
      <c r="V192" s="1" t="str">
        <f t="shared" si="89"/>
        <v>discharge</v>
      </c>
      <c r="Y192" s="1">
        <f t="shared" si="67"/>
        <v>1.754208217054264E-2</v>
      </c>
      <c r="AA192" s="1">
        <f t="shared" si="71"/>
        <v>68.545955596438148</v>
      </c>
      <c r="AD192" s="1">
        <f t="shared" si="72"/>
        <v>0</v>
      </c>
    </row>
    <row r="193" spans="1:30" ht="15">
      <c r="A193" s="1">
        <v>192</v>
      </c>
      <c r="B193" s="1">
        <f t="shared" si="75"/>
        <v>0</v>
      </c>
      <c r="C193" s="1">
        <f t="shared" si="68"/>
        <v>-0.29596899224806206</v>
      </c>
      <c r="D193" s="1">
        <f t="shared" si="73"/>
        <v>28.247295983646602</v>
      </c>
      <c r="E193">
        <v>59.27</v>
      </c>
      <c r="K193" s="1">
        <f>'Solar Availability and Gener GR'!F193</f>
        <v>0</v>
      </c>
      <c r="L193" s="1">
        <v>0.30883720930232561</v>
      </c>
      <c r="M193" s="1">
        <f t="shared" si="69"/>
        <v>-0.30883720930232561</v>
      </c>
      <c r="N193" s="1" t="str">
        <f t="shared" si="70"/>
        <v>Buy from Grid</v>
      </c>
      <c r="V193" s="1" t="str">
        <f t="shared" si="89"/>
        <v>discharge</v>
      </c>
      <c r="Y193" s="1">
        <f t="shared" si="67"/>
        <v>1.830478139534884E-2</v>
      </c>
      <c r="AA193" s="1">
        <f t="shared" si="71"/>
        <v>68.237118387135823</v>
      </c>
      <c r="AD193" s="1">
        <f t="shared" si="72"/>
        <v>0</v>
      </c>
    </row>
    <row r="194" spans="1:30" ht="15">
      <c r="A194" s="1">
        <v>193</v>
      </c>
      <c r="B194" s="1">
        <f t="shared" si="75"/>
        <v>0</v>
      </c>
      <c r="C194" s="1">
        <f t="shared" si="68"/>
        <v>-0.30883720930232561</v>
      </c>
      <c r="D194" s="1">
        <f t="shared" si="73"/>
        <v>27.861249472018695</v>
      </c>
      <c r="E194">
        <v>59.27</v>
      </c>
      <c r="K194" s="1">
        <f>'Solar Availability and Gener GR'!F194</f>
        <v>0</v>
      </c>
      <c r="L194" s="1">
        <v>0.29596899224806206</v>
      </c>
      <c r="M194" s="1">
        <f t="shared" si="69"/>
        <v>-0.29596899224806206</v>
      </c>
      <c r="N194" s="1" t="str">
        <f t="shared" si="70"/>
        <v>Buy from Grid</v>
      </c>
      <c r="V194" s="1" t="str">
        <f t="shared" si="89"/>
        <v>discharge</v>
      </c>
      <c r="Y194" s="1">
        <f t="shared" ref="Y194:Y257" si="90">(L194*E194)/1000</f>
        <v>1.754208217054264E-2</v>
      </c>
      <c r="AA194" s="1">
        <f t="shared" si="71"/>
        <v>67.941149394887759</v>
      </c>
      <c r="AD194" s="1">
        <f t="shared" si="72"/>
        <v>0</v>
      </c>
    </row>
    <row r="195" spans="1:30" ht="15">
      <c r="A195" s="1">
        <v>194</v>
      </c>
      <c r="B195" s="1">
        <f t="shared" si="75"/>
        <v>0</v>
      </c>
      <c r="C195" s="1">
        <f t="shared" ref="C195:C258" si="91">IF(V194="discharge",M194,0)</f>
        <v>-0.29596899224806206</v>
      </c>
      <c r="D195" s="1">
        <f t="shared" si="73"/>
        <v>27.491288231708619</v>
      </c>
      <c r="E195">
        <v>59.27</v>
      </c>
      <c r="K195" s="1">
        <f>'Solar Availability and Gener GR'!F195</f>
        <v>0</v>
      </c>
      <c r="L195" s="1">
        <v>0.29596899224806206</v>
      </c>
      <c r="M195" s="1">
        <f t="shared" ref="M195:M258" si="92">K195-L195</f>
        <v>-0.29596899224806206</v>
      </c>
      <c r="N195" s="1" t="str">
        <f t="shared" ref="N195:N258" si="93">IF(M195&lt;0,"Buy from Grid","sell the surplus or charge")</f>
        <v>Buy from Grid</v>
      </c>
      <c r="V195" s="1" t="str">
        <f t="shared" si="89"/>
        <v>discharge</v>
      </c>
      <c r="Y195" s="1">
        <f t="shared" si="90"/>
        <v>1.754208217054264E-2</v>
      </c>
      <c r="AA195" s="1">
        <f t="shared" ref="AA195:AA258" si="94">M195+AA194</f>
        <v>67.645180402639696</v>
      </c>
      <c r="AD195" s="1">
        <f t="shared" ref="AD195:AD258" si="95">AC195+O195</f>
        <v>0</v>
      </c>
    </row>
    <row r="196" spans="1:30" ht="15">
      <c r="A196" s="1">
        <v>195</v>
      </c>
      <c r="B196" s="1">
        <f t="shared" si="75"/>
        <v>0</v>
      </c>
      <c r="C196" s="1">
        <f t="shared" si="91"/>
        <v>-0.29596899224806206</v>
      </c>
      <c r="D196" s="1">
        <f t="shared" ref="D196:D259" si="96">(D195)+(B196*0.8)+(C196/0.8)</f>
        <v>27.121326991398544</v>
      </c>
      <c r="E196">
        <v>59.27</v>
      </c>
      <c r="K196" s="1">
        <f>'Solar Availability and Gener GR'!F196</f>
        <v>0</v>
      </c>
      <c r="L196" s="1">
        <v>0.29596899224806206</v>
      </c>
      <c r="M196" s="1">
        <f t="shared" si="92"/>
        <v>-0.29596899224806206</v>
      </c>
      <c r="N196" s="1" t="str">
        <f t="shared" si="93"/>
        <v>Buy from Grid</v>
      </c>
      <c r="V196" s="1" t="str">
        <f t="shared" si="89"/>
        <v>discharge</v>
      </c>
      <c r="Y196" s="1">
        <f t="shared" si="90"/>
        <v>1.754208217054264E-2</v>
      </c>
      <c r="AA196" s="1">
        <f t="shared" si="94"/>
        <v>67.349211410391632</v>
      </c>
      <c r="AD196" s="1">
        <f t="shared" si="95"/>
        <v>0</v>
      </c>
    </row>
    <row r="197" spans="1:30" ht="15">
      <c r="A197" s="1">
        <v>196</v>
      </c>
      <c r="B197" s="1">
        <f t="shared" si="75"/>
        <v>0</v>
      </c>
      <c r="C197" s="1">
        <f t="shared" si="91"/>
        <v>-0.29596899224806206</v>
      </c>
      <c r="D197" s="1">
        <f t="shared" si="96"/>
        <v>26.751365751088468</v>
      </c>
      <c r="E197">
        <v>59.27</v>
      </c>
      <c r="K197" s="1">
        <f>'Solar Availability and Gener GR'!F197</f>
        <v>0</v>
      </c>
      <c r="L197" s="1">
        <v>0.39891472868217059</v>
      </c>
      <c r="M197" s="1">
        <f t="shared" si="92"/>
        <v>-0.39891472868217059</v>
      </c>
      <c r="N197" s="1" t="str">
        <f t="shared" si="93"/>
        <v>Buy from Grid</v>
      </c>
      <c r="V197" s="1" t="str">
        <f t="shared" si="89"/>
        <v>discharge</v>
      </c>
      <c r="Y197" s="1">
        <f t="shared" si="90"/>
        <v>2.364367596899225E-2</v>
      </c>
      <c r="AA197" s="1">
        <f t="shared" si="94"/>
        <v>66.95029668170946</v>
      </c>
      <c r="AD197" s="1">
        <f t="shared" si="95"/>
        <v>0</v>
      </c>
    </row>
    <row r="198" spans="1:30" ht="15">
      <c r="A198" s="1">
        <v>197</v>
      </c>
      <c r="B198" s="1">
        <f t="shared" si="75"/>
        <v>0</v>
      </c>
      <c r="C198" s="1">
        <f t="shared" si="91"/>
        <v>-0.39891472868217059</v>
      </c>
      <c r="D198" s="1">
        <f t="shared" si="96"/>
        <v>26.252722340235753</v>
      </c>
      <c r="E198">
        <v>59.27</v>
      </c>
      <c r="K198" s="1">
        <f>'Solar Availability and Gener GR'!F198</f>
        <v>0</v>
      </c>
      <c r="L198" s="1">
        <v>0.66914728682170543</v>
      </c>
      <c r="M198" s="1">
        <f t="shared" si="92"/>
        <v>-0.66914728682170543</v>
      </c>
      <c r="N198" s="1" t="str">
        <f t="shared" si="93"/>
        <v>Buy from Grid</v>
      </c>
      <c r="V198" s="1" t="str">
        <f t="shared" si="89"/>
        <v>discharge</v>
      </c>
      <c r="Y198" s="1">
        <f t="shared" si="90"/>
        <v>3.9660359689922479E-2</v>
      </c>
      <c r="AA198" s="1">
        <f t="shared" si="94"/>
        <v>66.281149394887748</v>
      </c>
      <c r="AD198" s="1">
        <f t="shared" si="95"/>
        <v>0</v>
      </c>
    </row>
    <row r="199" spans="1:30" ht="15">
      <c r="A199" s="1">
        <v>198</v>
      </c>
      <c r="B199" s="1">
        <f t="shared" si="75"/>
        <v>0</v>
      </c>
      <c r="C199" s="1">
        <f t="shared" si="91"/>
        <v>-0.66914728682170543</v>
      </c>
      <c r="D199" s="1">
        <f t="shared" si="96"/>
        <v>25.41628823170862</v>
      </c>
      <c r="E199">
        <v>59.27</v>
      </c>
      <c r="K199" s="1">
        <f>'Solar Availability and Gener GR'!F199</f>
        <v>0</v>
      </c>
      <c r="L199" s="1">
        <v>0.65627906976744199</v>
      </c>
      <c r="M199" s="1">
        <f t="shared" si="92"/>
        <v>-0.65627906976744199</v>
      </c>
      <c r="N199" s="1" t="str">
        <f t="shared" si="93"/>
        <v>Buy from Grid</v>
      </c>
      <c r="V199" s="1" t="str">
        <f t="shared" si="89"/>
        <v>discharge</v>
      </c>
      <c r="Y199" s="1">
        <f t="shared" si="90"/>
        <v>3.8897660465116286E-2</v>
      </c>
      <c r="AA199" s="1">
        <f t="shared" si="94"/>
        <v>65.624870325120312</v>
      </c>
      <c r="AD199" s="1">
        <f t="shared" si="95"/>
        <v>0</v>
      </c>
    </row>
    <row r="200" spans="1:30" ht="15">
      <c r="A200" s="1">
        <v>199</v>
      </c>
      <c r="B200" s="1">
        <f t="shared" si="75"/>
        <v>0</v>
      </c>
      <c r="C200" s="1">
        <f t="shared" si="91"/>
        <v>-0.65627906976744199</v>
      </c>
      <c r="D200" s="1">
        <f t="shared" si="96"/>
        <v>24.595939394499318</v>
      </c>
      <c r="E200">
        <v>59.27</v>
      </c>
      <c r="K200" s="1">
        <f>'Solar Availability and Gener GR'!F200</f>
        <v>1.6611768895219918E-2</v>
      </c>
      <c r="L200" s="1">
        <v>0.65627906976744199</v>
      </c>
      <c r="M200" s="1">
        <f t="shared" si="92"/>
        <v>-0.63966730087222212</v>
      </c>
      <c r="N200" s="1" t="str">
        <f t="shared" si="93"/>
        <v>Buy from Grid</v>
      </c>
      <c r="V200" s="1" t="str">
        <f t="shared" si="89"/>
        <v>discharge</v>
      </c>
      <c r="Y200" s="1">
        <f t="shared" si="90"/>
        <v>3.8897660465116286E-2</v>
      </c>
      <c r="AA200" s="1">
        <f t="shared" si="94"/>
        <v>64.985203024248094</v>
      </c>
      <c r="AD200" s="1">
        <f t="shared" si="95"/>
        <v>0</v>
      </c>
    </row>
    <row r="201" spans="1:30" ht="15">
      <c r="A201" s="1">
        <v>200</v>
      </c>
      <c r="B201" s="1">
        <f t="shared" si="75"/>
        <v>0</v>
      </c>
      <c r="C201" s="1">
        <f t="shared" si="91"/>
        <v>-0.63966730087222212</v>
      </c>
      <c r="D201" s="1">
        <f t="shared" si="96"/>
        <v>23.796355268409041</v>
      </c>
      <c r="E201">
        <v>59.27</v>
      </c>
      <c r="K201" s="1">
        <f>'Solar Availability and Gener GR'!F201</f>
        <v>7.3684679070595324E-2</v>
      </c>
      <c r="L201" s="1">
        <v>0.39891472868217059</v>
      </c>
      <c r="M201" s="1">
        <f t="shared" si="92"/>
        <v>-0.32523004961157526</v>
      </c>
      <c r="N201" s="1" t="str">
        <f t="shared" si="93"/>
        <v>Buy from Grid</v>
      </c>
      <c r="V201" s="1" t="str">
        <f t="shared" si="89"/>
        <v>discharge</v>
      </c>
      <c r="Y201" s="1">
        <f t="shared" si="90"/>
        <v>2.364367596899225E-2</v>
      </c>
      <c r="AA201" s="1">
        <f t="shared" si="94"/>
        <v>64.659972974636517</v>
      </c>
      <c r="AD201" s="1">
        <f t="shared" si="95"/>
        <v>0</v>
      </c>
    </row>
    <row r="202" spans="1:30" ht="15">
      <c r="A202" s="1">
        <v>201</v>
      </c>
      <c r="B202" s="1">
        <f t="shared" si="75"/>
        <v>0</v>
      </c>
      <c r="C202" s="1">
        <f t="shared" si="91"/>
        <v>-0.32523004961157526</v>
      </c>
      <c r="D202" s="1">
        <f t="shared" si="96"/>
        <v>23.38981770639457</v>
      </c>
      <c r="E202">
        <v>59.27</v>
      </c>
      <c r="K202" s="1">
        <f>'Solar Availability and Gener GR'!F202</f>
        <v>0.29347013264488564</v>
      </c>
      <c r="L202" s="1">
        <v>0.39891472868217059</v>
      </c>
      <c r="M202" s="1">
        <f t="shared" si="92"/>
        <v>-0.10544459603728495</v>
      </c>
      <c r="N202" s="1" t="str">
        <f t="shared" si="93"/>
        <v>Buy from Grid</v>
      </c>
      <c r="V202" s="1" t="str">
        <f t="shared" si="89"/>
        <v>discharge</v>
      </c>
      <c r="Y202" s="1">
        <f t="shared" si="90"/>
        <v>2.364367596899225E-2</v>
      </c>
      <c r="AA202" s="1">
        <f t="shared" si="94"/>
        <v>64.55452837859923</v>
      </c>
      <c r="AD202" s="1">
        <f t="shared" si="95"/>
        <v>0</v>
      </c>
    </row>
    <row r="203" spans="1:30" ht="15">
      <c r="A203" s="1">
        <v>202</v>
      </c>
      <c r="B203" s="1">
        <f t="shared" si="75"/>
        <v>0</v>
      </c>
      <c r="C203" s="1">
        <f t="shared" si="91"/>
        <v>-0.10544459603728495</v>
      </c>
      <c r="D203" s="1">
        <f t="shared" si="96"/>
        <v>23.258011961347965</v>
      </c>
      <c r="E203">
        <v>59.27</v>
      </c>
      <c r="K203" s="1">
        <f>'Solar Availability and Gener GR'!F203</f>
        <v>0.74304282026172608</v>
      </c>
      <c r="L203" s="1">
        <v>0.39891472868217059</v>
      </c>
      <c r="M203" s="1">
        <f t="shared" si="92"/>
        <v>0.34412809157955548</v>
      </c>
      <c r="N203" s="1" t="str">
        <f t="shared" si="93"/>
        <v>sell the surplus or charge</v>
      </c>
      <c r="O203" s="1">
        <v>0.25</v>
      </c>
      <c r="P203" s="1">
        <f t="shared" ref="P203:P211" si="97">0.25/L203</f>
        <v>0.62670034978624167</v>
      </c>
      <c r="Q203" s="1">
        <f t="shared" ref="Q203:Q211" si="98">K203-P203*L203</f>
        <v>0.49304282026172608</v>
      </c>
      <c r="R203" s="1">
        <f t="shared" ref="R203:R211" si="99">((1/(E203+0.01))*LN(0.25))+(E203*(K203-0.25))</f>
        <v>29.199262424504951</v>
      </c>
      <c r="S203" s="1">
        <f t="shared" ref="S203:S211" si="100">((1/(E203+0.01))*LN(L203))+(E203*(K203-L203))</f>
        <v>20.380969160701831</v>
      </c>
      <c r="T203" s="1">
        <f t="shared" ref="T203:T211" si="101">(S203+((S203^2)-4*(K203-L203*P203)*LN(L203*P203))^(0.5))/(2*(K203-L203*P203))</f>
        <v>41.405025341968795</v>
      </c>
      <c r="U203" s="1" t="str">
        <f t="shared" ref="U203:U211" si="102">IF(E203&gt;=T203*1.1,"sell to the Grid","charge")</f>
        <v>sell to the Grid</v>
      </c>
      <c r="W203" s="1">
        <f>(Q203*E203)/1000</f>
        <v>2.9222647956912508E-2</v>
      </c>
      <c r="Y203" s="1">
        <f t="shared" si="90"/>
        <v>2.364367596899225E-2</v>
      </c>
      <c r="AA203" s="1">
        <f t="shared" si="94"/>
        <v>64.898656470178778</v>
      </c>
      <c r="AD203" s="1">
        <f t="shared" si="95"/>
        <v>0.25</v>
      </c>
    </row>
    <row r="204" spans="1:30" ht="15">
      <c r="A204" s="1">
        <v>203</v>
      </c>
      <c r="B204" s="1">
        <f t="shared" si="75"/>
        <v>0</v>
      </c>
      <c r="C204" s="1">
        <f t="shared" si="91"/>
        <v>0</v>
      </c>
      <c r="D204" s="1">
        <f t="shared" si="96"/>
        <v>23.258011961347965</v>
      </c>
      <c r="E204">
        <v>59.27</v>
      </c>
      <c r="K204" s="1">
        <f>'Solar Availability and Gener GR'!F204</f>
        <v>1.7000890234131563</v>
      </c>
      <c r="L204" s="1">
        <v>0.39891472868217059</v>
      </c>
      <c r="M204" s="1">
        <f t="shared" si="92"/>
        <v>1.3011742947309857</v>
      </c>
      <c r="N204" s="1" t="str">
        <f t="shared" si="93"/>
        <v>sell the surplus or charge</v>
      </c>
      <c r="O204" s="1">
        <v>0.25</v>
      </c>
      <c r="P204" s="1">
        <f t="shared" si="97"/>
        <v>0.62670034978624167</v>
      </c>
      <c r="Q204" s="1">
        <f t="shared" si="98"/>
        <v>1.4500890234131563</v>
      </c>
      <c r="R204" s="1">
        <f t="shared" si="99"/>
        <v>85.923390885290218</v>
      </c>
      <c r="S204" s="1">
        <f t="shared" si="100"/>
        <v>77.105097621487104</v>
      </c>
      <c r="T204" s="1">
        <f t="shared" si="101"/>
        <v>53.190638041696054</v>
      </c>
      <c r="U204" s="1" t="str">
        <f t="shared" si="102"/>
        <v>sell to the Grid</v>
      </c>
      <c r="W204" s="1">
        <f>(Q204*E204)/1000</f>
        <v>8.5946776417697782E-2</v>
      </c>
      <c r="Y204" s="1">
        <f t="shared" si="90"/>
        <v>2.364367596899225E-2</v>
      </c>
      <c r="AA204" s="1">
        <f t="shared" si="94"/>
        <v>66.199830764909763</v>
      </c>
      <c r="AD204" s="1">
        <f t="shared" si="95"/>
        <v>0.25</v>
      </c>
    </row>
    <row r="205" spans="1:30" ht="15">
      <c r="A205" s="1">
        <v>204</v>
      </c>
      <c r="B205" s="1">
        <f t="shared" si="75"/>
        <v>2.0815899581589932</v>
      </c>
      <c r="C205" s="1">
        <f t="shared" si="91"/>
        <v>0</v>
      </c>
      <c r="D205" s="1">
        <f t="shared" si="96"/>
        <v>24.923283927875158</v>
      </c>
      <c r="E205">
        <v>59.27</v>
      </c>
      <c r="K205" s="1">
        <f>'Solar Availability and Gener GR'!F205</f>
        <v>2.3315899581589932</v>
      </c>
      <c r="L205" s="1">
        <v>0.39891472868217059</v>
      </c>
      <c r="M205" s="1">
        <f t="shared" si="92"/>
        <v>1.9326752294768226</v>
      </c>
      <c r="N205" s="1" t="str">
        <f t="shared" si="93"/>
        <v>sell the surplus or charge</v>
      </c>
      <c r="O205" s="1">
        <v>0.25</v>
      </c>
      <c r="P205" s="1">
        <f t="shared" si="97"/>
        <v>0.62670034978624167</v>
      </c>
      <c r="Q205" s="1">
        <f t="shared" si="98"/>
        <v>2.0815899581589932</v>
      </c>
      <c r="R205" s="1">
        <f t="shared" si="99"/>
        <v>123.35245128767598</v>
      </c>
      <c r="S205" s="1">
        <f t="shared" si="100"/>
        <v>114.53415802387285</v>
      </c>
      <c r="T205" s="1">
        <f t="shared" si="101"/>
        <v>55.034540836180213</v>
      </c>
      <c r="U205" s="1" t="str">
        <f t="shared" si="102"/>
        <v>charge</v>
      </c>
      <c r="Y205" s="1">
        <f t="shared" si="90"/>
        <v>2.364367596899225E-2</v>
      </c>
      <c r="AA205" s="1">
        <f t="shared" si="94"/>
        <v>68.132505994386591</v>
      </c>
      <c r="AD205" s="1">
        <f t="shared" si="95"/>
        <v>0.25</v>
      </c>
    </row>
    <row r="206" spans="1:30" ht="15">
      <c r="A206" s="1">
        <v>205</v>
      </c>
      <c r="B206" s="1">
        <f t="shared" si="75"/>
        <v>2.3013754117332827</v>
      </c>
      <c r="C206" s="1">
        <f t="shared" si="91"/>
        <v>0</v>
      </c>
      <c r="D206" s="1">
        <f t="shared" si="96"/>
        <v>26.764384257261785</v>
      </c>
      <c r="E206">
        <v>59.27</v>
      </c>
      <c r="K206" s="1">
        <f>'Solar Availability and Gener GR'!F206</f>
        <v>2.5513754117332827</v>
      </c>
      <c r="L206" s="1">
        <v>0.39891472868217059</v>
      </c>
      <c r="M206" s="1">
        <f t="shared" si="92"/>
        <v>2.1524606830511122</v>
      </c>
      <c r="N206" s="1" t="str">
        <f t="shared" si="93"/>
        <v>sell the surplus or charge</v>
      </c>
      <c r="O206" s="1">
        <v>0.25</v>
      </c>
      <c r="P206" s="1">
        <f t="shared" si="97"/>
        <v>0.62670034978624167</v>
      </c>
      <c r="Q206" s="1">
        <f t="shared" si="98"/>
        <v>2.3013754117332827</v>
      </c>
      <c r="R206" s="1">
        <f t="shared" si="99"/>
        <v>136.37913512102412</v>
      </c>
      <c r="S206" s="1">
        <f t="shared" si="100"/>
        <v>127.56084185722099</v>
      </c>
      <c r="T206" s="1">
        <f t="shared" si="101"/>
        <v>55.438954890919746</v>
      </c>
      <c r="U206" s="1" t="str">
        <f t="shared" si="102"/>
        <v>charge</v>
      </c>
      <c r="Y206" s="1">
        <f t="shared" si="90"/>
        <v>2.364367596899225E-2</v>
      </c>
      <c r="AA206" s="1">
        <f t="shared" si="94"/>
        <v>70.284966677437708</v>
      </c>
      <c r="AD206" s="1">
        <f t="shared" si="95"/>
        <v>0.25</v>
      </c>
    </row>
    <row r="207" spans="1:30" ht="15">
      <c r="A207" s="1">
        <v>206</v>
      </c>
      <c r="B207" s="1">
        <f t="shared" si="75"/>
        <v>2.348833793287632</v>
      </c>
      <c r="C207" s="1">
        <f t="shared" si="91"/>
        <v>0</v>
      </c>
      <c r="D207" s="1">
        <f t="shared" si="96"/>
        <v>28.643451291891889</v>
      </c>
      <c r="E207">
        <v>59.27</v>
      </c>
      <c r="K207" s="1">
        <f>'Solar Availability and Gener GR'!F207</f>
        <v>2.598833793287632</v>
      </c>
      <c r="L207" s="1">
        <v>0.39891472868217059</v>
      </c>
      <c r="M207" s="1">
        <f t="shared" si="92"/>
        <v>2.1999190646054614</v>
      </c>
      <c r="N207" s="1" t="str">
        <f t="shared" si="93"/>
        <v>sell the surplus or charge</v>
      </c>
      <c r="O207" s="1">
        <v>0.25</v>
      </c>
      <c r="P207" s="1">
        <f t="shared" si="97"/>
        <v>0.62670034978624167</v>
      </c>
      <c r="Q207" s="1">
        <f t="shared" si="98"/>
        <v>2.348833793287632</v>
      </c>
      <c r="R207" s="1">
        <f t="shared" si="99"/>
        <v>139.19199339575039</v>
      </c>
      <c r="S207" s="1">
        <f t="shared" si="100"/>
        <v>130.37370013194729</v>
      </c>
      <c r="T207" s="1">
        <f t="shared" si="101"/>
        <v>55.516346634055658</v>
      </c>
      <c r="U207" s="1" t="str">
        <f t="shared" si="102"/>
        <v>charge</v>
      </c>
      <c r="Y207" s="1">
        <f t="shared" si="90"/>
        <v>2.364367596899225E-2</v>
      </c>
      <c r="AA207" s="1">
        <f t="shared" si="94"/>
        <v>72.484885742043176</v>
      </c>
      <c r="AD207" s="1">
        <f t="shared" si="95"/>
        <v>0.25</v>
      </c>
    </row>
    <row r="208" spans="1:30" ht="15">
      <c r="A208" s="1">
        <v>207</v>
      </c>
      <c r="B208" s="1">
        <f t="shared" ref="B208:B271" si="103">IF(U208="charge",Q208,0)</f>
        <v>2.2718374432475708</v>
      </c>
      <c r="C208" s="1">
        <f t="shared" si="91"/>
        <v>0</v>
      </c>
      <c r="D208" s="1">
        <f t="shared" si="96"/>
        <v>30.460921246489946</v>
      </c>
      <c r="E208">
        <v>59.27</v>
      </c>
      <c r="K208" s="1">
        <f>'Solar Availability and Gener GR'!F208</f>
        <v>2.5218374432475708</v>
      </c>
      <c r="L208" s="1">
        <v>0.39891472868217059</v>
      </c>
      <c r="M208" s="1">
        <f t="shared" si="92"/>
        <v>2.1229227145654002</v>
      </c>
      <c r="N208" s="1" t="str">
        <f t="shared" si="93"/>
        <v>sell the surplus or charge</v>
      </c>
      <c r="O208" s="1">
        <v>0.25</v>
      </c>
      <c r="P208" s="1">
        <f t="shared" si="97"/>
        <v>0.62670034978624167</v>
      </c>
      <c r="Q208" s="1">
        <f t="shared" si="98"/>
        <v>2.2718374432475708</v>
      </c>
      <c r="R208" s="1">
        <f t="shared" si="99"/>
        <v>134.62841972887597</v>
      </c>
      <c r="S208" s="1">
        <f t="shared" si="100"/>
        <v>125.81012646507284</v>
      </c>
      <c r="T208" s="1">
        <f t="shared" si="101"/>
        <v>55.389154317707671</v>
      </c>
      <c r="U208" s="1" t="str">
        <f t="shared" si="102"/>
        <v>charge</v>
      </c>
      <c r="Y208" s="1">
        <f t="shared" si="90"/>
        <v>2.364367596899225E-2</v>
      </c>
      <c r="AA208" s="1">
        <f t="shared" si="94"/>
        <v>74.607808456608581</v>
      </c>
      <c r="AD208" s="1">
        <f t="shared" si="95"/>
        <v>0.25</v>
      </c>
    </row>
    <row r="209" spans="1:30" ht="15">
      <c r="A209" s="1">
        <v>208</v>
      </c>
      <c r="B209" s="1">
        <f t="shared" si="103"/>
        <v>0</v>
      </c>
      <c r="C209" s="1">
        <f t="shared" si="91"/>
        <v>0</v>
      </c>
      <c r="D209" s="1">
        <f t="shared" si="96"/>
        <v>30.460921246489946</v>
      </c>
      <c r="E209">
        <v>59.27</v>
      </c>
      <c r="K209" s="1">
        <f>'Solar Availability and Gener GR'!F209</f>
        <v>2.13843140746016</v>
      </c>
      <c r="L209" s="1">
        <v>0.65627906976744199</v>
      </c>
      <c r="M209" s="1">
        <f t="shared" si="92"/>
        <v>1.4821523376927179</v>
      </c>
      <c r="N209" s="1" t="str">
        <f t="shared" si="93"/>
        <v>sell the surplus or charge</v>
      </c>
      <c r="O209" s="1">
        <v>0.25</v>
      </c>
      <c r="P209" s="1">
        <f t="shared" si="97"/>
        <v>0.38093550673281351</v>
      </c>
      <c r="Q209" s="1">
        <f t="shared" si="98"/>
        <v>1.88843140746016</v>
      </c>
      <c r="R209" s="1">
        <f t="shared" si="99"/>
        <v>111.90394398775614</v>
      </c>
      <c r="S209" s="1">
        <f t="shared" si="100"/>
        <v>87.840064311976064</v>
      </c>
      <c r="T209" s="1">
        <f t="shared" si="101"/>
        <v>46.530605844213262</v>
      </c>
      <c r="U209" s="1" t="str">
        <f t="shared" si="102"/>
        <v>sell to the Grid</v>
      </c>
      <c r="W209" s="1">
        <f>(Q209*E209)/1000</f>
        <v>0.1119273295201637</v>
      </c>
      <c r="Y209" s="1">
        <f t="shared" si="90"/>
        <v>3.8897660465116286E-2</v>
      </c>
      <c r="AA209" s="1">
        <f t="shared" si="94"/>
        <v>76.089960794301305</v>
      </c>
      <c r="AD209" s="1">
        <f t="shared" si="95"/>
        <v>0.25</v>
      </c>
    </row>
    <row r="210" spans="1:30" ht="15">
      <c r="A210" s="1">
        <v>209</v>
      </c>
      <c r="B210" s="1">
        <f t="shared" si="103"/>
        <v>0</v>
      </c>
      <c r="C210" s="1">
        <f t="shared" si="91"/>
        <v>0</v>
      </c>
      <c r="D210" s="1">
        <f t="shared" si="96"/>
        <v>30.460921246489946</v>
      </c>
      <c r="E210">
        <v>59.27</v>
      </c>
      <c r="K210" s="1">
        <f>'Solar Availability and Gener GR'!F210</f>
        <v>1.6784563340158452</v>
      </c>
      <c r="L210" s="1">
        <v>0.66914728682170543</v>
      </c>
      <c r="M210" s="1">
        <f t="shared" si="92"/>
        <v>1.0093090471941397</v>
      </c>
      <c r="N210" s="1" t="str">
        <f t="shared" si="93"/>
        <v>sell the surplus or charge</v>
      </c>
      <c r="O210" s="1">
        <v>0.25</v>
      </c>
      <c r="P210" s="1">
        <f t="shared" si="97"/>
        <v>0.3736098239110287</v>
      </c>
      <c r="Q210" s="1">
        <f t="shared" si="98"/>
        <v>1.4284563340158452</v>
      </c>
      <c r="R210" s="1">
        <f t="shared" si="99"/>
        <v>84.641221384711585</v>
      </c>
      <c r="S210" s="1">
        <f t="shared" si="100"/>
        <v>59.814970049676226</v>
      </c>
      <c r="T210" s="1">
        <f t="shared" si="101"/>
        <v>41.897016216080459</v>
      </c>
      <c r="U210" s="1" t="str">
        <f t="shared" si="102"/>
        <v>sell to the Grid</v>
      </c>
      <c r="W210" s="1">
        <f>(Q210*E210)/1000</f>
        <v>8.4664606917119148E-2</v>
      </c>
      <c r="Y210" s="1">
        <f t="shared" si="90"/>
        <v>3.9660359689922479E-2</v>
      </c>
      <c r="AA210" s="1">
        <f t="shared" si="94"/>
        <v>77.099269841495442</v>
      </c>
      <c r="AD210" s="1">
        <f t="shared" si="95"/>
        <v>0.25</v>
      </c>
    </row>
    <row r="211" spans="1:30" ht="15">
      <c r="A211" s="1">
        <v>210</v>
      </c>
      <c r="B211" s="1">
        <f t="shared" si="103"/>
        <v>0</v>
      </c>
      <c r="C211" s="1">
        <f t="shared" si="91"/>
        <v>0</v>
      </c>
      <c r="D211" s="1">
        <f t="shared" si="96"/>
        <v>30.460921246489946</v>
      </c>
      <c r="E211">
        <v>59.27</v>
      </c>
      <c r="K211" s="1">
        <f>'Solar Availability and Gener GR'!F211</f>
        <v>1.0269518383334808</v>
      </c>
      <c r="L211" s="1">
        <v>0.65627906976744199</v>
      </c>
      <c r="M211" s="1">
        <f t="shared" si="92"/>
        <v>0.37067276856603881</v>
      </c>
      <c r="N211" s="1" t="str">
        <f t="shared" si="93"/>
        <v>sell the surplus or charge</v>
      </c>
      <c r="O211" s="1">
        <v>0.25</v>
      </c>
      <c r="P211" s="1">
        <f t="shared" si="97"/>
        <v>0.38093550673281351</v>
      </c>
      <c r="Q211" s="1">
        <f t="shared" si="98"/>
        <v>0.7769518383334808</v>
      </c>
      <c r="R211" s="1">
        <f t="shared" si="99"/>
        <v>46.026549925617857</v>
      </c>
      <c r="S211" s="1">
        <f t="shared" si="100"/>
        <v>21.962670249837785</v>
      </c>
      <c r="T211" s="1">
        <f t="shared" si="101"/>
        <v>28.330717192822302</v>
      </c>
      <c r="U211" s="1" t="str">
        <f t="shared" si="102"/>
        <v>sell to the Grid</v>
      </c>
      <c r="W211" s="1">
        <f>(Q211*E211)/1000</f>
        <v>4.6049935458025409E-2</v>
      </c>
      <c r="Y211" s="1">
        <f t="shared" si="90"/>
        <v>3.8897660465116286E-2</v>
      </c>
      <c r="AA211" s="1">
        <f t="shared" si="94"/>
        <v>77.46994261006148</v>
      </c>
      <c r="AD211" s="1">
        <f t="shared" si="95"/>
        <v>0.25</v>
      </c>
    </row>
    <row r="212" spans="1:30" ht="15">
      <c r="A212" s="1">
        <v>211</v>
      </c>
      <c r="B212" s="1">
        <f t="shared" si="103"/>
        <v>0</v>
      </c>
      <c r="C212" s="1">
        <f t="shared" si="91"/>
        <v>0</v>
      </c>
      <c r="D212" s="1">
        <f t="shared" si="96"/>
        <v>30.460921246489946</v>
      </c>
      <c r="E212">
        <v>59.27</v>
      </c>
      <c r="K212" s="1">
        <f>'Solar Availability and Gener GR'!F212</f>
        <v>0.35632511350485152</v>
      </c>
      <c r="L212" s="1">
        <v>0.66914728682170543</v>
      </c>
      <c r="M212" s="1">
        <f t="shared" si="92"/>
        <v>-0.31282217331685391</v>
      </c>
      <c r="N212" s="1" t="str">
        <f t="shared" si="93"/>
        <v>Buy from Grid</v>
      </c>
      <c r="V212" s="1" t="str">
        <f t="shared" ref="V212:V226" si="104">IF(D212+M212&gt;0,"discharge","buy from the Grid")</f>
        <v>discharge</v>
      </c>
      <c r="Y212" s="1">
        <f t="shared" si="90"/>
        <v>3.9660359689922479E-2</v>
      </c>
      <c r="AA212" s="1">
        <f t="shared" si="94"/>
        <v>77.15712043674462</v>
      </c>
      <c r="AD212" s="1">
        <f t="shared" si="95"/>
        <v>0</v>
      </c>
    </row>
    <row r="213" spans="1:30" ht="15">
      <c r="A213" s="1">
        <v>212</v>
      </c>
      <c r="B213" s="1">
        <f t="shared" si="103"/>
        <v>0</v>
      </c>
      <c r="C213" s="1">
        <f t="shared" si="91"/>
        <v>-0.31282217331685391</v>
      </c>
      <c r="D213" s="1">
        <f t="shared" si="96"/>
        <v>30.069893529843878</v>
      </c>
      <c r="E213">
        <v>59.27</v>
      </c>
      <c r="K213" s="1">
        <f>'Solar Availability and Gener GR'!F213</f>
        <v>3.9953707825157996E-2</v>
      </c>
      <c r="L213" s="1">
        <v>0.39891472868217059</v>
      </c>
      <c r="M213" s="1">
        <f t="shared" si="92"/>
        <v>-0.35896102085701259</v>
      </c>
      <c r="N213" s="1" t="str">
        <f t="shared" si="93"/>
        <v>Buy from Grid</v>
      </c>
      <c r="V213" s="1" t="str">
        <f t="shared" si="104"/>
        <v>discharge</v>
      </c>
      <c r="Y213" s="1">
        <f t="shared" si="90"/>
        <v>2.364367596899225E-2</v>
      </c>
      <c r="AA213" s="1">
        <f t="shared" si="94"/>
        <v>76.798159415887611</v>
      </c>
      <c r="AD213" s="1">
        <f t="shared" si="95"/>
        <v>0</v>
      </c>
    </row>
    <row r="214" spans="1:30" ht="15">
      <c r="A214" s="1">
        <v>213</v>
      </c>
      <c r="B214" s="1">
        <f t="shared" si="103"/>
        <v>0</v>
      </c>
      <c r="C214" s="1">
        <f t="shared" si="91"/>
        <v>-0.35896102085701259</v>
      </c>
      <c r="D214" s="1">
        <f t="shared" si="96"/>
        <v>29.621192253772612</v>
      </c>
      <c r="E214">
        <v>59.27</v>
      </c>
      <c r="K214" s="1">
        <f>'Solar Availability and Gener GR'!F214</f>
        <v>0</v>
      </c>
      <c r="L214" s="1">
        <v>0.39891472868217059</v>
      </c>
      <c r="M214" s="1">
        <f t="shared" si="92"/>
        <v>-0.39891472868217059</v>
      </c>
      <c r="N214" s="1" t="str">
        <f t="shared" si="93"/>
        <v>Buy from Grid</v>
      </c>
      <c r="V214" s="1" t="str">
        <f t="shared" si="104"/>
        <v>discharge</v>
      </c>
      <c r="Y214" s="1">
        <f t="shared" si="90"/>
        <v>2.364367596899225E-2</v>
      </c>
      <c r="AA214" s="1">
        <f t="shared" si="94"/>
        <v>76.399244687205439</v>
      </c>
      <c r="AD214" s="1">
        <f t="shared" si="95"/>
        <v>0</v>
      </c>
    </row>
    <row r="215" spans="1:30" ht="15">
      <c r="A215" s="1">
        <v>214</v>
      </c>
      <c r="B215" s="1">
        <f t="shared" si="103"/>
        <v>0</v>
      </c>
      <c r="C215" s="1">
        <f t="shared" si="91"/>
        <v>-0.39891472868217059</v>
      </c>
      <c r="D215" s="1">
        <f t="shared" si="96"/>
        <v>29.122548842919898</v>
      </c>
      <c r="E215">
        <v>59.27</v>
      </c>
      <c r="K215" s="1">
        <f>'Solar Availability and Gener GR'!F215</f>
        <v>0</v>
      </c>
      <c r="L215" s="1">
        <v>0.39891472868217059</v>
      </c>
      <c r="M215" s="1">
        <f t="shared" si="92"/>
        <v>-0.39891472868217059</v>
      </c>
      <c r="N215" s="1" t="str">
        <f t="shared" si="93"/>
        <v>Buy from Grid</v>
      </c>
      <c r="V215" s="1" t="str">
        <f t="shared" si="104"/>
        <v>discharge</v>
      </c>
      <c r="Y215" s="1">
        <f t="shared" si="90"/>
        <v>2.364367596899225E-2</v>
      </c>
      <c r="AA215" s="1">
        <f t="shared" si="94"/>
        <v>76.000329958523267</v>
      </c>
      <c r="AD215" s="1">
        <f t="shared" si="95"/>
        <v>0</v>
      </c>
    </row>
    <row r="216" spans="1:30" ht="15">
      <c r="A216" s="1">
        <v>215</v>
      </c>
      <c r="B216" s="1">
        <f t="shared" si="103"/>
        <v>0</v>
      </c>
      <c r="C216" s="1">
        <f t="shared" si="91"/>
        <v>-0.39891472868217059</v>
      </c>
      <c r="D216" s="1">
        <f t="shared" si="96"/>
        <v>28.623905432067183</v>
      </c>
      <c r="E216">
        <v>59.27</v>
      </c>
      <c r="K216" s="1">
        <f>'Solar Availability and Gener GR'!F216</f>
        <v>0</v>
      </c>
      <c r="L216" s="1">
        <v>0.29596899224806206</v>
      </c>
      <c r="M216" s="1">
        <f t="shared" si="92"/>
        <v>-0.29596899224806206</v>
      </c>
      <c r="N216" s="1" t="str">
        <f t="shared" si="93"/>
        <v>Buy from Grid</v>
      </c>
      <c r="V216" s="1" t="str">
        <f t="shared" si="104"/>
        <v>discharge</v>
      </c>
      <c r="Y216" s="1">
        <f t="shared" si="90"/>
        <v>1.754208217054264E-2</v>
      </c>
      <c r="AA216" s="1">
        <f t="shared" si="94"/>
        <v>75.704360966275203</v>
      </c>
      <c r="AD216" s="1">
        <f t="shared" si="95"/>
        <v>0</v>
      </c>
    </row>
    <row r="217" spans="1:30" ht="15">
      <c r="A217" s="1">
        <v>216</v>
      </c>
      <c r="B217" s="1">
        <f t="shared" si="103"/>
        <v>0</v>
      </c>
      <c r="C217" s="1">
        <f t="shared" si="91"/>
        <v>-0.29596899224806206</v>
      </c>
      <c r="D217" s="1">
        <f t="shared" si="96"/>
        <v>28.253944191757107</v>
      </c>
      <c r="E217">
        <v>59.27</v>
      </c>
      <c r="K217" s="1">
        <f>'Solar Availability and Gener GR'!F217</f>
        <v>0</v>
      </c>
      <c r="L217" s="1">
        <v>0.29596899224806206</v>
      </c>
      <c r="M217" s="1">
        <f t="shared" si="92"/>
        <v>-0.29596899224806206</v>
      </c>
      <c r="N217" s="1" t="str">
        <f t="shared" si="93"/>
        <v>Buy from Grid</v>
      </c>
      <c r="V217" s="1" t="str">
        <f t="shared" si="104"/>
        <v>discharge</v>
      </c>
      <c r="Y217" s="1">
        <f t="shared" si="90"/>
        <v>1.754208217054264E-2</v>
      </c>
      <c r="AA217" s="1">
        <f t="shared" si="94"/>
        <v>75.40839197402714</v>
      </c>
      <c r="AD217" s="1">
        <f t="shared" si="95"/>
        <v>0</v>
      </c>
    </row>
    <row r="218" spans="1:30" ht="15">
      <c r="A218" s="1">
        <v>217</v>
      </c>
      <c r="B218" s="1">
        <f t="shared" si="103"/>
        <v>0</v>
      </c>
      <c r="C218" s="1">
        <f t="shared" si="91"/>
        <v>-0.29596899224806206</v>
      </c>
      <c r="D218" s="1">
        <f t="shared" si="96"/>
        <v>27.883982951447031</v>
      </c>
      <c r="E218">
        <v>59.27</v>
      </c>
      <c r="K218" s="1">
        <f>'Solar Availability and Gener GR'!F218</f>
        <v>0</v>
      </c>
      <c r="L218" s="1">
        <v>0.29596899224806206</v>
      </c>
      <c r="M218" s="1">
        <f t="shared" si="92"/>
        <v>-0.29596899224806206</v>
      </c>
      <c r="N218" s="1" t="str">
        <f t="shared" si="93"/>
        <v>Buy from Grid</v>
      </c>
      <c r="V218" s="1" t="str">
        <f t="shared" si="104"/>
        <v>discharge</v>
      </c>
      <c r="Y218" s="1">
        <f t="shared" si="90"/>
        <v>1.754208217054264E-2</v>
      </c>
      <c r="AA218" s="1">
        <f t="shared" si="94"/>
        <v>75.112422981779076</v>
      </c>
      <c r="AD218" s="1">
        <f t="shared" si="95"/>
        <v>0</v>
      </c>
    </row>
    <row r="219" spans="1:30" ht="15">
      <c r="A219" s="1">
        <v>218</v>
      </c>
      <c r="B219" s="1">
        <f t="shared" si="103"/>
        <v>0</v>
      </c>
      <c r="C219" s="1">
        <f t="shared" si="91"/>
        <v>-0.29596899224806206</v>
      </c>
      <c r="D219" s="1">
        <f t="shared" si="96"/>
        <v>27.514021711136955</v>
      </c>
      <c r="E219">
        <v>59.27</v>
      </c>
      <c r="K219" s="1">
        <f>'Solar Availability and Gener GR'!F219</f>
        <v>0</v>
      </c>
      <c r="L219" s="1">
        <v>0.29596899224806206</v>
      </c>
      <c r="M219" s="1">
        <f t="shared" si="92"/>
        <v>-0.29596899224806206</v>
      </c>
      <c r="N219" s="1" t="str">
        <f t="shared" si="93"/>
        <v>Buy from Grid</v>
      </c>
      <c r="V219" s="1" t="str">
        <f t="shared" si="104"/>
        <v>discharge</v>
      </c>
      <c r="Y219" s="1">
        <f t="shared" si="90"/>
        <v>1.754208217054264E-2</v>
      </c>
      <c r="AA219" s="1">
        <f t="shared" si="94"/>
        <v>74.816453989531013</v>
      </c>
      <c r="AD219" s="1">
        <f t="shared" si="95"/>
        <v>0</v>
      </c>
    </row>
    <row r="220" spans="1:30" ht="15">
      <c r="A220" s="1">
        <v>219</v>
      </c>
      <c r="B220" s="1">
        <f t="shared" si="103"/>
        <v>0</v>
      </c>
      <c r="C220" s="1">
        <f t="shared" si="91"/>
        <v>-0.29596899224806206</v>
      </c>
      <c r="D220" s="1">
        <f t="shared" si="96"/>
        <v>27.144060470826879</v>
      </c>
      <c r="E220">
        <v>59.27</v>
      </c>
      <c r="K220" s="1">
        <f>'Solar Availability and Gener GR'!F220</f>
        <v>0</v>
      </c>
      <c r="L220" s="1">
        <v>0.29596899224806206</v>
      </c>
      <c r="M220" s="1">
        <f t="shared" si="92"/>
        <v>-0.29596899224806206</v>
      </c>
      <c r="N220" s="1" t="str">
        <f t="shared" si="93"/>
        <v>Buy from Grid</v>
      </c>
      <c r="V220" s="1" t="str">
        <f t="shared" si="104"/>
        <v>discharge</v>
      </c>
      <c r="Y220" s="1">
        <f t="shared" si="90"/>
        <v>1.754208217054264E-2</v>
      </c>
      <c r="AA220" s="1">
        <f t="shared" si="94"/>
        <v>74.520484997282949</v>
      </c>
      <c r="AD220" s="1">
        <f t="shared" si="95"/>
        <v>0</v>
      </c>
    </row>
    <row r="221" spans="1:30" ht="15">
      <c r="A221" s="1">
        <v>220</v>
      </c>
      <c r="B221" s="1">
        <f t="shared" si="103"/>
        <v>0</v>
      </c>
      <c r="C221" s="1">
        <f t="shared" si="91"/>
        <v>-0.29596899224806206</v>
      </c>
      <c r="D221" s="1">
        <f t="shared" si="96"/>
        <v>26.774099230516804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92"/>
        <v>-0.39891472868217059</v>
      </c>
      <c r="N221" s="1" t="str">
        <f t="shared" si="93"/>
        <v>Buy from Grid</v>
      </c>
      <c r="V221" s="1" t="str">
        <f t="shared" si="104"/>
        <v>discharge</v>
      </c>
      <c r="Y221" s="1">
        <f t="shared" si="90"/>
        <v>2.364367596899225E-2</v>
      </c>
      <c r="AA221" s="1">
        <f t="shared" si="94"/>
        <v>74.121570268600777</v>
      </c>
      <c r="AD221" s="1">
        <f t="shared" si="95"/>
        <v>0</v>
      </c>
    </row>
    <row r="222" spans="1:30" ht="15">
      <c r="A222" s="1">
        <v>221</v>
      </c>
      <c r="B222" s="1">
        <f t="shared" si="103"/>
        <v>0</v>
      </c>
      <c r="C222" s="1">
        <f t="shared" si="91"/>
        <v>-0.39891472868217059</v>
      </c>
      <c r="D222" s="1">
        <f t="shared" si="96"/>
        <v>26.275455819664089</v>
      </c>
      <c r="E222">
        <v>59.27</v>
      </c>
      <c r="K222" s="1">
        <f>'Solar Availability and Gener GR'!F222</f>
        <v>0</v>
      </c>
      <c r="L222" s="1">
        <v>0.51472868217054268</v>
      </c>
      <c r="M222" s="1">
        <f t="shared" si="92"/>
        <v>-0.51472868217054268</v>
      </c>
      <c r="N222" s="1" t="str">
        <f t="shared" si="93"/>
        <v>Buy from Grid</v>
      </c>
      <c r="V222" s="1" t="str">
        <f t="shared" si="104"/>
        <v>discharge</v>
      </c>
      <c r="Y222" s="1">
        <f t="shared" si="90"/>
        <v>3.0507968992248068E-2</v>
      </c>
      <c r="AA222" s="1">
        <f t="shared" si="94"/>
        <v>73.606841586430235</v>
      </c>
      <c r="AD222" s="1">
        <f t="shared" si="95"/>
        <v>0</v>
      </c>
    </row>
    <row r="223" spans="1:30" ht="15">
      <c r="A223" s="1">
        <v>222</v>
      </c>
      <c r="B223" s="1">
        <f t="shared" si="103"/>
        <v>0</v>
      </c>
      <c r="C223" s="1">
        <f t="shared" si="91"/>
        <v>-0.51472868217054268</v>
      </c>
      <c r="D223" s="1">
        <f t="shared" si="96"/>
        <v>25.632044966950911</v>
      </c>
      <c r="E223">
        <v>59.27</v>
      </c>
      <c r="K223" s="1">
        <f>'Solar Availability and Gener GR'!F223</f>
        <v>0</v>
      </c>
      <c r="L223" s="1">
        <v>0.65627906976744199</v>
      </c>
      <c r="M223" s="1">
        <f t="shared" si="92"/>
        <v>-0.65627906976744199</v>
      </c>
      <c r="N223" s="1" t="str">
        <f t="shared" si="93"/>
        <v>Buy from Grid</v>
      </c>
      <c r="V223" s="1" t="str">
        <f t="shared" si="104"/>
        <v>discharge</v>
      </c>
      <c r="Y223" s="1">
        <f t="shared" si="90"/>
        <v>3.8897660465116286E-2</v>
      </c>
      <c r="AA223" s="1">
        <f t="shared" si="94"/>
        <v>72.950562516662799</v>
      </c>
      <c r="AD223" s="1">
        <f t="shared" si="95"/>
        <v>0</v>
      </c>
    </row>
    <row r="224" spans="1:30" ht="15">
      <c r="A224" s="1">
        <v>223</v>
      </c>
      <c r="B224" s="1">
        <f t="shared" si="103"/>
        <v>0</v>
      </c>
      <c r="C224" s="1">
        <f t="shared" si="91"/>
        <v>-0.65627906976744199</v>
      </c>
      <c r="D224" s="1">
        <f t="shared" si="96"/>
        <v>24.811696129741609</v>
      </c>
      <c r="E224">
        <v>59.27</v>
      </c>
      <c r="K224" s="1">
        <f>'Solar Availability and Gener GR'!F224</f>
        <v>1.6611768895219918E-2</v>
      </c>
      <c r="L224" s="1">
        <v>0.65627906976744199</v>
      </c>
      <c r="M224" s="1">
        <f t="shared" si="92"/>
        <v>-0.63966730087222212</v>
      </c>
      <c r="N224" s="1" t="str">
        <f t="shared" si="93"/>
        <v>Buy from Grid</v>
      </c>
      <c r="V224" s="1" t="str">
        <f t="shared" si="104"/>
        <v>discharge</v>
      </c>
      <c r="Y224" s="1">
        <f t="shared" si="90"/>
        <v>3.8897660465116286E-2</v>
      </c>
      <c r="AA224" s="1">
        <f t="shared" si="94"/>
        <v>72.31089521579058</v>
      </c>
      <c r="AD224" s="1">
        <f t="shared" si="95"/>
        <v>0</v>
      </c>
    </row>
    <row r="225" spans="1:30" ht="15">
      <c r="A225" s="1">
        <v>224</v>
      </c>
      <c r="B225" s="1">
        <f t="shared" si="103"/>
        <v>0</v>
      </c>
      <c r="C225" s="1">
        <f t="shared" si="91"/>
        <v>-0.63966730087222212</v>
      </c>
      <c r="D225" s="1">
        <f t="shared" si="96"/>
        <v>24.012112003651332</v>
      </c>
      <c r="E225">
        <v>59.27</v>
      </c>
      <c r="K225" s="1">
        <f>'Solar Availability and Gener GR'!F225</f>
        <v>2.5785631621116648E-2</v>
      </c>
      <c r="L225" s="1">
        <v>0.39891472868217059</v>
      </c>
      <c r="M225" s="1">
        <f t="shared" si="92"/>
        <v>-0.37312909706105396</v>
      </c>
      <c r="N225" s="1" t="str">
        <f t="shared" si="93"/>
        <v>Buy from Grid</v>
      </c>
      <c r="V225" s="1" t="str">
        <f t="shared" si="104"/>
        <v>discharge</v>
      </c>
      <c r="Y225" s="1">
        <f t="shared" si="90"/>
        <v>2.364367596899225E-2</v>
      </c>
      <c r="AA225" s="1">
        <f t="shared" si="94"/>
        <v>71.937766118729527</v>
      </c>
      <c r="AD225" s="1">
        <f t="shared" si="95"/>
        <v>0</v>
      </c>
    </row>
    <row r="226" spans="1:30" ht="15">
      <c r="A226" s="1">
        <v>225</v>
      </c>
      <c r="B226" s="1">
        <f t="shared" si="103"/>
        <v>0</v>
      </c>
      <c r="C226" s="1">
        <f t="shared" si="91"/>
        <v>-0.37312909706105396</v>
      </c>
      <c r="D226" s="1">
        <f t="shared" si="96"/>
        <v>23.545700632325016</v>
      </c>
      <c r="E226">
        <v>59.27</v>
      </c>
      <c r="K226" s="1">
        <f>'Solar Availability and Gener GR'!F226</f>
        <v>0.1881643372206887</v>
      </c>
      <c r="L226" s="1">
        <v>0.39891472868217059</v>
      </c>
      <c r="M226" s="1">
        <f t="shared" si="92"/>
        <v>-0.21075039146148189</v>
      </c>
      <c r="N226" s="1" t="str">
        <f t="shared" si="93"/>
        <v>Buy from Grid</v>
      </c>
      <c r="V226" s="1" t="str">
        <f t="shared" si="104"/>
        <v>discharge</v>
      </c>
      <c r="Y226" s="1">
        <f t="shared" si="90"/>
        <v>2.364367596899225E-2</v>
      </c>
      <c r="AA226" s="1">
        <f t="shared" si="94"/>
        <v>71.727015727268039</v>
      </c>
      <c r="AD226" s="1">
        <f t="shared" si="95"/>
        <v>0</v>
      </c>
    </row>
    <row r="227" spans="1:30" ht="15">
      <c r="A227" s="1">
        <v>226</v>
      </c>
      <c r="B227" s="1">
        <f t="shared" si="103"/>
        <v>0</v>
      </c>
      <c r="C227" s="1">
        <f t="shared" si="91"/>
        <v>-0.21075039146148189</v>
      </c>
      <c r="D227" s="1">
        <f t="shared" si="96"/>
        <v>23.282262642998163</v>
      </c>
      <c r="E227">
        <v>59.27</v>
      </c>
      <c r="K227" s="1">
        <f>'Solar Availability and Gener GR'!F227</f>
        <v>0.6856093652630616</v>
      </c>
      <c r="L227" s="1">
        <v>0.39891472868217059</v>
      </c>
      <c r="M227" s="1">
        <f t="shared" si="92"/>
        <v>0.286694636580891</v>
      </c>
      <c r="N227" s="1" t="str">
        <f t="shared" si="93"/>
        <v>sell the surplus or charge</v>
      </c>
      <c r="O227" s="1">
        <v>0.25</v>
      </c>
      <c r="P227" s="1">
        <f t="shared" ref="P227:P234" si="105">0.25/L227</f>
        <v>0.62670034978624167</v>
      </c>
      <c r="Q227" s="1">
        <f t="shared" ref="Q227:Q234" si="106">K227-P227*L227</f>
        <v>0.4356093652630616</v>
      </c>
      <c r="R227" s="1">
        <f t="shared" ref="R227:R234" si="107">((1/(E227+0.01))*LN(0.25))+(E227*(K227-0.25))</f>
        <v>25.795181546734106</v>
      </c>
      <c r="S227" s="1">
        <f t="shared" ref="S227:S234" si="108">((1/(E227+0.01))*LN(L227))+(E227*(K227-L227))</f>
        <v>16.976888282930986</v>
      </c>
      <c r="T227" s="1">
        <f t="shared" ref="T227:T234" si="109">(S227+((S227^2)-4*(K227-L227*P227)*LN(L227*P227))^(0.5))/(2*(K227-L227*P227))</f>
        <v>39.054222193923451</v>
      </c>
      <c r="U227" s="1" t="str">
        <f t="shared" ref="U227:U234" si="110">IF(E227&gt;=T227*1.1,"sell to the Grid","charge")</f>
        <v>sell to the Grid</v>
      </c>
      <c r="W227" s="1">
        <f>(Q227*E227)/1000</f>
        <v>2.5818567079141663E-2</v>
      </c>
      <c r="Y227" s="1">
        <f t="shared" si="90"/>
        <v>2.364367596899225E-2</v>
      </c>
      <c r="AA227" s="1">
        <f t="shared" si="94"/>
        <v>72.013710363848929</v>
      </c>
      <c r="AD227" s="1">
        <f t="shared" si="95"/>
        <v>0.25</v>
      </c>
    </row>
    <row r="228" spans="1:30" ht="15">
      <c r="A228" s="1">
        <v>227</v>
      </c>
      <c r="B228" s="1">
        <f t="shared" si="103"/>
        <v>0</v>
      </c>
      <c r="C228" s="1">
        <f t="shared" si="91"/>
        <v>0</v>
      </c>
      <c r="D228" s="1">
        <f t="shared" si="96"/>
        <v>23.282262642998163</v>
      </c>
      <c r="E228">
        <v>59.27</v>
      </c>
      <c r="K228" s="1">
        <f>'Solar Availability and Gener GR'!F228</f>
        <v>1.3745571085195381</v>
      </c>
      <c r="L228" s="1">
        <v>0.39891472868217059</v>
      </c>
      <c r="M228" s="1">
        <f t="shared" si="92"/>
        <v>0.97564237983736746</v>
      </c>
      <c r="N228" s="1" t="str">
        <f t="shared" si="93"/>
        <v>sell the surplus or charge</v>
      </c>
      <c r="O228" s="1">
        <v>0.25</v>
      </c>
      <c r="P228" s="1">
        <f t="shared" si="105"/>
        <v>0.62670034978624167</v>
      </c>
      <c r="Q228" s="1">
        <f t="shared" si="106"/>
        <v>1.1245571085195381</v>
      </c>
      <c r="R228" s="1">
        <f t="shared" si="107"/>
        <v>66.62911428954547</v>
      </c>
      <c r="S228" s="1">
        <f t="shared" si="108"/>
        <v>57.810821025742349</v>
      </c>
      <c r="T228" s="1">
        <f t="shared" si="109"/>
        <v>51.431603359400391</v>
      </c>
      <c r="U228" s="1" t="str">
        <f t="shared" si="110"/>
        <v>sell to the Grid</v>
      </c>
      <c r="W228" s="1">
        <f>(Q228*E228)/1000</f>
        <v>6.6652499821953023E-2</v>
      </c>
      <c r="Y228" s="1">
        <f t="shared" si="90"/>
        <v>2.364367596899225E-2</v>
      </c>
      <c r="AA228" s="1">
        <f t="shared" si="94"/>
        <v>72.989352743686297</v>
      </c>
      <c r="AD228" s="1">
        <f t="shared" si="95"/>
        <v>0.25</v>
      </c>
    </row>
    <row r="229" spans="1:30" ht="15">
      <c r="A229" s="1">
        <v>228</v>
      </c>
      <c r="B229" s="1">
        <f t="shared" si="103"/>
        <v>0</v>
      </c>
      <c r="C229" s="1">
        <f t="shared" si="91"/>
        <v>0</v>
      </c>
      <c r="D229" s="1">
        <f t="shared" si="96"/>
        <v>23.282262642998163</v>
      </c>
      <c r="E229">
        <v>59.27</v>
      </c>
      <c r="K229" s="1">
        <f>'Solar Availability and Gener GR'!F229</f>
        <v>1.7953930383690888</v>
      </c>
      <c r="L229" s="1">
        <v>0.39891472868217059</v>
      </c>
      <c r="M229" s="1">
        <f t="shared" si="92"/>
        <v>1.3964783096869182</v>
      </c>
      <c r="N229" s="1" t="str">
        <f t="shared" si="93"/>
        <v>sell the surplus or charge</v>
      </c>
      <c r="O229" s="1">
        <v>0.25</v>
      </c>
      <c r="P229" s="1">
        <f t="shared" si="105"/>
        <v>0.62670034978624167</v>
      </c>
      <c r="Q229" s="1">
        <f t="shared" si="106"/>
        <v>1.5453930383690888</v>
      </c>
      <c r="R229" s="1">
        <f t="shared" si="107"/>
        <v>91.572059851728341</v>
      </c>
      <c r="S229" s="1">
        <f t="shared" si="108"/>
        <v>82.753766587925227</v>
      </c>
      <c r="T229" s="1">
        <f t="shared" si="109"/>
        <v>53.565432821269418</v>
      </c>
      <c r="U229" s="1" t="str">
        <f t="shared" si="110"/>
        <v>sell to the Grid</v>
      </c>
      <c r="W229" s="1">
        <f>(Q229*E229)/1000</f>
        <v>9.1595445384135901E-2</v>
      </c>
      <c r="Y229" s="1">
        <f t="shared" si="90"/>
        <v>2.364367596899225E-2</v>
      </c>
      <c r="AA229" s="1">
        <f t="shared" si="94"/>
        <v>74.385831053373209</v>
      </c>
      <c r="AD229" s="1">
        <f t="shared" si="95"/>
        <v>0.25</v>
      </c>
    </row>
    <row r="230" spans="1:30" ht="15">
      <c r="A230" s="1">
        <v>229</v>
      </c>
      <c r="B230" s="1">
        <f t="shared" si="103"/>
        <v>1.7268939731149291</v>
      </c>
      <c r="C230" s="1">
        <f t="shared" si="91"/>
        <v>0</v>
      </c>
      <c r="D230" s="1">
        <f t="shared" si="96"/>
        <v>24.663777821490108</v>
      </c>
      <c r="E230">
        <v>59.27</v>
      </c>
      <c r="K230" s="1">
        <f>'Solar Availability and Gener GR'!F230</f>
        <v>1.9768939731149291</v>
      </c>
      <c r="L230" s="1">
        <v>0.39891472868217059</v>
      </c>
      <c r="M230" s="1">
        <f t="shared" si="92"/>
        <v>1.5779792444327585</v>
      </c>
      <c r="N230" s="1" t="str">
        <f t="shared" si="93"/>
        <v>sell the surplus or charge</v>
      </c>
      <c r="O230" s="1">
        <v>0.25</v>
      </c>
      <c r="P230" s="1">
        <f t="shared" si="105"/>
        <v>0.62670034978624167</v>
      </c>
      <c r="Q230" s="1">
        <f t="shared" si="106"/>
        <v>1.7268939731149291</v>
      </c>
      <c r="R230" s="1">
        <f t="shared" si="107"/>
        <v>102.32962025411429</v>
      </c>
      <c r="S230" s="1">
        <f t="shared" si="108"/>
        <v>93.511326990311176</v>
      </c>
      <c r="T230" s="1">
        <f t="shared" si="109"/>
        <v>54.164831449036207</v>
      </c>
      <c r="U230" s="1" t="str">
        <f t="shared" si="110"/>
        <v>charge</v>
      </c>
      <c r="Y230" s="1">
        <f t="shared" si="90"/>
        <v>2.364367596899225E-2</v>
      </c>
      <c r="AA230" s="1">
        <f t="shared" si="94"/>
        <v>75.963810297805964</v>
      </c>
      <c r="AD230" s="1">
        <f t="shared" si="95"/>
        <v>0.25</v>
      </c>
    </row>
    <row r="231" spans="1:30" ht="15">
      <c r="A231" s="1">
        <v>230</v>
      </c>
      <c r="B231" s="1">
        <f t="shared" si="103"/>
        <v>1.7456423039259323</v>
      </c>
      <c r="C231" s="1">
        <f t="shared" si="91"/>
        <v>0</v>
      </c>
      <c r="D231" s="1">
        <f t="shared" si="96"/>
        <v>26.060291664630853</v>
      </c>
      <c r="E231">
        <v>59.27</v>
      </c>
      <c r="K231" s="1">
        <f>'Solar Availability and Gener GR'!F231</f>
        <v>1.9956423039259323</v>
      </c>
      <c r="L231" s="1">
        <v>0.39891472868217059</v>
      </c>
      <c r="M231" s="1">
        <f t="shared" si="92"/>
        <v>1.5967275752437617</v>
      </c>
      <c r="N231" s="1" t="str">
        <f t="shared" si="93"/>
        <v>sell the surplus or charge</v>
      </c>
      <c r="O231" s="1">
        <v>0.25</v>
      </c>
      <c r="P231" s="1">
        <f t="shared" si="105"/>
        <v>0.62670034978624167</v>
      </c>
      <c r="Q231" s="1">
        <f t="shared" si="106"/>
        <v>1.7456423039259323</v>
      </c>
      <c r="R231" s="1">
        <f t="shared" si="107"/>
        <v>103.44083382128245</v>
      </c>
      <c r="S231" s="1">
        <f t="shared" si="108"/>
        <v>94.62254055747934</v>
      </c>
      <c r="T231" s="1">
        <f t="shared" si="109"/>
        <v>54.219646524016149</v>
      </c>
      <c r="U231" s="1" t="str">
        <f t="shared" si="110"/>
        <v>charge</v>
      </c>
      <c r="Y231" s="1">
        <f t="shared" si="90"/>
        <v>2.364367596899225E-2</v>
      </c>
      <c r="AA231" s="1">
        <f t="shared" si="94"/>
        <v>77.560537873049725</v>
      </c>
      <c r="AD231" s="1">
        <f t="shared" si="95"/>
        <v>0.25</v>
      </c>
    </row>
    <row r="232" spans="1:30" ht="15">
      <c r="A232" s="1">
        <v>231</v>
      </c>
      <c r="B232" s="1">
        <f t="shared" si="103"/>
        <v>0</v>
      </c>
      <c r="C232" s="1">
        <f t="shared" si="91"/>
        <v>0</v>
      </c>
      <c r="D232" s="1">
        <f t="shared" si="96"/>
        <v>26.060291664630853</v>
      </c>
      <c r="E232">
        <v>59.27</v>
      </c>
      <c r="K232" s="1">
        <f>'Solar Availability and Gener GR'!F232</f>
        <v>1.8611857918632597</v>
      </c>
      <c r="L232" s="1">
        <v>0.4117829457364342</v>
      </c>
      <c r="M232" s="1">
        <f t="shared" si="92"/>
        <v>1.4494028461268256</v>
      </c>
      <c r="N232" s="1" t="str">
        <f t="shared" si="93"/>
        <v>sell the surplus or charge</v>
      </c>
      <c r="O232" s="1">
        <v>0.25</v>
      </c>
      <c r="P232" s="1">
        <f t="shared" si="105"/>
        <v>0.60711596385542155</v>
      </c>
      <c r="Q232" s="1">
        <f t="shared" si="106"/>
        <v>1.6111857918632597</v>
      </c>
      <c r="R232" s="1">
        <f t="shared" si="107"/>
        <v>95.471596351327847</v>
      </c>
      <c r="S232" s="1">
        <f t="shared" si="108"/>
        <v>85.891139434552457</v>
      </c>
      <c r="T232" s="1">
        <f t="shared" si="109"/>
        <v>53.325405891662527</v>
      </c>
      <c r="U232" s="1" t="str">
        <f t="shared" si="110"/>
        <v>sell to the Grid</v>
      </c>
      <c r="W232" s="1">
        <f>(Q232*E232)/1000</f>
        <v>9.5494981883735411E-2</v>
      </c>
      <c r="Y232" s="1">
        <f t="shared" si="90"/>
        <v>2.4406375193798457E-2</v>
      </c>
      <c r="AA232" s="1">
        <f t="shared" si="94"/>
        <v>79.009940719176555</v>
      </c>
      <c r="AD232" s="1">
        <f t="shared" si="95"/>
        <v>0.25</v>
      </c>
    </row>
    <row r="233" spans="1:30" ht="15">
      <c r="A233" s="1">
        <v>232</v>
      </c>
      <c r="B233" s="1">
        <f t="shared" si="103"/>
        <v>0</v>
      </c>
      <c r="C233" s="1">
        <f t="shared" si="91"/>
        <v>0</v>
      </c>
      <c r="D233" s="1">
        <f t="shared" si="96"/>
        <v>26.060291664630853</v>
      </c>
      <c r="E233">
        <v>59.27</v>
      </c>
      <c r="K233" s="1">
        <f>'Solar Availability and Gener GR'!F233</f>
        <v>1.5639633223537788</v>
      </c>
      <c r="L233" s="1">
        <v>0.66914728682170543</v>
      </c>
      <c r="M233" s="1">
        <f t="shared" si="92"/>
        <v>0.89481603553207334</v>
      </c>
      <c r="N233" s="1" t="str">
        <f t="shared" si="93"/>
        <v>sell the surplus or charge</v>
      </c>
      <c r="O233" s="1">
        <v>0.25</v>
      </c>
      <c r="P233" s="1">
        <f t="shared" si="105"/>
        <v>0.3736098239110287</v>
      </c>
      <c r="Q233" s="1">
        <f t="shared" si="106"/>
        <v>1.3139633223537788</v>
      </c>
      <c r="R233" s="1">
        <f t="shared" si="107"/>
        <v>77.855220583500909</v>
      </c>
      <c r="S233" s="1">
        <f t="shared" si="108"/>
        <v>53.02896924846555</v>
      </c>
      <c r="T233" s="1">
        <f t="shared" si="109"/>
        <v>40.384153824542778</v>
      </c>
      <c r="U233" s="1" t="str">
        <f t="shared" si="110"/>
        <v>sell to the Grid</v>
      </c>
      <c r="W233" s="1">
        <f>(Q233*E233)/1000</f>
        <v>7.7878606115908466E-2</v>
      </c>
      <c r="Y233" s="1">
        <f t="shared" si="90"/>
        <v>3.9660359689922479E-2</v>
      </c>
      <c r="AA233" s="1">
        <f t="shared" si="94"/>
        <v>79.904756754708629</v>
      </c>
      <c r="AD233" s="1">
        <f t="shared" si="95"/>
        <v>0.25</v>
      </c>
    </row>
    <row r="234" spans="1:30" ht="15">
      <c r="A234" s="1">
        <v>233</v>
      </c>
      <c r="B234" s="1">
        <f t="shared" si="103"/>
        <v>0</v>
      </c>
      <c r="C234" s="1">
        <f t="shared" si="91"/>
        <v>0</v>
      </c>
      <c r="D234" s="1">
        <f t="shared" si="96"/>
        <v>26.060291664630853</v>
      </c>
      <c r="E234">
        <v>59.27</v>
      </c>
      <c r="K234" s="1">
        <f>'Solar Availability and Gener GR'!F234</f>
        <v>1.065690376569036</v>
      </c>
      <c r="L234" s="1">
        <v>0.65627906976744199</v>
      </c>
      <c r="M234" s="1">
        <f t="shared" si="92"/>
        <v>0.40941130680159399</v>
      </c>
      <c r="N234" s="1" t="str">
        <f t="shared" si="93"/>
        <v>sell the surplus or charge</v>
      </c>
      <c r="O234" s="1">
        <v>0.25</v>
      </c>
      <c r="P234" s="1">
        <f t="shared" si="105"/>
        <v>0.38093550673281351</v>
      </c>
      <c r="Q234" s="1">
        <f t="shared" si="106"/>
        <v>0.81569037656903598</v>
      </c>
      <c r="R234" s="1">
        <f t="shared" si="107"/>
        <v>48.322583086839217</v>
      </c>
      <c r="S234" s="1">
        <f t="shared" si="108"/>
        <v>24.258703411059138</v>
      </c>
      <c r="T234" s="1">
        <f t="shared" si="109"/>
        <v>29.797124672871306</v>
      </c>
      <c r="U234" s="1" t="str">
        <f t="shared" si="110"/>
        <v>sell to the Grid</v>
      </c>
      <c r="W234" s="1">
        <f>(Q234*E234)/1000</f>
        <v>4.8345968619246768E-2</v>
      </c>
      <c r="Y234" s="1">
        <f t="shared" si="90"/>
        <v>3.8897660465116286E-2</v>
      </c>
      <c r="AA234" s="1">
        <f t="shared" si="94"/>
        <v>80.314168061510216</v>
      </c>
      <c r="AD234" s="1">
        <f t="shared" si="95"/>
        <v>0.25</v>
      </c>
    </row>
    <row r="235" spans="1:30" ht="15">
      <c r="A235" s="1">
        <v>234</v>
      </c>
      <c r="B235" s="1">
        <f t="shared" si="103"/>
        <v>0</v>
      </c>
      <c r="C235" s="1">
        <f t="shared" si="91"/>
        <v>0</v>
      </c>
      <c r="D235" s="1">
        <f t="shared" si="96"/>
        <v>26.060291664630853</v>
      </c>
      <c r="E235">
        <v>59.27</v>
      </c>
      <c r="K235" s="1">
        <f>'Solar Availability and Gener GR'!F235</f>
        <v>0.46207157482417677</v>
      </c>
      <c r="L235" s="1">
        <v>0.66914728682170543</v>
      </c>
      <c r="M235" s="1">
        <f t="shared" si="92"/>
        <v>-0.20707571199752867</v>
      </c>
      <c r="N235" s="1" t="str">
        <f t="shared" si="93"/>
        <v>Buy from Grid</v>
      </c>
      <c r="V235" s="1" t="str">
        <f t="shared" ref="V235:V251" si="111">IF(D235+M235&gt;0,"discharge","buy from the Grid")</f>
        <v>discharge</v>
      </c>
      <c r="Y235" s="1">
        <f t="shared" si="90"/>
        <v>3.9660359689922479E-2</v>
      </c>
      <c r="AA235" s="1">
        <f t="shared" si="94"/>
        <v>80.107092349512683</v>
      </c>
      <c r="AD235" s="1">
        <f t="shared" si="95"/>
        <v>0</v>
      </c>
    </row>
    <row r="236" spans="1:30" ht="15">
      <c r="A236" s="1">
        <v>235</v>
      </c>
      <c r="B236" s="1">
        <f t="shared" si="103"/>
        <v>0</v>
      </c>
      <c r="C236" s="1">
        <f t="shared" si="91"/>
        <v>-0.20707571199752867</v>
      </c>
      <c r="D236" s="1">
        <f t="shared" si="96"/>
        <v>25.801447024633941</v>
      </c>
      <c r="E236">
        <v>59.27</v>
      </c>
      <c r="K236" s="1">
        <f>'Solar Availability and Gener GR'!F236</f>
        <v>5.9503249354580651E-2</v>
      </c>
      <c r="L236" s="1">
        <v>0.66914728682170543</v>
      </c>
      <c r="M236" s="1">
        <f t="shared" si="92"/>
        <v>-0.60964403746712481</v>
      </c>
      <c r="N236" s="1" t="str">
        <f t="shared" si="93"/>
        <v>Buy from Grid</v>
      </c>
      <c r="V236" s="1" t="str">
        <f t="shared" si="111"/>
        <v>discharge</v>
      </c>
      <c r="Y236" s="1">
        <f t="shared" si="90"/>
        <v>3.9660359689922479E-2</v>
      </c>
      <c r="AA236" s="1">
        <f t="shared" si="94"/>
        <v>79.497448312045563</v>
      </c>
      <c r="AD236" s="1">
        <f t="shared" si="95"/>
        <v>0</v>
      </c>
    </row>
    <row r="237" spans="1:30" ht="15">
      <c r="A237" s="1">
        <v>236</v>
      </c>
      <c r="B237" s="1">
        <f t="shared" si="103"/>
        <v>0</v>
      </c>
      <c r="C237" s="1">
        <f t="shared" si="91"/>
        <v>-0.60964403746712481</v>
      </c>
      <c r="D237" s="1">
        <f t="shared" si="96"/>
        <v>25.039391977800033</v>
      </c>
      <c r="E237">
        <v>59.27</v>
      </c>
      <c r="K237" s="1">
        <f>'Solar Availability and Gener GR'!F237</f>
        <v>0</v>
      </c>
      <c r="L237" s="1">
        <v>0.39891472868217059</v>
      </c>
      <c r="M237" s="1">
        <f t="shared" si="92"/>
        <v>-0.39891472868217059</v>
      </c>
      <c r="N237" s="1" t="str">
        <f t="shared" si="93"/>
        <v>Buy from Grid</v>
      </c>
      <c r="V237" s="1" t="str">
        <f t="shared" si="111"/>
        <v>discharge</v>
      </c>
      <c r="Y237" s="1">
        <f t="shared" si="90"/>
        <v>2.364367596899225E-2</v>
      </c>
      <c r="AA237" s="1">
        <f t="shared" si="94"/>
        <v>79.098533583363391</v>
      </c>
      <c r="AD237" s="1">
        <f t="shared" si="95"/>
        <v>0</v>
      </c>
    </row>
    <row r="238" spans="1:30" ht="15">
      <c r="A238" s="1">
        <v>237</v>
      </c>
      <c r="B238" s="1">
        <f t="shared" si="103"/>
        <v>0</v>
      </c>
      <c r="C238" s="1">
        <f t="shared" si="91"/>
        <v>-0.39891472868217059</v>
      </c>
      <c r="D238" s="1">
        <f t="shared" si="96"/>
        <v>24.540748566947318</v>
      </c>
      <c r="E238">
        <v>59.27</v>
      </c>
      <c r="K238" s="1">
        <f>'Solar Availability and Gener GR'!F238</f>
        <v>0</v>
      </c>
      <c r="L238" s="1">
        <v>0.39891472868217059</v>
      </c>
      <c r="M238" s="1">
        <f t="shared" si="92"/>
        <v>-0.39891472868217059</v>
      </c>
      <c r="N238" s="1" t="str">
        <f t="shared" si="93"/>
        <v>Buy from Grid</v>
      </c>
      <c r="V238" s="1" t="str">
        <f t="shared" si="111"/>
        <v>discharge</v>
      </c>
      <c r="Y238" s="1">
        <f t="shared" si="90"/>
        <v>2.364367596899225E-2</v>
      </c>
      <c r="AA238" s="1">
        <f t="shared" si="94"/>
        <v>78.699618854681219</v>
      </c>
      <c r="AD238" s="1">
        <f t="shared" si="95"/>
        <v>0</v>
      </c>
    </row>
    <row r="239" spans="1:30" ht="15">
      <c r="A239" s="1">
        <v>238</v>
      </c>
      <c r="B239" s="1">
        <f t="shared" si="103"/>
        <v>0</v>
      </c>
      <c r="C239" s="1">
        <f t="shared" si="91"/>
        <v>-0.39891472868217059</v>
      </c>
      <c r="D239" s="1">
        <f t="shared" si="96"/>
        <v>24.042105156094603</v>
      </c>
      <c r="E239">
        <v>59.27</v>
      </c>
      <c r="K239" s="1">
        <f>'Solar Availability and Gener GR'!F239</f>
        <v>0</v>
      </c>
      <c r="L239" s="1">
        <v>0.25736434108527134</v>
      </c>
      <c r="M239" s="1">
        <f t="shared" si="92"/>
        <v>-0.25736434108527134</v>
      </c>
      <c r="N239" s="1" t="str">
        <f t="shared" si="93"/>
        <v>Buy from Grid</v>
      </c>
      <c r="V239" s="1" t="str">
        <f t="shared" si="111"/>
        <v>discharge</v>
      </c>
      <c r="Y239" s="1">
        <f t="shared" si="90"/>
        <v>1.5253984496124034E-2</v>
      </c>
      <c r="AA239" s="1">
        <f t="shared" si="94"/>
        <v>78.442254513595941</v>
      </c>
      <c r="AD239" s="1">
        <f t="shared" si="95"/>
        <v>0</v>
      </c>
    </row>
    <row r="240" spans="1:30" ht="15">
      <c r="A240" s="1">
        <v>239</v>
      </c>
      <c r="B240" s="1">
        <f t="shared" si="103"/>
        <v>0</v>
      </c>
      <c r="C240" s="1">
        <f t="shared" si="91"/>
        <v>-0.25736434108527134</v>
      </c>
      <c r="D240" s="1">
        <f t="shared" si="96"/>
        <v>23.720399729738013</v>
      </c>
      <c r="E240">
        <v>59.27</v>
      </c>
      <c r="K240" s="1">
        <f>'Solar Availability and Gener GR'!F240</f>
        <v>0</v>
      </c>
      <c r="L240" s="1">
        <v>0.25736434108527134</v>
      </c>
      <c r="M240" s="1">
        <f t="shared" si="92"/>
        <v>-0.25736434108527134</v>
      </c>
      <c r="N240" s="1" t="str">
        <f t="shared" si="93"/>
        <v>Buy from Grid</v>
      </c>
      <c r="V240" s="1" t="str">
        <f t="shared" si="111"/>
        <v>discharge</v>
      </c>
      <c r="Y240" s="1">
        <f t="shared" si="90"/>
        <v>1.5253984496124034E-2</v>
      </c>
      <c r="AA240" s="1">
        <f t="shared" si="94"/>
        <v>78.184890172510663</v>
      </c>
      <c r="AD240" s="1">
        <f t="shared" si="95"/>
        <v>0</v>
      </c>
    </row>
    <row r="241" spans="1:30" ht="15">
      <c r="A241" s="1">
        <v>240</v>
      </c>
      <c r="B241" s="1">
        <f t="shared" si="103"/>
        <v>0</v>
      </c>
      <c r="C241" s="1">
        <f t="shared" si="91"/>
        <v>-0.25736434108527134</v>
      </c>
      <c r="D241" s="1">
        <f t="shared" si="96"/>
        <v>23.398694303381422</v>
      </c>
      <c r="E241">
        <v>59.27</v>
      </c>
      <c r="K241" s="1">
        <f>'Solar Availability and Gener GR'!F241</f>
        <v>0</v>
      </c>
      <c r="L241" s="1">
        <v>0.19302325581395352</v>
      </c>
      <c r="M241" s="1">
        <f t="shared" si="92"/>
        <v>-0.19302325581395352</v>
      </c>
      <c r="N241" s="1" t="str">
        <f t="shared" si="93"/>
        <v>Buy from Grid</v>
      </c>
      <c r="V241" s="1" t="str">
        <f t="shared" si="111"/>
        <v>discharge</v>
      </c>
      <c r="Y241" s="1">
        <f t="shared" si="90"/>
        <v>1.1440488372093025E-2</v>
      </c>
      <c r="AA241" s="1">
        <f t="shared" si="94"/>
        <v>77.991866916696708</v>
      </c>
      <c r="AD241" s="1">
        <f t="shared" si="95"/>
        <v>0</v>
      </c>
    </row>
    <row r="242" spans="1:30" ht="15">
      <c r="A242" s="1">
        <v>241</v>
      </c>
      <c r="B242" s="1">
        <f t="shared" si="103"/>
        <v>0</v>
      </c>
      <c r="C242" s="1">
        <f t="shared" si="91"/>
        <v>-0.19302325581395352</v>
      </c>
      <c r="D242" s="1">
        <f t="shared" si="96"/>
        <v>23.157415233613982</v>
      </c>
      <c r="E242">
        <v>59.27</v>
      </c>
      <c r="K242" s="1">
        <f>'Solar Availability and Gener GR'!F242</f>
        <v>0</v>
      </c>
      <c r="L242" s="1">
        <v>0.19302325581395352</v>
      </c>
      <c r="M242" s="1">
        <f t="shared" si="92"/>
        <v>-0.19302325581395352</v>
      </c>
      <c r="N242" s="1" t="str">
        <f t="shared" si="93"/>
        <v>Buy from Grid</v>
      </c>
      <c r="V242" s="1" t="str">
        <f t="shared" si="111"/>
        <v>discharge</v>
      </c>
      <c r="Y242" s="1">
        <f t="shared" si="90"/>
        <v>1.1440488372093025E-2</v>
      </c>
      <c r="AA242" s="1">
        <f t="shared" si="94"/>
        <v>77.798843660882753</v>
      </c>
      <c r="AD242" s="1">
        <f t="shared" si="95"/>
        <v>0</v>
      </c>
    </row>
    <row r="243" spans="1:30" ht="15">
      <c r="A243" s="1">
        <v>242</v>
      </c>
      <c r="B243" s="1">
        <f t="shared" si="103"/>
        <v>0</v>
      </c>
      <c r="C243" s="1">
        <f t="shared" si="91"/>
        <v>-0.19302325581395352</v>
      </c>
      <c r="D243" s="1">
        <f t="shared" si="96"/>
        <v>22.916136163846542</v>
      </c>
      <c r="E243">
        <v>59.27</v>
      </c>
      <c r="K243" s="1">
        <f>'Solar Availability and Gener GR'!F243</f>
        <v>0</v>
      </c>
      <c r="L243" s="1">
        <v>0.19302325581395352</v>
      </c>
      <c r="M243" s="1">
        <f t="shared" si="92"/>
        <v>-0.19302325581395352</v>
      </c>
      <c r="N243" s="1" t="str">
        <f t="shared" si="93"/>
        <v>Buy from Grid</v>
      </c>
      <c r="V243" s="1" t="str">
        <f t="shared" si="111"/>
        <v>discharge</v>
      </c>
      <c r="Y243" s="1">
        <f t="shared" si="90"/>
        <v>1.1440488372093025E-2</v>
      </c>
      <c r="AA243" s="1">
        <f t="shared" si="94"/>
        <v>77.605820405068798</v>
      </c>
      <c r="AD243" s="1">
        <f t="shared" si="95"/>
        <v>0</v>
      </c>
    </row>
    <row r="244" spans="1:30" ht="15">
      <c r="A244" s="1">
        <v>243</v>
      </c>
      <c r="B244" s="1">
        <f t="shared" si="103"/>
        <v>0</v>
      </c>
      <c r="C244" s="1">
        <f t="shared" si="91"/>
        <v>-0.19302325581395352</v>
      </c>
      <c r="D244" s="1">
        <f t="shared" si="96"/>
        <v>22.674857094079101</v>
      </c>
      <c r="E244">
        <v>59.27</v>
      </c>
      <c r="K244" s="1">
        <f>'Solar Availability and Gener GR'!F244</f>
        <v>0</v>
      </c>
      <c r="L244" s="1">
        <v>0.19302325581395352</v>
      </c>
      <c r="M244" s="1">
        <f t="shared" si="92"/>
        <v>-0.19302325581395352</v>
      </c>
      <c r="N244" s="1" t="str">
        <f t="shared" si="93"/>
        <v>Buy from Grid</v>
      </c>
      <c r="V244" s="1" t="str">
        <f t="shared" si="111"/>
        <v>discharge</v>
      </c>
      <c r="Y244" s="1">
        <f t="shared" si="90"/>
        <v>1.1440488372093025E-2</v>
      </c>
      <c r="AA244" s="1">
        <f t="shared" si="94"/>
        <v>77.412797149254843</v>
      </c>
      <c r="AD244" s="1">
        <f t="shared" si="95"/>
        <v>0</v>
      </c>
    </row>
    <row r="245" spans="1:30" ht="15">
      <c r="A245" s="1">
        <v>244</v>
      </c>
      <c r="B245" s="1">
        <f t="shared" si="103"/>
        <v>0</v>
      </c>
      <c r="C245" s="1">
        <f t="shared" si="91"/>
        <v>-0.19302325581395352</v>
      </c>
      <c r="D245" s="1">
        <f t="shared" si="96"/>
        <v>22.433578024311661</v>
      </c>
      <c r="E245">
        <v>59.27</v>
      </c>
      <c r="K245" s="1">
        <f>'Solar Availability and Gener GR'!F245</f>
        <v>0</v>
      </c>
      <c r="L245" s="1">
        <v>0.19302325581395352</v>
      </c>
      <c r="M245" s="1">
        <f t="shared" si="92"/>
        <v>-0.19302325581395352</v>
      </c>
      <c r="N245" s="1" t="str">
        <f t="shared" si="93"/>
        <v>Buy from Grid</v>
      </c>
      <c r="V245" s="1" t="str">
        <f t="shared" si="111"/>
        <v>discharge</v>
      </c>
      <c r="Y245" s="1">
        <f t="shared" si="90"/>
        <v>1.1440488372093025E-2</v>
      </c>
      <c r="AA245" s="1">
        <f t="shared" si="94"/>
        <v>77.219773893440887</v>
      </c>
      <c r="AD245" s="1">
        <f t="shared" si="95"/>
        <v>0</v>
      </c>
    </row>
    <row r="246" spans="1:30" ht="15">
      <c r="A246" s="1">
        <v>245</v>
      </c>
      <c r="B246" s="1">
        <f t="shared" si="103"/>
        <v>0</v>
      </c>
      <c r="C246" s="1">
        <f t="shared" si="91"/>
        <v>-0.19302325581395352</v>
      </c>
      <c r="D246" s="1">
        <f t="shared" si="96"/>
        <v>22.192298954544221</v>
      </c>
      <c r="E246">
        <v>59.27</v>
      </c>
      <c r="K246" s="1">
        <f>'Solar Availability and Gener GR'!F246</f>
        <v>0</v>
      </c>
      <c r="L246" s="1">
        <v>0.19302325581395352</v>
      </c>
      <c r="M246" s="1">
        <f t="shared" si="92"/>
        <v>-0.19302325581395352</v>
      </c>
      <c r="N246" s="1" t="str">
        <f t="shared" si="93"/>
        <v>Buy from Grid</v>
      </c>
      <c r="V246" s="1" t="str">
        <f t="shared" si="111"/>
        <v>discharge</v>
      </c>
      <c r="Y246" s="1">
        <f t="shared" si="90"/>
        <v>1.1440488372093025E-2</v>
      </c>
      <c r="AA246" s="1">
        <f t="shared" si="94"/>
        <v>77.026750637626932</v>
      </c>
      <c r="AD246" s="1">
        <f t="shared" si="95"/>
        <v>0</v>
      </c>
    </row>
    <row r="247" spans="1:30" ht="15">
      <c r="A247" s="1">
        <v>246</v>
      </c>
      <c r="B247" s="1">
        <f t="shared" si="103"/>
        <v>0</v>
      </c>
      <c r="C247" s="1">
        <f t="shared" si="91"/>
        <v>-0.19302325581395352</v>
      </c>
      <c r="D247" s="1">
        <f t="shared" si="96"/>
        <v>21.95101988477678</v>
      </c>
      <c r="E247">
        <v>59.27</v>
      </c>
      <c r="K247" s="1">
        <f>'Solar Availability and Gener GR'!F247</f>
        <v>0</v>
      </c>
      <c r="L247" s="1">
        <v>0.25736434108527134</v>
      </c>
      <c r="M247" s="1">
        <f t="shared" si="92"/>
        <v>-0.25736434108527134</v>
      </c>
      <c r="N247" s="1" t="str">
        <f t="shared" si="93"/>
        <v>Buy from Grid</v>
      </c>
      <c r="V247" s="1" t="str">
        <f t="shared" si="111"/>
        <v>discharge</v>
      </c>
      <c r="Y247" s="1">
        <f t="shared" si="90"/>
        <v>1.5253984496124034E-2</v>
      </c>
      <c r="AA247" s="1">
        <f t="shared" si="94"/>
        <v>76.769386296541654</v>
      </c>
      <c r="AD247" s="1">
        <f t="shared" si="95"/>
        <v>0</v>
      </c>
    </row>
    <row r="248" spans="1:30" ht="15">
      <c r="A248" s="1">
        <v>247</v>
      </c>
      <c r="B248" s="1">
        <f t="shared" si="103"/>
        <v>0</v>
      </c>
      <c r="C248" s="1">
        <f t="shared" si="91"/>
        <v>-0.25736434108527134</v>
      </c>
      <c r="D248" s="1">
        <f t="shared" si="96"/>
        <v>21.62931445842019</v>
      </c>
      <c r="E248">
        <v>59.27</v>
      </c>
      <c r="K248" s="1">
        <f>'Solar Availability and Gener GR'!F248</f>
        <v>1.6611768895219918E-2</v>
      </c>
      <c r="L248" s="1">
        <v>0.66914728682170543</v>
      </c>
      <c r="M248" s="1">
        <f t="shared" si="92"/>
        <v>-0.65253551792648556</v>
      </c>
      <c r="N248" s="1" t="str">
        <f t="shared" si="93"/>
        <v>Buy from Grid</v>
      </c>
      <c r="V248" s="1" t="str">
        <f t="shared" si="111"/>
        <v>discharge</v>
      </c>
      <c r="Y248" s="1">
        <f t="shared" si="90"/>
        <v>3.9660359689922479E-2</v>
      </c>
      <c r="AA248" s="1">
        <f t="shared" si="94"/>
        <v>76.116850778615174</v>
      </c>
      <c r="AD248" s="1">
        <f t="shared" si="95"/>
        <v>0</v>
      </c>
    </row>
    <row r="249" spans="1:30" ht="15">
      <c r="A249" s="1">
        <v>248</v>
      </c>
      <c r="B249" s="1">
        <f t="shared" si="103"/>
        <v>0</v>
      </c>
      <c r="C249" s="1">
        <f t="shared" si="91"/>
        <v>-0.65253551792648556</v>
      </c>
      <c r="D249" s="1">
        <f t="shared" si="96"/>
        <v>20.813645061012082</v>
      </c>
      <c r="E249">
        <v>59.27</v>
      </c>
      <c r="K249" s="1">
        <f>'Solar Availability and Gener GR'!F249</f>
        <v>2.5785631621116648E-2</v>
      </c>
      <c r="L249" s="1">
        <v>0.39891472868217059</v>
      </c>
      <c r="M249" s="1">
        <f t="shared" si="92"/>
        <v>-0.37312909706105396</v>
      </c>
      <c r="N249" s="1" t="str">
        <f t="shared" si="93"/>
        <v>Buy from Grid</v>
      </c>
      <c r="V249" s="1" t="str">
        <f t="shared" si="111"/>
        <v>discharge</v>
      </c>
      <c r="Y249" s="1">
        <f t="shared" si="90"/>
        <v>2.364367596899225E-2</v>
      </c>
      <c r="AA249" s="1">
        <f t="shared" si="94"/>
        <v>75.743721681554121</v>
      </c>
      <c r="AD249" s="1">
        <f t="shared" si="95"/>
        <v>0</v>
      </c>
    </row>
    <row r="250" spans="1:30" ht="15">
      <c r="A250" s="1">
        <v>249</v>
      </c>
      <c r="B250" s="1">
        <f t="shared" si="103"/>
        <v>0</v>
      </c>
      <c r="C250" s="1">
        <f t="shared" si="91"/>
        <v>-0.37312909706105396</v>
      </c>
      <c r="D250" s="1">
        <f t="shared" si="96"/>
        <v>20.347233689685766</v>
      </c>
      <c r="E250">
        <v>59.27</v>
      </c>
      <c r="K250" s="1">
        <f>'Solar Availability and Gener GR'!F250</f>
        <v>7.3257366687438957E-2</v>
      </c>
      <c r="L250" s="1">
        <v>0.39891472868217059</v>
      </c>
      <c r="M250" s="1">
        <f t="shared" si="92"/>
        <v>-0.32565736199473161</v>
      </c>
      <c r="N250" s="1" t="str">
        <f t="shared" si="93"/>
        <v>Buy from Grid</v>
      </c>
      <c r="V250" s="1" t="str">
        <f t="shared" si="111"/>
        <v>discharge</v>
      </c>
      <c r="Y250" s="1">
        <f t="shared" si="90"/>
        <v>2.364367596899225E-2</v>
      </c>
      <c r="AA250" s="1">
        <f t="shared" si="94"/>
        <v>75.418064319559392</v>
      </c>
      <c r="AD250" s="1">
        <f t="shared" si="95"/>
        <v>0</v>
      </c>
    </row>
    <row r="251" spans="1:30" ht="15">
      <c r="A251" s="1">
        <v>250</v>
      </c>
      <c r="B251" s="1">
        <f t="shared" si="103"/>
        <v>0</v>
      </c>
      <c r="C251" s="1">
        <f t="shared" si="91"/>
        <v>-0.32565736199473161</v>
      </c>
      <c r="D251" s="1">
        <f t="shared" si="96"/>
        <v>19.940161987192351</v>
      </c>
      <c r="E251">
        <v>59.27</v>
      </c>
      <c r="K251" s="1">
        <f>'Solar Availability and Gener GR'!F251</f>
        <v>0.36966527196652443</v>
      </c>
      <c r="L251" s="1">
        <v>0.39891472868217059</v>
      </c>
      <c r="M251" s="1">
        <f t="shared" si="92"/>
        <v>-2.924945671564616E-2</v>
      </c>
      <c r="N251" s="1" t="str">
        <f t="shared" si="93"/>
        <v>Buy from Grid</v>
      </c>
      <c r="V251" s="1" t="str">
        <f t="shared" si="111"/>
        <v>discharge</v>
      </c>
      <c r="Y251" s="1">
        <f t="shared" si="90"/>
        <v>2.364367596899225E-2</v>
      </c>
      <c r="AA251" s="1">
        <f t="shared" si="94"/>
        <v>75.388814862843745</v>
      </c>
      <c r="AD251" s="1">
        <f t="shared" si="95"/>
        <v>0</v>
      </c>
    </row>
    <row r="252" spans="1:30" ht="15">
      <c r="A252" s="1">
        <v>251</v>
      </c>
      <c r="B252" s="1">
        <f t="shared" si="103"/>
        <v>0</v>
      </c>
      <c r="C252" s="1">
        <f t="shared" si="91"/>
        <v>-2.924945671564616E-2</v>
      </c>
      <c r="D252" s="1">
        <f t="shared" si="96"/>
        <v>19.903600166297792</v>
      </c>
      <c r="E252">
        <v>59.27</v>
      </c>
      <c r="K252" s="1">
        <f>'Solar Availability and Gener GR'!F252</f>
        <v>0.79054126235199706</v>
      </c>
      <c r="L252" s="1">
        <v>0.39891472868217059</v>
      </c>
      <c r="M252" s="1">
        <f t="shared" si="92"/>
        <v>0.39162653366982647</v>
      </c>
      <c r="N252" s="1" t="str">
        <f t="shared" si="93"/>
        <v>sell the surplus or charge</v>
      </c>
      <c r="O252" s="1">
        <v>0.25</v>
      </c>
      <c r="P252" s="1">
        <f t="shared" ref="P252:P257" si="112">0.25/L252</f>
        <v>0.62670034978624167</v>
      </c>
      <c r="Q252" s="1">
        <f t="shared" ref="Q252:Q257" si="113">K252-P252*L252</f>
        <v>0.54054126235199706</v>
      </c>
      <c r="R252" s="1">
        <f t="shared" ref="R252:R257" si="114">((1/(E252+0.01))*LN(0.25))+(E252*(K252-0.25))</f>
        <v>32.014495087195314</v>
      </c>
      <c r="S252" s="1">
        <f t="shared" ref="S252:S257" si="115">((1/(E252+0.01))*LN(L252))+(E252*(K252-L252))</f>
        <v>23.196201823392194</v>
      </c>
      <c r="T252" s="1">
        <f t="shared" ref="T252:T257" si="116">(S252+((S252^2)-4*(K252-L252*P252)*LN(L252*P252))^(0.5))/(2*(K252-L252*P252))</f>
        <v>42.972596920217399</v>
      </c>
      <c r="U252" s="1" t="str">
        <f t="shared" ref="U252:U257" si="117">IF(E252&gt;=T252*1.1,"sell to the Grid","charge")</f>
        <v>sell to the Grid</v>
      </c>
      <c r="W252" s="1">
        <f t="shared" ref="W252:W257" si="118">(Q252*E252)/1000</f>
        <v>3.2037880619602867E-2</v>
      </c>
      <c r="Y252" s="1">
        <f t="shared" si="90"/>
        <v>2.364367596899225E-2</v>
      </c>
      <c r="AA252" s="1">
        <f t="shared" si="94"/>
        <v>75.780441396513567</v>
      </c>
      <c r="AD252" s="1">
        <f t="shared" si="95"/>
        <v>0.25</v>
      </c>
    </row>
    <row r="253" spans="1:30" ht="15">
      <c r="A253" s="1">
        <v>252</v>
      </c>
      <c r="B253" s="1">
        <f t="shared" si="103"/>
        <v>0</v>
      </c>
      <c r="C253" s="1">
        <f t="shared" si="91"/>
        <v>0</v>
      </c>
      <c r="D253" s="1">
        <f t="shared" si="96"/>
        <v>19.903600166297792</v>
      </c>
      <c r="E253">
        <v>59.27</v>
      </c>
      <c r="K253" s="1">
        <f>'Solar Availability and Gener GR'!F253</f>
        <v>1.3741431496483572</v>
      </c>
      <c r="L253" s="1">
        <v>0.39891472868217059</v>
      </c>
      <c r="M253" s="1">
        <f t="shared" si="92"/>
        <v>0.97522842096618656</v>
      </c>
      <c r="N253" s="1" t="str">
        <f t="shared" si="93"/>
        <v>sell the surplus or charge</v>
      </c>
      <c r="O253" s="1">
        <v>0.25</v>
      </c>
      <c r="P253" s="1">
        <f t="shared" si="112"/>
        <v>0.62670034978624167</v>
      </c>
      <c r="Q253" s="1">
        <f t="shared" si="113"/>
        <v>1.1241431496483572</v>
      </c>
      <c r="R253" s="1">
        <f t="shared" si="114"/>
        <v>66.604578947250573</v>
      </c>
      <c r="S253" s="1">
        <f t="shared" si="115"/>
        <v>57.78628568344746</v>
      </c>
      <c r="T253" s="1">
        <f t="shared" si="116"/>
        <v>51.42871826266893</v>
      </c>
      <c r="U253" s="1" t="str">
        <f t="shared" si="117"/>
        <v>sell to the Grid</v>
      </c>
      <c r="W253" s="1">
        <f t="shared" si="118"/>
        <v>6.6627964479658131E-2</v>
      </c>
      <c r="Y253" s="1">
        <f t="shared" si="90"/>
        <v>2.364367596899225E-2</v>
      </c>
      <c r="AA253" s="1">
        <f t="shared" si="94"/>
        <v>76.755669817479756</v>
      </c>
      <c r="AD253" s="1">
        <f t="shared" si="95"/>
        <v>0.25</v>
      </c>
    </row>
    <row r="254" spans="1:30" ht="15">
      <c r="A254" s="1">
        <v>253</v>
      </c>
      <c r="B254" s="1">
        <f t="shared" si="103"/>
        <v>0</v>
      </c>
      <c r="C254" s="1">
        <f t="shared" si="91"/>
        <v>0</v>
      </c>
      <c r="D254" s="1">
        <f t="shared" si="96"/>
        <v>19.903600166297792</v>
      </c>
      <c r="E254">
        <v>59.27</v>
      </c>
      <c r="K254" s="1">
        <f>'Solar Availability and Gener GR'!F254</f>
        <v>1.5444</v>
      </c>
      <c r="L254" s="1">
        <v>0.39891472868217059</v>
      </c>
      <c r="M254" s="1">
        <f t="shared" si="92"/>
        <v>1.1454852713178294</v>
      </c>
      <c r="N254" s="1" t="str">
        <f t="shared" si="93"/>
        <v>sell the surplus or charge</v>
      </c>
      <c r="O254" s="1">
        <v>0.25</v>
      </c>
      <c r="P254" s="1">
        <f t="shared" si="112"/>
        <v>0.62670034978624167</v>
      </c>
      <c r="Q254" s="1">
        <f t="shared" si="113"/>
        <v>1.2944</v>
      </c>
      <c r="R254" s="1">
        <f t="shared" si="114"/>
        <v>76.69570246759244</v>
      </c>
      <c r="S254" s="1">
        <f t="shared" si="115"/>
        <v>67.877409203789327</v>
      </c>
      <c r="T254" s="1">
        <f t="shared" si="116"/>
        <v>52.459699548758564</v>
      </c>
      <c r="U254" s="1" t="str">
        <f t="shared" si="117"/>
        <v>sell to the Grid</v>
      </c>
      <c r="W254" s="1">
        <f t="shared" si="118"/>
        <v>7.6719088000000005E-2</v>
      </c>
      <c r="Y254" s="1">
        <f t="shared" si="90"/>
        <v>2.364367596899225E-2</v>
      </c>
      <c r="AA254" s="1">
        <f t="shared" si="94"/>
        <v>77.90115508879758</v>
      </c>
      <c r="AD254" s="1">
        <f t="shared" si="95"/>
        <v>0.25</v>
      </c>
    </row>
    <row r="255" spans="1:30" ht="15">
      <c r="A255" s="1">
        <v>254</v>
      </c>
      <c r="B255" s="1">
        <f t="shared" si="103"/>
        <v>0</v>
      </c>
      <c r="C255" s="1">
        <f t="shared" si="91"/>
        <v>0</v>
      </c>
      <c r="D255" s="1">
        <f t="shared" si="96"/>
        <v>19.903600166297792</v>
      </c>
      <c r="E255">
        <v>59.27</v>
      </c>
      <c r="K255" s="1">
        <f>'Solar Availability and Gener GR'!F255</f>
        <v>1.5456423039259319</v>
      </c>
      <c r="L255" s="1">
        <v>0.39891472868217059</v>
      </c>
      <c r="M255" s="1">
        <f t="shared" si="92"/>
        <v>1.1467275752437613</v>
      </c>
      <c r="N255" s="1" t="str">
        <f t="shared" si="93"/>
        <v>sell the surplus or charge</v>
      </c>
      <c r="O255" s="1">
        <v>0.25</v>
      </c>
      <c r="P255" s="1">
        <f t="shared" si="112"/>
        <v>0.62670034978624167</v>
      </c>
      <c r="Q255" s="1">
        <f t="shared" si="113"/>
        <v>1.2956423039259319</v>
      </c>
      <c r="R255" s="1">
        <f t="shared" si="114"/>
        <v>76.76933382128243</v>
      </c>
      <c r="S255" s="1">
        <f t="shared" si="115"/>
        <v>67.951040557479317</v>
      </c>
      <c r="T255" s="1">
        <f t="shared" si="116"/>
        <v>52.466226948549355</v>
      </c>
      <c r="U255" s="1" t="str">
        <f t="shared" si="117"/>
        <v>sell to the Grid</v>
      </c>
      <c r="W255" s="1">
        <f t="shared" si="118"/>
        <v>7.6792719353689989E-2</v>
      </c>
      <c r="Y255" s="1">
        <f t="shared" si="90"/>
        <v>2.364367596899225E-2</v>
      </c>
      <c r="AA255" s="1">
        <f t="shared" si="94"/>
        <v>79.047882664041339</v>
      </c>
      <c r="AD255" s="1">
        <f t="shared" si="95"/>
        <v>0.25</v>
      </c>
    </row>
    <row r="256" spans="1:30" ht="15">
      <c r="A256" s="1">
        <v>255</v>
      </c>
      <c r="B256" s="1">
        <f t="shared" si="103"/>
        <v>0</v>
      </c>
      <c r="C256" s="1">
        <f t="shared" si="91"/>
        <v>0</v>
      </c>
      <c r="D256" s="1">
        <f t="shared" si="96"/>
        <v>19.903600166297792</v>
      </c>
      <c r="E256">
        <v>59.27</v>
      </c>
      <c r="K256" s="1">
        <f>'Solar Availability and Gener GR'!F256</f>
        <v>1.4303347280334719</v>
      </c>
      <c r="L256" s="1">
        <v>0.39891472868217059</v>
      </c>
      <c r="M256" s="1">
        <f t="shared" si="92"/>
        <v>1.0314199993513014</v>
      </c>
      <c r="N256" s="1" t="str">
        <f t="shared" si="93"/>
        <v>sell the surplus or charge</v>
      </c>
      <c r="O256" s="1">
        <v>0.25</v>
      </c>
      <c r="P256" s="1">
        <f t="shared" si="112"/>
        <v>0.62670034978624167</v>
      </c>
      <c r="Q256" s="1">
        <f t="shared" si="113"/>
        <v>1.1803347280334719</v>
      </c>
      <c r="R256" s="1">
        <f t="shared" si="114"/>
        <v>69.935053798136323</v>
      </c>
      <c r="S256" s="1">
        <f t="shared" si="115"/>
        <v>61.116760534333217</v>
      </c>
      <c r="T256" s="1">
        <f t="shared" si="116"/>
        <v>51.801849565219698</v>
      </c>
      <c r="U256" s="1" t="str">
        <f t="shared" si="117"/>
        <v>sell to the Grid</v>
      </c>
      <c r="W256" s="1">
        <f t="shared" si="118"/>
        <v>6.9958439330543881E-2</v>
      </c>
      <c r="Y256" s="1">
        <f t="shared" si="90"/>
        <v>2.364367596899225E-2</v>
      </c>
      <c r="AA256" s="1">
        <f t="shared" si="94"/>
        <v>80.079302663392639</v>
      </c>
      <c r="AD256" s="1">
        <f t="shared" si="95"/>
        <v>0.25</v>
      </c>
    </row>
    <row r="257" spans="1:30" ht="15">
      <c r="A257" s="1">
        <v>256</v>
      </c>
      <c r="B257" s="1">
        <f t="shared" si="103"/>
        <v>0</v>
      </c>
      <c r="C257" s="1">
        <f t="shared" si="91"/>
        <v>0</v>
      </c>
      <c r="D257" s="1">
        <f t="shared" si="96"/>
        <v>19.903600166297792</v>
      </c>
      <c r="E257">
        <v>59.27</v>
      </c>
      <c r="K257" s="1">
        <f>'Solar Availability and Gener GR'!F257</f>
        <v>1.1235244369269095</v>
      </c>
      <c r="L257" s="1">
        <v>0.66914728682170543</v>
      </c>
      <c r="M257" s="1">
        <f t="shared" si="92"/>
        <v>0.45437715010520408</v>
      </c>
      <c r="N257" s="1" t="str">
        <f t="shared" si="93"/>
        <v>sell the surplus or charge</v>
      </c>
      <c r="O257" s="1">
        <v>0.25</v>
      </c>
      <c r="P257" s="1">
        <f t="shared" si="112"/>
        <v>0.3736098239110287</v>
      </c>
      <c r="Q257" s="1">
        <f t="shared" si="113"/>
        <v>0.87352443692690951</v>
      </c>
      <c r="R257" s="1">
        <f t="shared" si="114"/>
        <v>51.750407844250375</v>
      </c>
      <c r="S257" s="1">
        <f t="shared" si="115"/>
        <v>26.924156509215006</v>
      </c>
      <c r="T257" s="1">
        <f t="shared" si="116"/>
        <v>30.87384539060935</v>
      </c>
      <c r="U257" s="1" t="str">
        <f t="shared" si="117"/>
        <v>sell to the Grid</v>
      </c>
      <c r="W257" s="1">
        <f t="shared" si="118"/>
        <v>5.1773793376657926E-2</v>
      </c>
      <c r="Y257" s="1">
        <f t="shared" si="90"/>
        <v>3.9660359689922479E-2</v>
      </c>
      <c r="AA257" s="1">
        <f t="shared" si="94"/>
        <v>80.533679813497841</v>
      </c>
      <c r="AD257" s="1">
        <f t="shared" si="95"/>
        <v>0.25</v>
      </c>
    </row>
    <row r="258" spans="1:30" ht="15">
      <c r="A258" s="1">
        <v>257</v>
      </c>
      <c r="B258" s="1">
        <f t="shared" si="103"/>
        <v>0</v>
      </c>
      <c r="C258" s="1">
        <f t="shared" si="91"/>
        <v>0</v>
      </c>
      <c r="D258" s="1">
        <f t="shared" si="96"/>
        <v>19.903600166297792</v>
      </c>
      <c r="E258">
        <v>59.27</v>
      </c>
      <c r="K258" s="1">
        <f>'Solar Availability and Gener GR'!F258</f>
        <v>0.64438707380040716</v>
      </c>
      <c r="L258" s="1">
        <v>0.66914728682170543</v>
      </c>
      <c r="M258" s="1">
        <f t="shared" si="92"/>
        <v>-2.4760213021298272E-2</v>
      </c>
      <c r="N258" s="1" t="str">
        <f t="shared" si="93"/>
        <v>Buy from Grid</v>
      </c>
      <c r="V258" s="1" t="str">
        <f t="shared" ref="V258:V275" si="119">IF(D258+M258&gt;0,"discharge","buy from the Grid")</f>
        <v>discharge</v>
      </c>
      <c r="Y258" s="1">
        <f t="shared" ref="Y258:Y289" si="120">(L258*E258)/1000</f>
        <v>3.9660359689922479E-2</v>
      </c>
      <c r="AA258" s="1">
        <f t="shared" si="94"/>
        <v>80.508919600476545</v>
      </c>
      <c r="AD258" s="1">
        <f t="shared" si="95"/>
        <v>0</v>
      </c>
    </row>
    <row r="259" spans="1:30" ht="15">
      <c r="A259" s="1">
        <v>258</v>
      </c>
      <c r="B259" s="1">
        <f t="shared" si="103"/>
        <v>0</v>
      </c>
      <c r="C259" s="1">
        <f t="shared" ref="C259:C289" si="121">IF(V258="discharge",M258,0)</f>
        <v>-2.4760213021298272E-2</v>
      </c>
      <c r="D259" s="1">
        <f t="shared" si="96"/>
        <v>19.87264990002117</v>
      </c>
      <c r="E259">
        <v>59.27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22">K259-L259</f>
        <v>-0.4655997038073727</v>
      </c>
      <c r="N259" s="1" t="str">
        <f t="shared" ref="N259:N289" si="123">IF(M259&lt;0,"Buy from Grid","sell the surplus or charge")</f>
        <v>Buy from Grid</v>
      </c>
      <c r="V259" s="1" t="str">
        <f t="shared" si="119"/>
        <v>discharge</v>
      </c>
      <c r="Y259" s="1">
        <f t="shared" si="120"/>
        <v>3.9660359689922479E-2</v>
      </c>
      <c r="AA259" s="1">
        <f t="shared" ref="AA259:AA289" si="124">M259+AA258</f>
        <v>80.043319896669175</v>
      </c>
      <c r="AD259" s="1">
        <f t="shared" ref="AD259:AD289" si="125">AC259+O259</f>
        <v>0</v>
      </c>
    </row>
    <row r="260" spans="1:30" ht="15">
      <c r="A260" s="1">
        <v>259</v>
      </c>
      <c r="B260" s="1">
        <f t="shared" si="103"/>
        <v>0</v>
      </c>
      <c r="C260" s="1">
        <f t="shared" si="121"/>
        <v>-0.4655997038073727</v>
      </c>
      <c r="D260" s="1">
        <f t="shared" ref="D260:D289" si="126">(D259)+(B260*0.8)+(C260/0.8)</f>
        <v>19.290650270261953</v>
      </c>
      <c r="E260">
        <v>59.27</v>
      </c>
      <c r="K260" s="1">
        <f>'Solar Availability and Gener GR'!F260</f>
        <v>2.1205377014155053E-2</v>
      </c>
      <c r="L260" s="1">
        <v>0.66914728682170543</v>
      </c>
      <c r="M260" s="1">
        <f t="shared" si="122"/>
        <v>-0.6479419098075504</v>
      </c>
      <c r="N260" s="1" t="str">
        <f t="shared" si="123"/>
        <v>Buy from Grid</v>
      </c>
      <c r="V260" s="1" t="str">
        <f t="shared" si="119"/>
        <v>discharge</v>
      </c>
      <c r="Y260" s="1">
        <f t="shared" si="120"/>
        <v>3.9660359689922479E-2</v>
      </c>
      <c r="AA260" s="1">
        <f t="shared" si="124"/>
        <v>79.395377986861618</v>
      </c>
      <c r="AD260" s="1">
        <f t="shared" si="125"/>
        <v>0</v>
      </c>
    </row>
    <row r="261" spans="1:30" ht="15">
      <c r="A261" s="1">
        <v>260</v>
      </c>
      <c r="B261" s="1">
        <f t="shared" si="103"/>
        <v>0</v>
      </c>
      <c r="C261" s="1">
        <f t="shared" si="121"/>
        <v>-0.6479419098075504</v>
      </c>
      <c r="D261" s="1">
        <f t="shared" si="126"/>
        <v>18.480722883002514</v>
      </c>
      <c r="E261">
        <v>59.27</v>
      </c>
      <c r="K261" s="1">
        <f>'Solar Availability and Gener GR'!F261</f>
        <v>0</v>
      </c>
      <c r="L261" s="1">
        <v>0.39891472868217059</v>
      </c>
      <c r="M261" s="1">
        <f t="shared" si="122"/>
        <v>-0.39891472868217059</v>
      </c>
      <c r="N261" s="1" t="str">
        <f t="shared" si="123"/>
        <v>Buy from Grid</v>
      </c>
      <c r="V261" s="1" t="str">
        <f t="shared" si="119"/>
        <v>discharge</v>
      </c>
      <c r="Y261" s="1">
        <f t="shared" si="120"/>
        <v>2.364367596899225E-2</v>
      </c>
      <c r="AA261" s="1">
        <f t="shared" si="124"/>
        <v>78.996463258179446</v>
      </c>
      <c r="AD261" s="1">
        <f t="shared" si="125"/>
        <v>0</v>
      </c>
    </row>
    <row r="262" spans="1:30" ht="15">
      <c r="A262" s="1">
        <v>261</v>
      </c>
      <c r="B262" s="1">
        <f t="shared" si="103"/>
        <v>0</v>
      </c>
      <c r="C262" s="1">
        <f t="shared" si="121"/>
        <v>-0.39891472868217059</v>
      </c>
      <c r="D262" s="1">
        <f t="shared" si="126"/>
        <v>17.982079472149799</v>
      </c>
      <c r="E262">
        <v>59.27</v>
      </c>
      <c r="K262" s="1">
        <f>'Solar Availability and Gener GR'!F262</f>
        <v>0</v>
      </c>
      <c r="L262" s="1">
        <v>0.39891472868217059</v>
      </c>
      <c r="M262" s="1">
        <f t="shared" si="122"/>
        <v>-0.39891472868217059</v>
      </c>
      <c r="N262" s="1" t="str">
        <f t="shared" si="123"/>
        <v>Buy from Grid</v>
      </c>
      <c r="V262" s="1" t="str">
        <f t="shared" si="119"/>
        <v>discharge</v>
      </c>
      <c r="Y262" s="1">
        <f t="shared" si="120"/>
        <v>2.364367596899225E-2</v>
      </c>
      <c r="AA262" s="1">
        <f t="shared" si="124"/>
        <v>78.597548529497274</v>
      </c>
      <c r="AD262" s="1">
        <f t="shared" si="125"/>
        <v>0</v>
      </c>
    </row>
    <row r="263" spans="1:30" ht="15">
      <c r="A263" s="1">
        <v>262</v>
      </c>
      <c r="B263" s="1">
        <f t="shared" si="103"/>
        <v>0</v>
      </c>
      <c r="C263" s="1">
        <f t="shared" si="121"/>
        <v>-0.39891472868217059</v>
      </c>
      <c r="D263" s="1">
        <f t="shared" si="126"/>
        <v>17.483436061297084</v>
      </c>
      <c r="E263">
        <v>59.27</v>
      </c>
      <c r="K263" s="1">
        <f>'Solar Availability and Gener GR'!F263</f>
        <v>0</v>
      </c>
      <c r="L263" s="1">
        <v>0.39891472868217059</v>
      </c>
      <c r="M263" s="1">
        <f t="shared" si="122"/>
        <v>-0.39891472868217059</v>
      </c>
      <c r="N263" s="1" t="str">
        <f t="shared" si="123"/>
        <v>Buy from Grid</v>
      </c>
      <c r="V263" s="1" t="str">
        <f t="shared" si="119"/>
        <v>discharge</v>
      </c>
      <c r="Y263" s="1">
        <f t="shared" si="120"/>
        <v>2.364367596899225E-2</v>
      </c>
      <c r="AA263" s="1">
        <f t="shared" si="124"/>
        <v>78.198633800815102</v>
      </c>
      <c r="AD263" s="1">
        <f t="shared" si="125"/>
        <v>0</v>
      </c>
    </row>
    <row r="264" spans="1:30" ht="15">
      <c r="A264" s="1">
        <v>263</v>
      </c>
      <c r="B264" s="1">
        <f t="shared" si="103"/>
        <v>0</v>
      </c>
      <c r="C264" s="1">
        <f t="shared" si="121"/>
        <v>-0.39891472868217059</v>
      </c>
      <c r="D264" s="1">
        <f t="shared" si="126"/>
        <v>16.984792650444369</v>
      </c>
      <c r="E264">
        <v>59.27</v>
      </c>
      <c r="K264" s="1">
        <f>'Solar Availability and Gener GR'!F264</f>
        <v>0</v>
      </c>
      <c r="L264" s="1">
        <v>0.2831007751937985</v>
      </c>
      <c r="M264" s="1">
        <f t="shared" si="122"/>
        <v>-0.2831007751937985</v>
      </c>
      <c r="N264" s="1" t="str">
        <f t="shared" si="123"/>
        <v>Buy from Grid</v>
      </c>
      <c r="V264" s="1" t="str">
        <f t="shared" si="119"/>
        <v>discharge</v>
      </c>
      <c r="Y264" s="1">
        <f t="shared" si="120"/>
        <v>1.6779382945736436E-2</v>
      </c>
      <c r="AA264" s="1">
        <f t="shared" si="124"/>
        <v>77.915533025621301</v>
      </c>
      <c r="AD264" s="1">
        <f t="shared" si="125"/>
        <v>0</v>
      </c>
    </row>
    <row r="265" spans="1:30" ht="15">
      <c r="A265" s="1">
        <v>264</v>
      </c>
      <c r="B265" s="1">
        <f t="shared" si="103"/>
        <v>0</v>
      </c>
      <c r="C265" s="1">
        <f t="shared" si="121"/>
        <v>-0.2831007751937985</v>
      </c>
      <c r="D265" s="1">
        <f t="shared" si="126"/>
        <v>16.630916681452121</v>
      </c>
      <c r="E265">
        <v>59.27</v>
      </c>
      <c r="K265" s="1">
        <f>'Solar Availability and Gener GR'!F265</f>
        <v>0</v>
      </c>
      <c r="L265" s="1">
        <v>0.29596899224806206</v>
      </c>
      <c r="M265" s="1">
        <f t="shared" si="122"/>
        <v>-0.29596899224806206</v>
      </c>
      <c r="N265" s="1" t="str">
        <f t="shared" si="123"/>
        <v>Buy from Grid</v>
      </c>
      <c r="V265" s="1" t="str">
        <f t="shared" si="119"/>
        <v>discharge</v>
      </c>
      <c r="Y265" s="1">
        <f t="shared" si="120"/>
        <v>1.754208217054264E-2</v>
      </c>
      <c r="AA265" s="1">
        <f t="shared" si="124"/>
        <v>77.619564033373237</v>
      </c>
      <c r="AD265" s="1">
        <f t="shared" si="125"/>
        <v>0</v>
      </c>
    </row>
    <row r="266" spans="1:30" ht="15">
      <c r="A266" s="1">
        <v>265</v>
      </c>
      <c r="B266" s="1">
        <f t="shared" si="103"/>
        <v>0</v>
      </c>
      <c r="C266" s="1">
        <f t="shared" si="121"/>
        <v>-0.29596899224806206</v>
      </c>
      <c r="D266" s="1">
        <f t="shared" si="126"/>
        <v>16.260955441142045</v>
      </c>
      <c r="E266">
        <v>59.27</v>
      </c>
      <c r="K266" s="1">
        <f>'Solar Availability and Gener GR'!F266</f>
        <v>0</v>
      </c>
      <c r="L266" s="1">
        <v>0.2831007751937985</v>
      </c>
      <c r="M266" s="1">
        <f t="shared" si="122"/>
        <v>-0.2831007751937985</v>
      </c>
      <c r="N266" s="1" t="str">
        <f t="shared" si="123"/>
        <v>Buy from Grid</v>
      </c>
      <c r="V266" s="1" t="str">
        <f t="shared" si="119"/>
        <v>discharge</v>
      </c>
      <c r="Y266" s="1">
        <f t="shared" si="120"/>
        <v>1.6779382945736436E-2</v>
      </c>
      <c r="AA266" s="1">
        <f t="shared" si="124"/>
        <v>77.336463258179435</v>
      </c>
      <c r="AD266" s="1">
        <f t="shared" si="125"/>
        <v>0</v>
      </c>
    </row>
    <row r="267" spans="1:30" ht="15">
      <c r="A267" s="1">
        <v>266</v>
      </c>
      <c r="B267" s="1">
        <f t="shared" si="103"/>
        <v>0</v>
      </c>
      <c r="C267" s="1">
        <f t="shared" si="121"/>
        <v>-0.2831007751937985</v>
      </c>
      <c r="D267" s="1">
        <f t="shared" si="126"/>
        <v>15.907079472149796</v>
      </c>
      <c r="E267">
        <v>59.27</v>
      </c>
      <c r="K267" s="1">
        <f>'Solar Availability and Gener GR'!F267</f>
        <v>0</v>
      </c>
      <c r="L267" s="1">
        <v>0.19302325581395352</v>
      </c>
      <c r="M267" s="1">
        <f t="shared" si="122"/>
        <v>-0.19302325581395352</v>
      </c>
      <c r="N267" s="1" t="str">
        <f t="shared" si="123"/>
        <v>Buy from Grid</v>
      </c>
      <c r="V267" s="1" t="str">
        <f t="shared" si="119"/>
        <v>discharge</v>
      </c>
      <c r="Y267" s="1">
        <f t="shared" si="120"/>
        <v>1.1440488372093025E-2</v>
      </c>
      <c r="AA267" s="1">
        <f t="shared" si="124"/>
        <v>77.14344000236548</v>
      </c>
      <c r="AD267" s="1">
        <f t="shared" si="125"/>
        <v>0</v>
      </c>
    </row>
    <row r="268" spans="1:30" ht="15">
      <c r="A268" s="1">
        <v>267</v>
      </c>
      <c r="B268" s="1">
        <f t="shared" si="103"/>
        <v>0</v>
      </c>
      <c r="C268" s="1">
        <f t="shared" si="121"/>
        <v>-0.19302325581395352</v>
      </c>
      <c r="D268" s="1">
        <f t="shared" si="126"/>
        <v>15.665800402382354</v>
      </c>
      <c r="E268">
        <v>59.27</v>
      </c>
      <c r="K268" s="1">
        <f>'Solar Availability and Gener GR'!F268</f>
        <v>0</v>
      </c>
      <c r="L268" s="1">
        <v>0.19302325581395352</v>
      </c>
      <c r="M268" s="1">
        <f t="shared" si="122"/>
        <v>-0.19302325581395352</v>
      </c>
      <c r="N268" s="1" t="str">
        <f t="shared" si="123"/>
        <v>Buy from Grid</v>
      </c>
      <c r="V268" s="1" t="str">
        <f t="shared" si="119"/>
        <v>discharge</v>
      </c>
      <c r="Y268" s="1">
        <f t="shared" si="120"/>
        <v>1.1440488372093025E-2</v>
      </c>
      <c r="AA268" s="1">
        <f t="shared" si="124"/>
        <v>76.950416746551525</v>
      </c>
      <c r="AD268" s="1">
        <f t="shared" si="125"/>
        <v>0</v>
      </c>
    </row>
    <row r="269" spans="1:30" ht="15">
      <c r="A269" s="1">
        <v>268</v>
      </c>
      <c r="B269" s="1">
        <f t="shared" si="103"/>
        <v>0</v>
      </c>
      <c r="C269" s="1">
        <f t="shared" si="121"/>
        <v>-0.19302325581395352</v>
      </c>
      <c r="D269" s="1">
        <f t="shared" si="126"/>
        <v>15.424521332614912</v>
      </c>
      <c r="E269">
        <v>59.27</v>
      </c>
      <c r="K269" s="1">
        <f>'Solar Availability and Gener GR'!F269</f>
        <v>0</v>
      </c>
      <c r="L269" s="1">
        <v>0.19302325581395352</v>
      </c>
      <c r="M269" s="1">
        <f t="shared" si="122"/>
        <v>-0.19302325581395352</v>
      </c>
      <c r="N269" s="1" t="str">
        <f t="shared" si="123"/>
        <v>Buy from Grid</v>
      </c>
      <c r="V269" s="1" t="str">
        <f t="shared" si="119"/>
        <v>discharge</v>
      </c>
      <c r="Y269" s="1">
        <f t="shared" si="120"/>
        <v>1.1440488372093025E-2</v>
      </c>
      <c r="AA269" s="1">
        <f t="shared" si="124"/>
        <v>76.75739349073757</v>
      </c>
      <c r="AD269" s="1">
        <f t="shared" si="125"/>
        <v>0</v>
      </c>
    </row>
    <row r="270" spans="1:30" ht="15">
      <c r="A270" s="1">
        <v>269</v>
      </c>
      <c r="B270" s="1">
        <f t="shared" si="103"/>
        <v>0</v>
      </c>
      <c r="C270" s="1">
        <f t="shared" si="121"/>
        <v>-0.19302325581395352</v>
      </c>
      <c r="D270" s="1">
        <f t="shared" si="126"/>
        <v>15.18324226284747</v>
      </c>
      <c r="E270">
        <v>59.27</v>
      </c>
      <c r="K270" s="1">
        <f>'Solar Availability and Gener GR'!F270</f>
        <v>0</v>
      </c>
      <c r="L270" s="1">
        <v>0.19302325581395352</v>
      </c>
      <c r="M270" s="1">
        <f t="shared" si="122"/>
        <v>-0.19302325581395352</v>
      </c>
      <c r="N270" s="1" t="str">
        <f t="shared" si="123"/>
        <v>Buy from Grid</v>
      </c>
      <c r="V270" s="1" t="str">
        <f t="shared" si="119"/>
        <v>discharge</v>
      </c>
      <c r="Y270" s="1">
        <f t="shared" si="120"/>
        <v>1.1440488372093025E-2</v>
      </c>
      <c r="AA270" s="1">
        <f t="shared" si="124"/>
        <v>76.564370234923615</v>
      </c>
      <c r="AD270" s="1">
        <f t="shared" si="125"/>
        <v>0</v>
      </c>
    </row>
    <row r="271" spans="1:30" ht="15">
      <c r="A271" s="1">
        <v>270</v>
      </c>
      <c r="B271" s="1">
        <f t="shared" si="103"/>
        <v>0</v>
      </c>
      <c r="C271" s="1">
        <f t="shared" si="121"/>
        <v>-0.19302325581395352</v>
      </c>
      <c r="D271" s="1">
        <f t="shared" si="126"/>
        <v>14.941963193080028</v>
      </c>
      <c r="E271">
        <v>59.27</v>
      </c>
      <c r="K271" s="1">
        <f>'Solar Availability and Gener GR'!F271</f>
        <v>0</v>
      </c>
      <c r="L271" s="1">
        <v>0.64341085271317833</v>
      </c>
      <c r="M271" s="1">
        <f t="shared" si="122"/>
        <v>-0.64341085271317833</v>
      </c>
      <c r="N271" s="1" t="str">
        <f t="shared" si="123"/>
        <v>Buy from Grid</v>
      </c>
      <c r="V271" s="1" t="str">
        <f t="shared" si="119"/>
        <v>discharge</v>
      </c>
      <c r="Y271" s="1">
        <f t="shared" si="120"/>
        <v>3.8134961240310086E-2</v>
      </c>
      <c r="AA271" s="1">
        <f t="shared" si="124"/>
        <v>75.920959382210441</v>
      </c>
      <c r="AD271" s="1">
        <f t="shared" si="125"/>
        <v>0</v>
      </c>
    </row>
    <row r="272" spans="1:30" ht="15">
      <c r="A272" s="1">
        <v>271</v>
      </c>
      <c r="B272" s="1">
        <f t="shared" ref="B272:B289" si="127">IF(U272="charge",Q272,0)</f>
        <v>0</v>
      </c>
      <c r="C272" s="1">
        <f t="shared" si="121"/>
        <v>-0.64341085271317833</v>
      </c>
      <c r="D272" s="1">
        <f t="shared" si="126"/>
        <v>14.137699627188555</v>
      </c>
      <c r="E272">
        <v>59.27</v>
      </c>
      <c r="K272" s="1">
        <f>'Solar Availability and Gener GR'!F272</f>
        <v>3.5999999999999997E-2</v>
      </c>
      <c r="L272" s="1">
        <v>0.64341085271317833</v>
      </c>
      <c r="M272" s="1">
        <f t="shared" si="122"/>
        <v>-0.6074108527131783</v>
      </c>
      <c r="N272" s="1" t="str">
        <f t="shared" si="123"/>
        <v>Buy from Grid</v>
      </c>
      <c r="V272" s="1" t="str">
        <f t="shared" si="119"/>
        <v>discharge</v>
      </c>
      <c r="Y272" s="1">
        <f t="shared" si="120"/>
        <v>3.8134961240310086E-2</v>
      </c>
      <c r="AA272" s="1">
        <f t="shared" si="124"/>
        <v>75.313548529497268</v>
      </c>
      <c r="AD272" s="1">
        <f t="shared" si="125"/>
        <v>0</v>
      </c>
    </row>
    <row r="273" spans="1:30" ht="15">
      <c r="A273" s="1">
        <v>272</v>
      </c>
      <c r="B273" s="1">
        <f t="shared" si="127"/>
        <v>0</v>
      </c>
      <c r="C273" s="1">
        <f t="shared" si="121"/>
        <v>-0.6074108527131783</v>
      </c>
      <c r="D273" s="1">
        <f t="shared" si="126"/>
        <v>13.378436061297082</v>
      </c>
      <c r="E273">
        <v>59.27</v>
      </c>
      <c r="K273" s="1">
        <f>'Solar Availability and Gener GR'!F273</f>
        <v>7.1999999999999995E-2</v>
      </c>
      <c r="L273" s="1">
        <v>0.38604651162790704</v>
      </c>
      <c r="M273" s="1">
        <f t="shared" si="122"/>
        <v>-0.31404651162790703</v>
      </c>
      <c r="N273" s="1" t="str">
        <f t="shared" si="123"/>
        <v>Buy from Grid</v>
      </c>
      <c r="V273" s="1" t="str">
        <f t="shared" si="119"/>
        <v>discharge</v>
      </c>
      <c r="Y273" s="1">
        <f t="shared" si="120"/>
        <v>2.288097674418605E-2</v>
      </c>
      <c r="AA273" s="1">
        <f t="shared" si="124"/>
        <v>74.999502017869361</v>
      </c>
      <c r="AD273" s="1">
        <f t="shared" si="125"/>
        <v>0</v>
      </c>
    </row>
    <row r="274" spans="1:30" ht="15">
      <c r="A274" s="1">
        <v>273</v>
      </c>
      <c r="B274" s="1">
        <f t="shared" si="127"/>
        <v>0</v>
      </c>
      <c r="C274" s="1">
        <f t="shared" si="121"/>
        <v>-0.31404651162790703</v>
      </c>
      <c r="D274" s="1">
        <f t="shared" si="126"/>
        <v>12.985877921762198</v>
      </c>
      <c r="E274">
        <v>59.27</v>
      </c>
      <c r="K274" s="1">
        <f>'Solar Availability and Gener GR'!F274</f>
        <v>0.108</v>
      </c>
      <c r="L274" s="1">
        <v>0.38604651162790704</v>
      </c>
      <c r="M274" s="1">
        <f t="shared" si="122"/>
        <v>-0.27804651162790706</v>
      </c>
      <c r="N274" s="1" t="str">
        <f t="shared" si="123"/>
        <v>Buy from Grid</v>
      </c>
      <c r="V274" s="1" t="str">
        <f t="shared" si="119"/>
        <v>discharge</v>
      </c>
      <c r="Y274" s="1">
        <f t="shared" si="120"/>
        <v>2.288097674418605E-2</v>
      </c>
      <c r="AA274" s="1">
        <f t="shared" si="124"/>
        <v>74.721455506241455</v>
      </c>
      <c r="AD274" s="1">
        <f t="shared" si="125"/>
        <v>0</v>
      </c>
    </row>
    <row r="275" spans="1:30" ht="15">
      <c r="A275" s="1">
        <v>274</v>
      </c>
      <c r="B275" s="1">
        <f t="shared" si="127"/>
        <v>0</v>
      </c>
      <c r="C275" s="1">
        <f t="shared" si="121"/>
        <v>-0.27804651162790706</v>
      </c>
      <c r="D275" s="1">
        <f t="shared" si="126"/>
        <v>12.638319782227313</v>
      </c>
      <c r="E275">
        <v>59.27</v>
      </c>
      <c r="K275" s="1">
        <f>'Solar Availability and Gener GR'!F275</f>
        <v>0.17817591026439972</v>
      </c>
      <c r="L275" s="1">
        <v>0.38604651162790704</v>
      </c>
      <c r="M275" s="1">
        <f t="shared" si="122"/>
        <v>-0.20787060136350732</v>
      </c>
      <c r="N275" s="1" t="str">
        <f t="shared" si="123"/>
        <v>Buy from Grid</v>
      </c>
      <c r="V275" s="1" t="str">
        <f t="shared" si="119"/>
        <v>discharge</v>
      </c>
      <c r="Y275" s="1">
        <f t="shared" si="120"/>
        <v>2.288097674418605E-2</v>
      </c>
      <c r="AA275" s="1">
        <f t="shared" si="124"/>
        <v>74.513584904877945</v>
      </c>
      <c r="AD275" s="1">
        <f t="shared" si="125"/>
        <v>0</v>
      </c>
    </row>
    <row r="276" spans="1:30" ht="15">
      <c r="A276" s="1">
        <v>275</v>
      </c>
      <c r="B276" s="1">
        <f t="shared" si="127"/>
        <v>0</v>
      </c>
      <c r="C276" s="1">
        <f t="shared" si="121"/>
        <v>-0.20787060136350732</v>
      </c>
      <c r="D276" s="1">
        <f t="shared" si="126"/>
        <v>12.378481530522929</v>
      </c>
      <c r="E276">
        <v>59.27</v>
      </c>
      <c r="K276" s="1">
        <f>'Solar Availability and Gener GR'!F276</f>
        <v>0.60861301522300082</v>
      </c>
      <c r="L276" s="1">
        <v>0.38604651162790704</v>
      </c>
      <c r="M276" s="1">
        <f t="shared" si="122"/>
        <v>0.22256650359509378</v>
      </c>
      <c r="N276" s="1" t="str">
        <f t="shared" si="123"/>
        <v>sell the surplus or charge</v>
      </c>
      <c r="O276" s="1">
        <v>0.25</v>
      </c>
      <c r="P276" s="1">
        <f t="shared" ref="P276:P281" si="128">0.25/L276</f>
        <v>0.64759036144578308</v>
      </c>
      <c r="Q276" s="1">
        <f t="shared" ref="Q276:Q281" si="129">K276-P276*L276</f>
        <v>0.35861301522300082</v>
      </c>
      <c r="R276" s="1">
        <f t="shared" ref="R276:R281" si="130">((1/(E276+0.01))*LN(0.25))+(E276*(K276-0.25))</f>
        <v>21.231607879859705</v>
      </c>
      <c r="S276" s="1">
        <f t="shared" ref="S276:S281" si="131">((1/(E276+0.01))*LN(L276))+(E276*(K276-L276))</f>
        <v>13.175460706199781</v>
      </c>
      <c r="T276" s="1">
        <f t="shared" ref="T276:T281" si="132">(S276+((S276^2)-4*(K276-L276*P276)*LN(L276*P276))^(0.5))/(2*(K276-L276*P276))</f>
        <v>36.844969952404718</v>
      </c>
      <c r="U276" s="1" t="str">
        <f t="shared" ref="U276:U281" si="133">IF(E276&gt;=T276*1.1,"sell to the Grid","charge")</f>
        <v>sell to the Grid</v>
      </c>
      <c r="W276" s="1">
        <f t="shared" ref="W276:W281" si="134">(Q276*E276)/1000</f>
        <v>2.1254993412267262E-2</v>
      </c>
      <c r="Y276" s="1">
        <f t="shared" si="120"/>
        <v>2.288097674418605E-2</v>
      </c>
      <c r="AA276" s="1">
        <f t="shared" si="124"/>
        <v>74.736151408473035</v>
      </c>
      <c r="AD276" s="1">
        <f t="shared" si="125"/>
        <v>0.25</v>
      </c>
    </row>
    <row r="277" spans="1:30" ht="15">
      <c r="A277" s="1">
        <v>276</v>
      </c>
      <c r="B277" s="1">
        <f t="shared" si="127"/>
        <v>0</v>
      </c>
      <c r="C277" s="1">
        <f t="shared" si="121"/>
        <v>0</v>
      </c>
      <c r="D277" s="1">
        <f t="shared" si="126"/>
        <v>12.378481530522929</v>
      </c>
      <c r="E277">
        <v>59.27</v>
      </c>
      <c r="K277" s="1">
        <f>'Solar Availability and Gener GR'!F277</f>
        <v>1.0103000089023395</v>
      </c>
      <c r="L277" s="1">
        <v>0.38604651162790704</v>
      </c>
      <c r="M277" s="1">
        <f t="shared" si="122"/>
        <v>0.62425349727443247</v>
      </c>
      <c r="N277" s="1" t="str">
        <f t="shared" si="123"/>
        <v>sell the surplus or charge</v>
      </c>
      <c r="O277" s="1">
        <v>0.25</v>
      </c>
      <c r="P277" s="1">
        <f t="shared" si="128"/>
        <v>0.64759036144578308</v>
      </c>
      <c r="Q277" s="1">
        <f t="shared" si="129"/>
        <v>0.76030000890233951</v>
      </c>
      <c r="R277" s="1">
        <f t="shared" si="130"/>
        <v>45.039595995234116</v>
      </c>
      <c r="S277" s="1">
        <f t="shared" si="131"/>
        <v>36.983448821574186</v>
      </c>
      <c r="T277" s="1">
        <f t="shared" si="132"/>
        <v>48.680686157134218</v>
      </c>
      <c r="U277" s="1" t="str">
        <f t="shared" si="133"/>
        <v>sell to the Grid</v>
      </c>
      <c r="W277" s="1">
        <f t="shared" si="134"/>
        <v>4.5062981527641668E-2</v>
      </c>
      <c r="Y277" s="1">
        <f t="shared" si="120"/>
        <v>2.288097674418605E-2</v>
      </c>
      <c r="AA277" s="1">
        <f t="shared" si="124"/>
        <v>75.360404905747473</v>
      </c>
      <c r="AD277" s="1">
        <f t="shared" si="125"/>
        <v>0.25</v>
      </c>
    </row>
    <row r="278" spans="1:30" ht="15">
      <c r="A278" s="1">
        <v>277</v>
      </c>
      <c r="B278" s="1">
        <f t="shared" si="127"/>
        <v>0</v>
      </c>
      <c r="C278" s="1">
        <f t="shared" si="121"/>
        <v>0</v>
      </c>
      <c r="D278" s="1">
        <f t="shared" si="126"/>
        <v>12.378481530522929</v>
      </c>
      <c r="E278">
        <v>59.27</v>
      </c>
      <c r="K278" s="1">
        <f>'Solar Availability and Gener GR'!F278</f>
        <v>1.2588222202439221</v>
      </c>
      <c r="L278" s="1">
        <v>0.38604651162790704</v>
      </c>
      <c r="M278" s="1">
        <f t="shared" si="122"/>
        <v>0.87277570861601506</v>
      </c>
      <c r="N278" s="1" t="str">
        <f t="shared" si="123"/>
        <v>sell the surplus or charge</v>
      </c>
      <c r="O278" s="1">
        <v>0.25</v>
      </c>
      <c r="P278" s="1">
        <f t="shared" si="128"/>
        <v>0.64759036144578308</v>
      </c>
      <c r="Q278" s="1">
        <f t="shared" si="129"/>
        <v>1.0088222202439221</v>
      </c>
      <c r="R278" s="1">
        <f t="shared" si="130"/>
        <v>59.769507461449713</v>
      </c>
      <c r="S278" s="1">
        <f t="shared" si="131"/>
        <v>51.71336028778979</v>
      </c>
      <c r="T278" s="1">
        <f t="shared" si="132"/>
        <v>51.287916639880748</v>
      </c>
      <c r="U278" s="1" t="str">
        <f t="shared" si="133"/>
        <v>sell to the Grid</v>
      </c>
      <c r="W278" s="1">
        <f t="shared" si="134"/>
        <v>5.9792892993857268E-2</v>
      </c>
      <c r="Y278" s="1">
        <f t="shared" si="120"/>
        <v>2.288097674418605E-2</v>
      </c>
      <c r="AA278" s="1">
        <f t="shared" si="124"/>
        <v>76.233180614363491</v>
      </c>
      <c r="AD278" s="1">
        <f t="shared" si="125"/>
        <v>0.25</v>
      </c>
    </row>
    <row r="279" spans="1:30" ht="15">
      <c r="A279" s="1">
        <v>278</v>
      </c>
      <c r="B279" s="1">
        <f t="shared" si="127"/>
        <v>0</v>
      </c>
      <c r="C279" s="1">
        <f t="shared" si="121"/>
        <v>0</v>
      </c>
      <c r="D279" s="1">
        <f t="shared" si="126"/>
        <v>12.378481530522929</v>
      </c>
      <c r="E279">
        <v>59.27</v>
      </c>
      <c r="K279" s="1">
        <f>'Solar Availability and Gener GR'!F279</f>
        <v>1.2775571975429532</v>
      </c>
      <c r="L279" s="1">
        <v>0.38604651162790704</v>
      </c>
      <c r="M279" s="1">
        <f t="shared" si="122"/>
        <v>0.89151068591504612</v>
      </c>
      <c r="N279" s="1" t="str">
        <f t="shared" si="123"/>
        <v>sell the surplus or charge</v>
      </c>
      <c r="O279" s="1">
        <v>0.25</v>
      </c>
      <c r="P279" s="1">
        <f t="shared" si="128"/>
        <v>0.64759036144578308</v>
      </c>
      <c r="Q279" s="1">
        <f t="shared" si="129"/>
        <v>1.0275571975429532</v>
      </c>
      <c r="R279" s="1">
        <f t="shared" si="130"/>
        <v>60.879929565963288</v>
      </c>
      <c r="S279" s="1">
        <f t="shared" si="131"/>
        <v>52.823782392303357</v>
      </c>
      <c r="T279" s="1">
        <f t="shared" si="132"/>
        <v>51.433375898092152</v>
      </c>
      <c r="U279" s="1" t="str">
        <f t="shared" si="133"/>
        <v>sell to the Grid</v>
      </c>
      <c r="W279" s="1">
        <f t="shared" si="134"/>
        <v>6.0903315098370839E-2</v>
      </c>
      <c r="Y279" s="1">
        <f t="shared" si="120"/>
        <v>2.288097674418605E-2</v>
      </c>
      <c r="AA279" s="1">
        <f t="shared" si="124"/>
        <v>77.124691300278542</v>
      </c>
      <c r="AD279" s="1">
        <f t="shared" si="125"/>
        <v>0.25</v>
      </c>
    </row>
    <row r="280" spans="1:30" ht="15">
      <c r="A280" s="1">
        <v>279</v>
      </c>
      <c r="B280" s="1">
        <f t="shared" si="127"/>
        <v>0</v>
      </c>
      <c r="C280" s="1">
        <f t="shared" si="121"/>
        <v>0</v>
      </c>
      <c r="D280" s="1">
        <f t="shared" si="126"/>
        <v>12.378481530522929</v>
      </c>
      <c r="E280">
        <v>59.27</v>
      </c>
      <c r="K280" s="1">
        <f>'Solar Availability and Gener GR'!F280</f>
        <v>1.1909730259058111</v>
      </c>
      <c r="L280" s="1">
        <v>0.38604651162790704</v>
      </c>
      <c r="M280" s="1">
        <f t="shared" si="122"/>
        <v>0.80492651427790407</v>
      </c>
      <c r="N280" s="1" t="str">
        <f t="shared" si="123"/>
        <v>sell the surplus or charge</v>
      </c>
      <c r="O280" s="1">
        <v>0.25</v>
      </c>
      <c r="P280" s="1">
        <f t="shared" si="128"/>
        <v>0.64759036144578308</v>
      </c>
      <c r="Q280" s="1">
        <f t="shared" si="129"/>
        <v>0.94097302590581111</v>
      </c>
      <c r="R280" s="1">
        <f t="shared" si="130"/>
        <v>55.748085713029873</v>
      </c>
      <c r="S280" s="1">
        <f t="shared" si="131"/>
        <v>47.69193853936995</v>
      </c>
      <c r="T280" s="1">
        <f t="shared" si="132"/>
        <v>50.712691508365388</v>
      </c>
      <c r="U280" s="1" t="str">
        <f t="shared" si="133"/>
        <v>sell to the Grid</v>
      </c>
      <c r="W280" s="1">
        <f t="shared" si="134"/>
        <v>5.5771471245437423E-2</v>
      </c>
      <c r="Y280" s="1">
        <f t="shared" si="120"/>
        <v>2.288097674418605E-2</v>
      </c>
      <c r="AA280" s="1">
        <f t="shared" si="124"/>
        <v>77.929617814556451</v>
      </c>
      <c r="AD280" s="1">
        <f t="shared" si="125"/>
        <v>0.25</v>
      </c>
    </row>
    <row r="281" spans="1:30" ht="15">
      <c r="A281" s="1">
        <v>280</v>
      </c>
      <c r="B281" s="1">
        <f t="shared" si="127"/>
        <v>0</v>
      </c>
      <c r="C281" s="1">
        <f t="shared" si="121"/>
        <v>0</v>
      </c>
      <c r="D281" s="1">
        <f t="shared" si="126"/>
        <v>12.378481530522929</v>
      </c>
      <c r="E281">
        <v>59.27</v>
      </c>
      <c r="K281" s="1">
        <f>'Solar Availability and Gener GR'!F281</f>
        <v>0.92246060713967637</v>
      </c>
      <c r="L281" s="1">
        <v>0.64341085271317833</v>
      </c>
      <c r="M281" s="1">
        <f t="shared" si="122"/>
        <v>0.27904975442649804</v>
      </c>
      <c r="N281" s="1" t="str">
        <f t="shared" si="123"/>
        <v>sell the surplus or charge</v>
      </c>
      <c r="O281" s="1">
        <v>0.25</v>
      </c>
      <c r="P281" s="1">
        <f t="shared" si="128"/>
        <v>0.38855421686746988</v>
      </c>
      <c r="Q281" s="1">
        <f t="shared" si="129"/>
        <v>0.67246060713967637</v>
      </c>
      <c r="R281" s="1">
        <f t="shared" si="130"/>
        <v>39.833354652761066</v>
      </c>
      <c r="S281" s="1">
        <f t="shared" si="131"/>
        <v>16.531840149369927</v>
      </c>
      <c r="T281" s="1">
        <f t="shared" si="132"/>
        <v>24.667673914508864</v>
      </c>
      <c r="U281" s="1" t="str">
        <f t="shared" si="133"/>
        <v>sell to the Grid</v>
      </c>
      <c r="W281" s="1">
        <f t="shared" si="134"/>
        <v>3.9856740185168618E-2</v>
      </c>
      <c r="Y281" s="1">
        <f t="shared" si="120"/>
        <v>3.8134961240310086E-2</v>
      </c>
      <c r="AA281" s="1">
        <f t="shared" si="124"/>
        <v>78.208667568982946</v>
      </c>
      <c r="AD281" s="1">
        <f t="shared" si="125"/>
        <v>0.25</v>
      </c>
    </row>
    <row r="282" spans="1:30" ht="15">
      <c r="A282" s="1">
        <v>281</v>
      </c>
      <c r="B282" s="1">
        <f t="shared" si="127"/>
        <v>0</v>
      </c>
      <c r="C282" s="1">
        <f t="shared" si="121"/>
        <v>0</v>
      </c>
      <c r="D282" s="1">
        <f t="shared" si="126"/>
        <v>12.378481530522929</v>
      </c>
      <c r="E282">
        <v>59.27</v>
      </c>
      <c r="K282" s="1">
        <f>'Solar Availability and Gener GR'!F282</f>
        <v>0.54864239294934358</v>
      </c>
      <c r="L282" s="1">
        <v>0.64341085271317833</v>
      </c>
      <c r="M282" s="1">
        <f t="shared" si="122"/>
        <v>-9.4768459763834745E-2</v>
      </c>
      <c r="N282" s="1" t="str">
        <f t="shared" si="123"/>
        <v>Buy from Grid</v>
      </c>
      <c r="V282" s="1" t="str">
        <f t="shared" ref="V282:V289" si="135">IF(D282+M282&gt;0,"discharge","buy from the Grid")</f>
        <v>discharge</v>
      </c>
      <c r="Y282" s="1">
        <f t="shared" si="120"/>
        <v>3.8134961240310086E-2</v>
      </c>
      <c r="AA282" s="1">
        <f t="shared" si="124"/>
        <v>78.113899109219105</v>
      </c>
      <c r="AD282" s="1">
        <f t="shared" si="125"/>
        <v>0</v>
      </c>
    </row>
    <row r="283" spans="1:30" ht="15">
      <c r="A283" s="1">
        <v>282</v>
      </c>
      <c r="B283" s="1">
        <f t="shared" si="127"/>
        <v>0</v>
      </c>
      <c r="C283" s="1">
        <f t="shared" si="121"/>
        <v>-9.4768459763834745E-2</v>
      </c>
      <c r="D283" s="1">
        <f t="shared" si="126"/>
        <v>12.260020955818137</v>
      </c>
      <c r="E283">
        <v>59.27</v>
      </c>
      <c r="K283" s="1">
        <f>'Solar Availability and Gener GR'!F283</f>
        <v>0.13652630641858823</v>
      </c>
      <c r="L283" s="1">
        <v>0.64341085271317833</v>
      </c>
      <c r="M283" s="1">
        <f t="shared" si="122"/>
        <v>-0.50688454629459012</v>
      </c>
      <c r="N283" s="1" t="str">
        <f t="shared" si="123"/>
        <v>Buy from Grid</v>
      </c>
      <c r="V283" s="1" t="str">
        <f t="shared" si="135"/>
        <v>discharge</v>
      </c>
      <c r="Y283" s="1">
        <f t="shared" si="120"/>
        <v>3.8134961240310086E-2</v>
      </c>
      <c r="AA283" s="1">
        <f t="shared" si="124"/>
        <v>77.607014562924519</v>
      </c>
      <c r="AD283" s="1">
        <f t="shared" si="125"/>
        <v>0</v>
      </c>
    </row>
    <row r="284" spans="1:30" ht="15">
      <c r="A284" s="1">
        <v>283</v>
      </c>
      <c r="B284" s="1">
        <f t="shared" si="127"/>
        <v>0</v>
      </c>
      <c r="C284" s="1">
        <f t="shared" si="121"/>
        <v>-0.50688454629459012</v>
      </c>
      <c r="D284" s="1">
        <f t="shared" si="126"/>
        <v>11.626415272949899</v>
      </c>
      <c r="E284">
        <v>59.27</v>
      </c>
      <c r="K284" s="1">
        <f>'Solar Availability and Gener GR'!F284</f>
        <v>0</v>
      </c>
      <c r="L284" s="1">
        <v>0.64341085271317833</v>
      </c>
      <c r="M284" s="1">
        <f t="shared" si="122"/>
        <v>-0.64341085271317833</v>
      </c>
      <c r="N284" s="1" t="str">
        <f t="shared" si="123"/>
        <v>Buy from Grid</v>
      </c>
      <c r="V284" s="1" t="str">
        <f t="shared" si="135"/>
        <v>discharge</v>
      </c>
      <c r="Y284" s="1">
        <f t="shared" si="120"/>
        <v>3.8134961240310086E-2</v>
      </c>
      <c r="AA284" s="1">
        <f t="shared" si="124"/>
        <v>76.963603710211345</v>
      </c>
      <c r="AD284" s="1">
        <f t="shared" si="125"/>
        <v>0</v>
      </c>
    </row>
    <row r="285" spans="1:30" ht="15">
      <c r="A285" s="1">
        <v>284</v>
      </c>
      <c r="B285" s="1">
        <f t="shared" si="127"/>
        <v>0</v>
      </c>
      <c r="C285" s="1">
        <f t="shared" si="121"/>
        <v>-0.64341085271317833</v>
      </c>
      <c r="D285" s="1">
        <f t="shared" si="126"/>
        <v>10.822151707058426</v>
      </c>
      <c r="E285">
        <v>59.27</v>
      </c>
      <c r="K285" s="1">
        <f>'Solar Availability and Gener GR'!F285</f>
        <v>0</v>
      </c>
      <c r="L285" s="1">
        <v>0.64341085271317833</v>
      </c>
      <c r="M285" s="1">
        <f t="shared" si="122"/>
        <v>-0.64341085271317833</v>
      </c>
      <c r="N285" s="1" t="str">
        <f t="shared" si="123"/>
        <v>Buy from Grid</v>
      </c>
      <c r="V285" s="1" t="str">
        <f t="shared" si="135"/>
        <v>discharge</v>
      </c>
      <c r="Y285" s="1">
        <f t="shared" si="120"/>
        <v>3.8134961240310086E-2</v>
      </c>
      <c r="AA285" s="1">
        <f t="shared" si="124"/>
        <v>76.320192857498171</v>
      </c>
      <c r="AD285" s="1">
        <f t="shared" si="125"/>
        <v>0</v>
      </c>
    </row>
    <row r="286" spans="1:30" ht="15">
      <c r="A286" s="1">
        <v>285</v>
      </c>
      <c r="B286" s="1">
        <f t="shared" si="127"/>
        <v>0</v>
      </c>
      <c r="C286" s="1">
        <f t="shared" si="121"/>
        <v>-0.64341085271317833</v>
      </c>
      <c r="D286" s="1">
        <f t="shared" si="126"/>
        <v>10.017888141166953</v>
      </c>
      <c r="E286">
        <v>59.27</v>
      </c>
      <c r="K286" s="1">
        <f>'Solar Availability and Gener GR'!F286</f>
        <v>0</v>
      </c>
      <c r="L286" s="1">
        <v>0.64341085271317833</v>
      </c>
      <c r="M286" s="1">
        <f t="shared" si="122"/>
        <v>-0.64341085271317833</v>
      </c>
      <c r="N286" s="1" t="str">
        <f t="shared" si="123"/>
        <v>Buy from Grid</v>
      </c>
      <c r="V286" s="1" t="str">
        <f t="shared" si="135"/>
        <v>discharge</v>
      </c>
      <c r="Y286" s="1">
        <f t="shared" si="120"/>
        <v>3.8134961240310086E-2</v>
      </c>
      <c r="AA286" s="1">
        <f t="shared" si="124"/>
        <v>75.676782004784997</v>
      </c>
      <c r="AD286" s="1">
        <f t="shared" si="125"/>
        <v>0</v>
      </c>
    </row>
    <row r="287" spans="1:30" ht="15">
      <c r="A287" s="1">
        <v>286</v>
      </c>
      <c r="B287" s="1">
        <f t="shared" si="127"/>
        <v>0</v>
      </c>
      <c r="C287" s="1">
        <f t="shared" si="121"/>
        <v>-0.64341085271317833</v>
      </c>
      <c r="D287" s="1">
        <f t="shared" si="126"/>
        <v>9.21362457527548</v>
      </c>
      <c r="E287">
        <v>59.27</v>
      </c>
      <c r="K287" s="1">
        <f>'Solar Availability and Gener GR'!F287</f>
        <v>0</v>
      </c>
      <c r="L287" s="1">
        <v>0.64341085271317833</v>
      </c>
      <c r="M287" s="1">
        <f t="shared" si="122"/>
        <v>-0.64341085271317833</v>
      </c>
      <c r="N287" s="1" t="str">
        <f t="shared" si="123"/>
        <v>Buy from Grid</v>
      </c>
      <c r="V287" s="1" t="str">
        <f t="shared" si="135"/>
        <v>discharge</v>
      </c>
      <c r="Y287" s="1">
        <f t="shared" si="120"/>
        <v>3.8134961240310086E-2</v>
      </c>
      <c r="AA287" s="1">
        <f t="shared" si="124"/>
        <v>75.033371152071823</v>
      </c>
      <c r="AD287" s="1">
        <f t="shared" si="125"/>
        <v>0</v>
      </c>
    </row>
    <row r="288" spans="1:30" ht="15">
      <c r="A288" s="1">
        <v>287</v>
      </c>
      <c r="B288" s="1">
        <f t="shared" si="127"/>
        <v>0</v>
      </c>
      <c r="C288" s="1">
        <f t="shared" si="121"/>
        <v>-0.64341085271317833</v>
      </c>
      <c r="D288" s="1">
        <f t="shared" si="126"/>
        <v>8.409361009384007</v>
      </c>
      <c r="E288">
        <v>59.27</v>
      </c>
      <c r="K288" s="1">
        <f>'Solar Availability and Gener GR'!F288</f>
        <v>0</v>
      </c>
      <c r="L288" s="1">
        <v>0.25736434108527134</v>
      </c>
      <c r="M288" s="1">
        <f t="shared" si="122"/>
        <v>-0.25736434108527134</v>
      </c>
      <c r="N288" s="1" t="str">
        <f t="shared" si="123"/>
        <v>Buy from Grid</v>
      </c>
      <c r="V288" s="1" t="str">
        <f t="shared" si="135"/>
        <v>discharge</v>
      </c>
      <c r="Y288" s="1">
        <f t="shared" si="120"/>
        <v>1.5253984496124034E-2</v>
      </c>
      <c r="AA288" s="1">
        <f t="shared" si="124"/>
        <v>74.776006810986544</v>
      </c>
      <c r="AD288" s="1">
        <f t="shared" si="125"/>
        <v>0</v>
      </c>
    </row>
    <row r="289" spans="1:31" ht="15">
      <c r="A289" s="1">
        <v>288</v>
      </c>
      <c r="B289" s="1">
        <f t="shared" si="127"/>
        <v>0</v>
      </c>
      <c r="C289" s="1">
        <f t="shared" si="121"/>
        <v>-0.25736434108527134</v>
      </c>
      <c r="D289" s="1">
        <f t="shared" si="126"/>
        <v>8.0876555830274182</v>
      </c>
      <c r="E289">
        <v>59.27</v>
      </c>
      <c r="K289" s="1">
        <f>'Solar Availability and Gener GR'!F289</f>
        <v>0</v>
      </c>
      <c r="L289" s="1">
        <v>0.25736434108527134</v>
      </c>
      <c r="M289" s="1">
        <f t="shared" si="122"/>
        <v>-0.25736434108527134</v>
      </c>
      <c r="N289" s="1" t="str">
        <f t="shared" si="123"/>
        <v>Buy from Grid</v>
      </c>
      <c r="V289" s="1" t="str">
        <f t="shared" si="135"/>
        <v>discharge</v>
      </c>
      <c r="Y289" s="1">
        <f t="shared" si="120"/>
        <v>1.5253984496124034E-2</v>
      </c>
      <c r="AA289" s="1">
        <f t="shared" si="124"/>
        <v>74.518642469901266</v>
      </c>
      <c r="AD289" s="1">
        <f t="shared" si="125"/>
        <v>0</v>
      </c>
    </row>
    <row r="290" spans="1:31">
      <c r="W290" s="1">
        <f>SUM(W2:W289)</f>
        <v>4.5326397078126908</v>
      </c>
      <c r="X290" s="1">
        <f>SUM(X2:X289)</f>
        <v>-1.0186320539073357</v>
      </c>
      <c r="Y290" s="1">
        <f>SUM(Y2:Y289)</f>
        <v>7.6270662298868448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105.42022961716066</v>
      </c>
      <c r="Y291" s="1">
        <f>Y290*30</f>
        <v>228.81198689660533</v>
      </c>
      <c r="AD291" s="1">
        <f>SUM(AD2:AD290)*30</f>
        <v>1387.525581395349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228.81198689660533</v>
      </c>
    </row>
    <row r="295" spans="1:31" ht="30">
      <c r="V295" s="1" t="s">
        <v>354</v>
      </c>
      <c r="W295" s="1">
        <f>W291+W293</f>
        <v>334.23221651376599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287439706.20183873</v>
      </c>
      <c r="Y297" s="3">
        <f>($L$291-$AD$291)*W297/1000000</f>
        <v>2126.760204000007</v>
      </c>
      <c r="AA297" s="11">
        <f>$W$291*W297</f>
        <v>90661397.47075817</v>
      </c>
    </row>
    <row r="298" spans="1:31">
      <c r="V298" s="1">
        <v>2035</v>
      </c>
      <c r="W298" s="1">
        <v>1720000</v>
      </c>
      <c r="X298" s="11">
        <f t="shared" ref="X298:X301" si="136">$W$295*W298</f>
        <v>574879412.40367746</v>
      </c>
      <c r="Y298" s="3">
        <f>($L$291-$AD$291)*W298/1000000</f>
        <v>4253.520408000014</v>
      </c>
      <c r="AA298" s="11">
        <f t="shared" ref="AA298:AA301" si="137">$W$291*W298</f>
        <v>181322794.94151634</v>
      </c>
    </row>
    <row r="299" spans="1:31">
      <c r="V299" s="1">
        <v>2040</v>
      </c>
      <c r="W299" s="1">
        <v>2580000</v>
      </c>
      <c r="X299" s="11">
        <f t="shared" si="136"/>
        <v>862319118.60551631</v>
      </c>
      <c r="Y299" s="3">
        <f>($L$291-$AD$291)*W299/1000000</f>
        <v>6380.2806120000214</v>
      </c>
      <c r="AA299" s="11">
        <f t="shared" si="137"/>
        <v>271984192.41227448</v>
      </c>
    </row>
    <row r="300" spans="1:31">
      <c r="V300" s="1">
        <v>2045</v>
      </c>
      <c r="W300" s="1">
        <v>3440000</v>
      </c>
      <c r="X300" s="11">
        <f t="shared" si="136"/>
        <v>1149758824.8073549</v>
      </c>
      <c r="Y300" s="3">
        <f>($L$291-$AD$291)*W300/1000000</f>
        <v>8507.0408160000279</v>
      </c>
      <c r="AA300" s="11">
        <f t="shared" si="137"/>
        <v>362645589.88303268</v>
      </c>
    </row>
    <row r="301" spans="1:31">
      <c r="V301" s="1">
        <v>2050</v>
      </c>
      <c r="W301" s="1">
        <v>4300000</v>
      </c>
      <c r="X301" s="11">
        <f t="shared" si="136"/>
        <v>1437198531.0091937</v>
      </c>
      <c r="Y301" s="3">
        <f>($L$291-$AD$291)*W301/1000000</f>
        <v>10633.801020000035</v>
      </c>
      <c r="AA301" s="11">
        <f t="shared" si="137"/>
        <v>453306987.35379082</v>
      </c>
    </row>
  </sheetData>
  <autoFilter ref="A1:V289" xr:uid="{341E820E-40E6-49AC-8FF5-E40C9CA07058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9468-BD5F-734C-AA0E-75CED19278F0}">
  <dimension ref="A1:AE301"/>
  <sheetViews>
    <sheetView topLeftCell="N270" workbookViewId="0">
      <selection activeCell="AA303" sqref="AA303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59.27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1.7616063995348843E-2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4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59.27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1.754208217054264E-2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59.27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1.754208217054264E-2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59.27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-1.754208217054264E-2</v>
      </c>
      <c r="Y5" s="1">
        <f t="shared" si="1"/>
        <v>1.754208217054264E-2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59.27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-1.754208217054264E-2</v>
      </c>
      <c r="Y6" s="1">
        <f t="shared" si="1"/>
        <v>1.754208217054264E-2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59.27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-2.364367596899225E-2</v>
      </c>
      <c r="Y7" s="1">
        <f t="shared" si="1"/>
        <v>2.364367596899225E-2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59.27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-3.7526639689922481E-2</v>
      </c>
      <c r="Y8" s="1">
        <f t="shared" si="1"/>
        <v>3.9660359689922479E-2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59.27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-3.5392919689922489E-2</v>
      </c>
      <c r="Y9" s="1">
        <f t="shared" si="1"/>
        <v>3.9660359689922479E-2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59.27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-3.249650046511629E-2</v>
      </c>
      <c r="Y10" s="1">
        <f t="shared" si="1"/>
        <v>3.8897660465116286E-2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59.27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-1.3083189767621281E-2</v>
      </c>
      <c r="Y11" s="1">
        <f t="shared" si="1"/>
        <v>2.364367596899225E-2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8"/>
        <v>8.855600775193806E-2</v>
      </c>
      <c r="E12">
        <v>59.27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0.62670034978624167</v>
      </c>
      <c r="Q12" s="1">
        <f t="shared" ref="Q12:Q18" si="12">K12-P12*L12</f>
        <v>0.35861301522300082</v>
      </c>
      <c r="R12" s="1">
        <f t="shared" ref="R12:R18" si="13">((1/(E12+0.01))*LN(0.25))+(E12*(K12-0.25))</f>
        <v>21.231607879859705</v>
      </c>
      <c r="S12" s="1">
        <f t="shared" ref="S12:S18" si="14">((1/(E12+0.01))*LN(L12))+(E12*(K12-L12))</f>
        <v>12.413314616056587</v>
      </c>
      <c r="T12" s="1">
        <f t="shared" ref="T12:T18" si="15">(S12+((S12^2)-4*(K12-L12*P12)*LN(L12*P12))^(0.5))/(2*(K12-L12*P12))</f>
        <v>34.726111138912799</v>
      </c>
      <c r="U12" s="1" t="str">
        <f t="shared" ref="U12:U18" si="16">IF(E12&gt;=T12*1.05,"sell to the Grid","charge")</f>
        <v>sell to the Grid</v>
      </c>
      <c r="W12" s="1">
        <f t="shared" ref="W12:W18" si="17">(Q12*E12)/1000</f>
        <v>2.1254993412267262E-2</v>
      </c>
      <c r="Y12" s="1">
        <f t="shared" si="1"/>
        <v>2.364367596899225E-2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8.855600775193806E-2</v>
      </c>
      <c r="E13">
        <v>59.27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1"/>
        <v>0.62670034978624167</v>
      </c>
      <c r="Q13" s="1">
        <f t="shared" si="12"/>
        <v>0.8263999999999998</v>
      </c>
      <c r="R13" s="1">
        <f t="shared" si="13"/>
        <v>48.95734246759244</v>
      </c>
      <c r="S13" s="1">
        <f t="shared" si="14"/>
        <v>40.13904920378932</v>
      </c>
      <c r="T13" s="1">
        <f t="shared" si="15"/>
        <v>48.605482286774539</v>
      </c>
      <c r="U13" s="1" t="str">
        <f t="shared" si="16"/>
        <v>sell to the Grid</v>
      </c>
      <c r="W13" s="1">
        <f t="shared" si="17"/>
        <v>4.8980727999999994E-2</v>
      </c>
      <c r="Y13" s="1">
        <f t="shared" si="1"/>
        <v>2.364367596899225E-2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2"/>
        <v>0</v>
      </c>
      <c r="C14" s="1">
        <f t="shared" si="3"/>
        <v>0</v>
      </c>
      <c r="D14" s="1">
        <f t="shared" si="8"/>
        <v>8.855600775193806E-2</v>
      </c>
      <c r="E14">
        <v>59.27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1"/>
        <v>0.62670034978624167</v>
      </c>
      <c r="Q14" s="1">
        <f t="shared" si="12"/>
        <v>1.1215999999999999</v>
      </c>
      <c r="R14" s="1">
        <f t="shared" si="13"/>
        <v>66.453846467592442</v>
      </c>
      <c r="S14" s="1">
        <f t="shared" si="14"/>
        <v>57.635553203789328</v>
      </c>
      <c r="T14" s="1">
        <f t="shared" si="15"/>
        <v>51.410947011670906</v>
      </c>
      <c r="U14" s="1" t="str">
        <f t="shared" si="16"/>
        <v>sell to the Grid</v>
      </c>
      <c r="W14" s="1">
        <f t="shared" si="17"/>
        <v>6.6477231999999997E-2</v>
      </c>
      <c r="Y14" s="1">
        <f t="shared" si="1"/>
        <v>2.364367596899225E-2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59.27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1"/>
        <v>0.62670034978624167</v>
      </c>
      <c r="Q15" s="1">
        <f t="shared" si="12"/>
        <v>1.1792</v>
      </c>
      <c r="R15" s="1">
        <f t="shared" si="13"/>
        <v>69.867798467592451</v>
      </c>
      <c r="S15" s="1">
        <f t="shared" si="14"/>
        <v>61.049505203789337</v>
      </c>
      <c r="T15" s="1">
        <f t="shared" si="15"/>
        <v>51.794666213682603</v>
      </c>
      <c r="U15" s="1" t="str">
        <f t="shared" si="16"/>
        <v>sell to the Grid</v>
      </c>
      <c r="W15" s="1">
        <f t="shared" si="17"/>
        <v>6.9891184000000009E-2</v>
      </c>
      <c r="Y15" s="1">
        <f t="shared" si="1"/>
        <v>2.364367596899225E-2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8">IF(U16="charge",Q16,0)</f>
        <v>0</v>
      </c>
      <c r="C16" s="1">
        <f t="shared" si="3"/>
        <v>0</v>
      </c>
      <c r="D16" s="1">
        <f t="shared" si="8"/>
        <v>8.855600775193806E-2</v>
      </c>
      <c r="E16">
        <v>59.27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1"/>
        <v>0.62670034978624167</v>
      </c>
      <c r="Q16" s="1">
        <f t="shared" si="12"/>
        <v>1.1035999999999999</v>
      </c>
      <c r="R16" s="1">
        <f t="shared" si="13"/>
        <v>65.386986467592436</v>
      </c>
      <c r="S16" s="1">
        <f t="shared" si="14"/>
        <v>56.56869320378933</v>
      </c>
      <c r="T16" s="1">
        <f t="shared" si="15"/>
        <v>51.282824878619827</v>
      </c>
      <c r="U16" s="1" t="str">
        <f t="shared" si="16"/>
        <v>sell to the Grid</v>
      </c>
      <c r="W16" s="1">
        <f t="shared" si="17"/>
        <v>6.5410371999999994E-2</v>
      </c>
      <c r="Y16" s="1">
        <f t="shared" si="1"/>
        <v>2.364367596899225E-2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8"/>
        <v>0</v>
      </c>
      <c r="C17" s="1">
        <f t="shared" si="3"/>
        <v>0</v>
      </c>
      <c r="D17" s="1">
        <f t="shared" si="8"/>
        <v>8.855600775193806E-2</v>
      </c>
      <c r="E17">
        <v>59.27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1"/>
        <v>0.62670034978624167</v>
      </c>
      <c r="Q17" s="1">
        <f t="shared" si="12"/>
        <v>0.85519999999999996</v>
      </c>
      <c r="R17" s="1">
        <f t="shared" si="13"/>
        <v>50.664318467592452</v>
      </c>
      <c r="S17" s="1">
        <f t="shared" si="14"/>
        <v>41.846025203789331</v>
      </c>
      <c r="T17" s="1">
        <f t="shared" si="15"/>
        <v>48.964379685380742</v>
      </c>
      <c r="U17" s="1" t="str">
        <f t="shared" si="16"/>
        <v>sell to the Grid</v>
      </c>
      <c r="W17" s="1">
        <f t="shared" si="17"/>
        <v>5.0687704000000007E-2</v>
      </c>
      <c r="Y17" s="1">
        <f t="shared" si="1"/>
        <v>2.364367596899225E-2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8"/>
        <v>0</v>
      </c>
      <c r="C18" s="1">
        <f t="shared" si="3"/>
        <v>0</v>
      </c>
      <c r="D18" s="1">
        <f t="shared" si="8"/>
        <v>8.855600775193806E-2</v>
      </c>
      <c r="E18">
        <v>59.27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1"/>
        <v>0.62670034978624167</v>
      </c>
      <c r="Q18" s="1">
        <f t="shared" si="12"/>
        <v>0.50959999999999994</v>
      </c>
      <c r="R18" s="1">
        <f t="shared" si="13"/>
        <v>30.180606467592444</v>
      </c>
      <c r="S18" s="1">
        <f t="shared" si="14"/>
        <v>21.362313203789324</v>
      </c>
      <c r="T18" s="1">
        <f t="shared" si="15"/>
        <v>41.984561126312826</v>
      </c>
      <c r="U18" s="1" t="str">
        <f t="shared" si="16"/>
        <v>sell to the Grid</v>
      </c>
      <c r="W18" s="1">
        <f t="shared" si="17"/>
        <v>3.0203991999999999E-2</v>
      </c>
      <c r="Y18" s="1">
        <f t="shared" si="1"/>
        <v>2.364367596899225E-2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8"/>
        <v>0</v>
      </c>
      <c r="C19" s="1">
        <f t="shared" si="3"/>
        <v>0</v>
      </c>
      <c r="D19" s="1">
        <f t="shared" si="8"/>
        <v>8.855600775193806E-2</v>
      </c>
      <c r="E19">
        <v>59.27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19">IF(D19+M19&gt;0,"discharge","buy from the Grid")</f>
        <v>buy from the Grid</v>
      </c>
      <c r="X19" s="1">
        <f t="shared" ref="X19:X35" si="20">(M19*E19)/1000</f>
        <v>-2.1310367689922487E-2</v>
      </c>
      <c r="Y19" s="1">
        <f t="shared" si="1"/>
        <v>3.9660359689922479E-2</v>
      </c>
      <c r="AA19" s="1">
        <f t="shared" si="6"/>
        <v>0.67294225882073277</v>
      </c>
      <c r="AC19" s="1">
        <f t="shared" ref="AC19:AC35" si="21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8"/>
        <v>0</v>
      </c>
      <c r="C20" s="1">
        <f t="shared" si="3"/>
        <v>0</v>
      </c>
      <c r="D20" s="1">
        <f t="shared" si="8"/>
        <v>8.855600775193806E-2</v>
      </c>
      <c r="E20">
        <v>59.27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19"/>
        <v>buy from the Grid</v>
      </c>
      <c r="X20" s="1">
        <f t="shared" si="20"/>
        <v>-3.7190684465116287E-2</v>
      </c>
      <c r="Y20" s="1">
        <f t="shared" si="1"/>
        <v>3.8897660465116286E-2</v>
      </c>
      <c r="AA20" s="1">
        <f t="shared" si="6"/>
        <v>4.5463189053290831E-2</v>
      </c>
      <c r="AC20" s="1">
        <f t="shared" si="21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8"/>
        <v>0</v>
      </c>
      <c r="C21" s="1">
        <f t="shared" si="3"/>
        <v>0</v>
      </c>
      <c r="D21" s="1">
        <f t="shared" si="8"/>
        <v>8.855600775193806E-2</v>
      </c>
      <c r="E21">
        <v>59.27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19"/>
        <v>buy from the Grid</v>
      </c>
      <c r="X21" s="1">
        <f t="shared" si="20"/>
        <v>-3.9660359689922479E-2</v>
      </c>
      <c r="Y21" s="1">
        <f t="shared" si="1"/>
        <v>3.9660359689922479E-2</v>
      </c>
      <c r="AA21" s="1">
        <f t="shared" si="6"/>
        <v>-0.6236840977684146</v>
      </c>
      <c r="AC21" s="1">
        <f t="shared" si="21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8"/>
        <v>0</v>
      </c>
      <c r="C22" s="1">
        <f t="shared" si="3"/>
        <v>0</v>
      </c>
      <c r="D22" s="1">
        <f t="shared" si="8"/>
        <v>8.855600775193806E-2</v>
      </c>
      <c r="E22">
        <v>59.27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19"/>
        <v>buy from the Grid</v>
      </c>
      <c r="X22" s="1">
        <f t="shared" si="20"/>
        <v>-3.9660359689922479E-2</v>
      </c>
      <c r="Y22" s="1">
        <f t="shared" si="1"/>
        <v>3.9660359689922479E-2</v>
      </c>
      <c r="AA22" s="1">
        <f t="shared" si="6"/>
        <v>-1.29283138459012</v>
      </c>
      <c r="AC22" s="1">
        <f t="shared" si="21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8"/>
        <v>0</v>
      </c>
      <c r="C23" s="1">
        <f t="shared" si="3"/>
        <v>0</v>
      </c>
      <c r="D23" s="1">
        <f t="shared" si="8"/>
        <v>8.855600775193806E-2</v>
      </c>
      <c r="E23">
        <v>59.27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19"/>
        <v>buy from the Grid</v>
      </c>
      <c r="X23" s="1">
        <f t="shared" si="20"/>
        <v>-2.364367596899225E-2</v>
      </c>
      <c r="Y23" s="1">
        <f t="shared" si="1"/>
        <v>2.364367596899225E-2</v>
      </c>
      <c r="AA23" s="1">
        <f t="shared" si="6"/>
        <v>-1.6917461132722906</v>
      </c>
      <c r="AC23" s="1">
        <f t="shared" si="21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8"/>
        <v>0</v>
      </c>
      <c r="C24" s="1">
        <f t="shared" si="3"/>
        <v>0</v>
      </c>
      <c r="D24" s="1">
        <f t="shared" si="8"/>
        <v>8.855600775193806E-2</v>
      </c>
      <c r="E24">
        <v>59.27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19"/>
        <v>buy from the Grid</v>
      </c>
      <c r="X24" s="1">
        <f t="shared" si="20"/>
        <v>-2.364367596899225E-2</v>
      </c>
      <c r="Y24" s="1">
        <f t="shared" si="1"/>
        <v>2.364367596899225E-2</v>
      </c>
      <c r="AA24" s="1">
        <f t="shared" si="6"/>
        <v>-2.0906608419544614</v>
      </c>
      <c r="AC24" s="1">
        <f t="shared" si="21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8"/>
        <v>0</v>
      </c>
      <c r="C25" s="1">
        <f t="shared" si="3"/>
        <v>0</v>
      </c>
      <c r="D25" s="1">
        <f t="shared" si="8"/>
        <v>8.855600775193806E-2</v>
      </c>
      <c r="E25">
        <v>59.27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19"/>
        <v>buy from the Grid</v>
      </c>
      <c r="X25" s="1">
        <f t="shared" si="20"/>
        <v>-2.364367596899225E-2</v>
      </c>
      <c r="Y25" s="1">
        <f t="shared" si="1"/>
        <v>2.364367596899225E-2</v>
      </c>
      <c r="AA25" s="1">
        <f t="shared" si="6"/>
        <v>-2.489575570636632</v>
      </c>
      <c r="AC25" s="1">
        <f t="shared" si="21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8"/>
        <v>0</v>
      </c>
      <c r="C26" s="1">
        <f t="shared" si="3"/>
        <v>0</v>
      </c>
      <c r="D26" s="1">
        <f t="shared" si="8"/>
        <v>8.855600775193806E-2</v>
      </c>
      <c r="E26">
        <v>59.27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19"/>
        <v>buy from the Grid</v>
      </c>
      <c r="X26" s="1">
        <f t="shared" si="20"/>
        <v>-1.754208217054264E-2</v>
      </c>
      <c r="Y26" s="1">
        <f t="shared" si="1"/>
        <v>1.754208217054264E-2</v>
      </c>
      <c r="AA26" s="1">
        <f t="shared" si="6"/>
        <v>-2.7855445628846942</v>
      </c>
      <c r="AC26" s="1">
        <f t="shared" si="21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8"/>
        <v>0</v>
      </c>
      <c r="C27" s="1">
        <f t="shared" si="3"/>
        <v>0</v>
      </c>
      <c r="D27" s="1">
        <f t="shared" si="8"/>
        <v>8.855600775193806E-2</v>
      </c>
      <c r="E27">
        <v>59.27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19"/>
        <v>buy from the Grid</v>
      </c>
      <c r="X27" s="1">
        <f t="shared" si="20"/>
        <v>-1.754208217054264E-2</v>
      </c>
      <c r="Y27" s="1">
        <f t="shared" si="1"/>
        <v>1.754208217054264E-2</v>
      </c>
      <c r="AA27" s="1">
        <f t="shared" si="6"/>
        <v>-3.0815135551327564</v>
      </c>
      <c r="AC27" s="1">
        <f t="shared" si="21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8"/>
        <v>0</v>
      </c>
      <c r="C28" s="1">
        <f t="shared" si="3"/>
        <v>0</v>
      </c>
      <c r="D28" s="1">
        <f t="shared" si="8"/>
        <v>8.855600775193806E-2</v>
      </c>
      <c r="E28">
        <v>59.27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19"/>
        <v>buy from the Grid</v>
      </c>
      <c r="X28" s="1">
        <f t="shared" si="20"/>
        <v>-1.754208217054264E-2</v>
      </c>
      <c r="Y28" s="1">
        <f t="shared" si="1"/>
        <v>1.754208217054264E-2</v>
      </c>
      <c r="AA28" s="1">
        <f t="shared" si="6"/>
        <v>-3.3774825473808185</v>
      </c>
      <c r="AC28" s="1">
        <f t="shared" si="21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8"/>
        <v>0</v>
      </c>
      <c r="C29" s="1">
        <f t="shared" si="3"/>
        <v>0</v>
      </c>
      <c r="D29" s="1">
        <f t="shared" si="8"/>
        <v>8.855600775193806E-2</v>
      </c>
      <c r="E29">
        <v>59.27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19"/>
        <v>buy from the Grid</v>
      </c>
      <c r="X29" s="1">
        <f t="shared" si="20"/>
        <v>-1.754208217054264E-2</v>
      </c>
      <c r="Y29" s="1">
        <f t="shared" si="1"/>
        <v>1.754208217054264E-2</v>
      </c>
      <c r="AA29" s="1">
        <f t="shared" si="6"/>
        <v>-3.6734515396288807</v>
      </c>
      <c r="AC29" s="1">
        <f t="shared" si="21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8"/>
        <v>0</v>
      </c>
      <c r="C30" s="1">
        <f t="shared" si="3"/>
        <v>0</v>
      </c>
      <c r="D30" s="1">
        <f t="shared" si="8"/>
        <v>8.855600775193806E-2</v>
      </c>
      <c r="E30">
        <v>59.27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19"/>
        <v>buy from the Grid</v>
      </c>
      <c r="X30" s="1">
        <f t="shared" si="20"/>
        <v>-1.754208217054264E-2</v>
      </c>
      <c r="Y30" s="1">
        <f t="shared" si="1"/>
        <v>1.754208217054264E-2</v>
      </c>
      <c r="AA30" s="1">
        <f t="shared" si="6"/>
        <v>-3.9694205318769429</v>
      </c>
      <c r="AC30" s="1">
        <f t="shared" si="21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8"/>
        <v>0</v>
      </c>
      <c r="C31" s="1">
        <f t="shared" si="3"/>
        <v>0</v>
      </c>
      <c r="D31" s="1">
        <f t="shared" si="8"/>
        <v>8.855600775193806E-2</v>
      </c>
      <c r="E31">
        <v>59.27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19"/>
        <v>buy from the Grid</v>
      </c>
      <c r="X31" s="1">
        <f t="shared" si="20"/>
        <v>-2.364367596899225E-2</v>
      </c>
      <c r="Y31" s="1">
        <f t="shared" si="1"/>
        <v>2.364367596899225E-2</v>
      </c>
      <c r="AA31" s="1">
        <f t="shared" si="6"/>
        <v>-4.3683352605591139</v>
      </c>
      <c r="AC31" s="1">
        <f t="shared" si="21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8"/>
        <v>0</v>
      </c>
      <c r="C32" s="1">
        <f t="shared" si="3"/>
        <v>0</v>
      </c>
      <c r="D32" s="1">
        <f t="shared" si="8"/>
        <v>8.855600775193806E-2</v>
      </c>
      <c r="E32">
        <v>59.27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19"/>
        <v>buy from the Grid</v>
      </c>
      <c r="X32" s="1">
        <f t="shared" si="20"/>
        <v>-3.7526639689922481E-2</v>
      </c>
      <c r="Y32" s="1">
        <f t="shared" si="1"/>
        <v>3.9660359689922479E-2</v>
      </c>
      <c r="AA32" s="1">
        <f t="shared" si="6"/>
        <v>-5.0014825473808191</v>
      </c>
      <c r="AC32" s="1">
        <f t="shared" si="21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8"/>
        <v>0</v>
      </c>
      <c r="C33" s="1">
        <f t="shared" si="3"/>
        <v>0</v>
      </c>
      <c r="D33" s="1">
        <f t="shared" si="8"/>
        <v>8.855600775193806E-2</v>
      </c>
      <c r="E33">
        <v>59.27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19"/>
        <v>buy from the Grid</v>
      </c>
      <c r="X33" s="1">
        <f t="shared" si="20"/>
        <v>-3.4630220465116289E-2</v>
      </c>
      <c r="Y33" s="1">
        <f t="shared" si="1"/>
        <v>3.8897660465116286E-2</v>
      </c>
      <c r="AA33" s="1">
        <f t="shared" si="6"/>
        <v>-5.5857616171482611</v>
      </c>
      <c r="AC33" s="1">
        <f t="shared" si="21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8"/>
        <v>0</v>
      </c>
      <c r="C34" s="1">
        <f t="shared" si="3"/>
        <v>0</v>
      </c>
      <c r="D34" s="1">
        <f t="shared" si="8"/>
        <v>8.855600775193806E-2</v>
      </c>
      <c r="E34">
        <v>59.27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19"/>
        <v>buy from the Grid</v>
      </c>
      <c r="X34" s="1">
        <f t="shared" si="20"/>
        <v>-3.249650046511629E-2</v>
      </c>
      <c r="Y34" s="1">
        <f t="shared" si="1"/>
        <v>3.8897660465116286E-2</v>
      </c>
      <c r="AA34" s="1">
        <f t="shared" si="6"/>
        <v>-6.1340406869157036</v>
      </c>
      <c r="AC34" s="1">
        <f t="shared" si="21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8"/>
        <v>0</v>
      </c>
      <c r="C35" s="1">
        <f t="shared" si="3"/>
        <v>0</v>
      </c>
      <c r="D35" s="1">
        <f t="shared" si="8"/>
        <v>8.855600775193806E-2</v>
      </c>
      <c r="E35">
        <v>59.27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19"/>
        <v>buy from the Grid</v>
      </c>
      <c r="X35" s="1">
        <f t="shared" si="20"/>
        <v>-1.3083189767621281E-2</v>
      </c>
      <c r="Y35" s="1">
        <f t="shared" si="1"/>
        <v>2.364367596899225E-2</v>
      </c>
      <c r="AA35" s="1">
        <f t="shared" si="6"/>
        <v>-6.3547795053334744</v>
      </c>
      <c r="AC35" s="1">
        <f t="shared" si="21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8"/>
        <v>0</v>
      </c>
      <c r="C36" s="1">
        <f t="shared" si="3"/>
        <v>0</v>
      </c>
      <c r="D36" s="1">
        <f t="shared" si="8"/>
        <v>8.855600775193806E-2</v>
      </c>
      <c r="E36">
        <v>59.27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2">0.25/L36</f>
        <v>0.62670034978624167</v>
      </c>
      <c r="Q36" s="1">
        <f t="shared" ref="Q36:Q42" si="23">K36-P36*L36</f>
        <v>0.35861301522300082</v>
      </c>
      <c r="R36" s="1">
        <f t="shared" ref="R36:R42" si="24">((1/(E36+0.01))*LN(0.25))+(E36*(K36-0.25))</f>
        <v>21.231607879859705</v>
      </c>
      <c r="S36" s="1">
        <f t="shared" ref="S36:S42" si="25">((1/(E36+0.01))*LN(L36))+(E36*(K36-L36))</f>
        <v>12.413314616056587</v>
      </c>
      <c r="T36" s="1">
        <f t="shared" ref="T36:T42" si="26">(S36+((S36^2)-4*(K36-L36*P36)*LN(L36*P36))^(0.5))/(2*(K36-L36*P36))</f>
        <v>34.726111138912799</v>
      </c>
      <c r="U36" s="1" t="str">
        <f t="shared" ref="U36:U42" si="27">IF(E36&gt;=T36*1.05,"sell to the Grid","charge")</f>
        <v>sell to the Grid</v>
      </c>
      <c r="W36" s="1">
        <f t="shared" ref="W36:W42" si="28">(Q36*E36)/1000</f>
        <v>2.1254993412267262E-2</v>
      </c>
      <c r="Y36" s="1">
        <f t="shared" si="1"/>
        <v>2.364367596899225E-2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8"/>
        <v>0</v>
      </c>
      <c r="C37" s="1">
        <f t="shared" si="3"/>
        <v>0</v>
      </c>
      <c r="D37" s="1">
        <f t="shared" si="8"/>
        <v>8.855600775193806E-2</v>
      </c>
      <c r="E37">
        <v>59.27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2"/>
        <v>0.62670034978624167</v>
      </c>
      <c r="Q37" s="1">
        <f t="shared" si="23"/>
        <v>0.8263999999999998</v>
      </c>
      <c r="R37" s="1">
        <f t="shared" si="24"/>
        <v>48.95734246759244</v>
      </c>
      <c r="S37" s="1">
        <f t="shared" si="25"/>
        <v>40.13904920378932</v>
      </c>
      <c r="T37" s="1">
        <f t="shared" si="26"/>
        <v>48.605482286774539</v>
      </c>
      <c r="U37" s="1" t="str">
        <f t="shared" si="27"/>
        <v>sell to the Grid</v>
      </c>
      <c r="W37" s="1">
        <f t="shared" si="28"/>
        <v>4.8980727999999994E-2</v>
      </c>
      <c r="Y37" s="1">
        <f t="shared" si="1"/>
        <v>2.364367596899225E-2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8"/>
        <v>0</v>
      </c>
      <c r="C38" s="1">
        <f t="shared" si="3"/>
        <v>0</v>
      </c>
      <c r="D38" s="1">
        <f t="shared" si="8"/>
        <v>8.855600775193806E-2</v>
      </c>
      <c r="E38">
        <v>59.27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2"/>
        <v>0.62670034978624167</v>
      </c>
      <c r="Q38" s="1">
        <f t="shared" si="23"/>
        <v>1.3916000000000002</v>
      </c>
      <c r="R38" s="1">
        <f t="shared" si="24"/>
        <v>82.456746467592453</v>
      </c>
      <c r="S38" s="1">
        <f t="shared" si="25"/>
        <v>73.638453203789339</v>
      </c>
      <c r="T38" s="1">
        <f t="shared" si="26"/>
        <v>52.935212499391028</v>
      </c>
      <c r="U38" s="1" t="str">
        <f t="shared" si="27"/>
        <v>sell to the Grid</v>
      </c>
      <c r="W38" s="1">
        <f t="shared" si="28"/>
        <v>8.2480132000000012E-2</v>
      </c>
      <c r="Y38" s="1">
        <f t="shared" si="1"/>
        <v>2.364367596899225E-2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8"/>
        <v>0</v>
      </c>
      <c r="C39" s="1">
        <f t="shared" si="3"/>
        <v>0</v>
      </c>
      <c r="D39" s="1">
        <f t="shared" si="8"/>
        <v>8.855600775193806E-2</v>
      </c>
      <c r="E39">
        <v>59.27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2"/>
        <v>0.62670034978624167</v>
      </c>
      <c r="Q39" s="1">
        <f t="shared" si="23"/>
        <v>1.5247999999999999</v>
      </c>
      <c r="R39" s="1">
        <f t="shared" si="24"/>
        <v>90.351510467592448</v>
      </c>
      <c r="S39" s="1">
        <f t="shared" si="25"/>
        <v>81.53321720378932</v>
      </c>
      <c r="T39" s="1">
        <f t="shared" si="26"/>
        <v>53.488414782456992</v>
      </c>
      <c r="U39" s="1" t="str">
        <f t="shared" si="27"/>
        <v>sell to the Grid</v>
      </c>
      <c r="W39" s="1">
        <f t="shared" si="28"/>
        <v>9.037489600000001E-2</v>
      </c>
      <c r="Y39" s="1">
        <f t="shared" si="1"/>
        <v>2.364367596899225E-2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8"/>
        <v>0</v>
      </c>
      <c r="C40" s="1">
        <f t="shared" si="3"/>
        <v>0</v>
      </c>
      <c r="D40" s="1">
        <f t="shared" si="8"/>
        <v>8.855600775193806E-2</v>
      </c>
      <c r="E40">
        <v>59.27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2"/>
        <v>0.62670034978624167</v>
      </c>
      <c r="Q40" s="1">
        <f t="shared" si="23"/>
        <v>1.4096</v>
      </c>
      <c r="R40" s="1">
        <f t="shared" si="24"/>
        <v>83.523606467592444</v>
      </c>
      <c r="S40" s="1">
        <f t="shared" si="25"/>
        <v>74.705313203789331</v>
      </c>
      <c r="T40" s="1">
        <f t="shared" si="26"/>
        <v>53.016076737657748</v>
      </c>
      <c r="U40" s="1" t="str">
        <f t="shared" si="27"/>
        <v>sell to the Grid</v>
      </c>
      <c r="W40" s="1">
        <f t="shared" si="28"/>
        <v>8.3546992E-2</v>
      </c>
      <c r="Y40" s="1">
        <f t="shared" si="1"/>
        <v>2.364367596899225E-2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8"/>
        <v>0</v>
      </c>
      <c r="C41" s="1">
        <f t="shared" si="3"/>
        <v>0</v>
      </c>
      <c r="D41" s="1">
        <f t="shared" si="8"/>
        <v>8.855600775193806E-2</v>
      </c>
      <c r="E41">
        <v>59.27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2"/>
        <v>0.62670034978624167</v>
      </c>
      <c r="Q41" s="1">
        <f t="shared" si="23"/>
        <v>1.1612</v>
      </c>
      <c r="R41" s="1">
        <f t="shared" si="24"/>
        <v>68.800938467592445</v>
      </c>
      <c r="S41" s="1">
        <f t="shared" si="25"/>
        <v>59.982645203789332</v>
      </c>
      <c r="T41" s="1">
        <f t="shared" si="26"/>
        <v>51.678841187200618</v>
      </c>
      <c r="U41" s="1" t="str">
        <f t="shared" si="27"/>
        <v>sell to the Grid</v>
      </c>
      <c r="W41" s="1">
        <f t="shared" si="28"/>
        <v>6.8824324000000006E-2</v>
      </c>
      <c r="Y41" s="1">
        <f t="shared" si="1"/>
        <v>2.364367596899225E-2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8"/>
        <v>0</v>
      </c>
      <c r="C42" s="1">
        <f t="shared" si="3"/>
        <v>0</v>
      </c>
      <c r="D42" s="1">
        <f t="shared" si="8"/>
        <v>8.855600775193806E-2</v>
      </c>
      <c r="E42">
        <v>59.27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2"/>
        <v>0.62670034978624167</v>
      </c>
      <c r="Q42" s="1">
        <f t="shared" si="23"/>
        <v>0.8335999999999999</v>
      </c>
      <c r="R42" s="1">
        <f t="shared" si="24"/>
        <v>49.384086467592446</v>
      </c>
      <c r="S42" s="1">
        <f t="shared" si="25"/>
        <v>40.565793203789326</v>
      </c>
      <c r="T42" s="1">
        <f t="shared" si="26"/>
        <v>48.697529571952359</v>
      </c>
      <c r="U42" s="1" t="str">
        <f t="shared" si="27"/>
        <v>sell to the Grid</v>
      </c>
      <c r="W42" s="1">
        <f t="shared" si="28"/>
        <v>4.9407472000000001E-2</v>
      </c>
      <c r="Y42" s="1">
        <f t="shared" si="1"/>
        <v>2.364367596899225E-2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8"/>
        <v>0</v>
      </c>
      <c r="C43" s="1">
        <f t="shared" si="3"/>
        <v>0</v>
      </c>
      <c r="D43" s="1">
        <f t="shared" si="8"/>
        <v>8.855600775193806E-2</v>
      </c>
      <c r="E43">
        <v>59.27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29">IF(D43+M43&gt;0,"discharge","buy from the Grid")</f>
        <v>buy from the Grid</v>
      </c>
      <c r="X43" s="1">
        <f t="shared" ref="X43:X58" si="30">(M43*E43)/1000</f>
        <v>-7.6545596899224794E-3</v>
      </c>
      <c r="Y43" s="1">
        <f t="shared" si="1"/>
        <v>3.9660359689922479E-2</v>
      </c>
      <c r="AA43" s="1">
        <f t="shared" si="6"/>
        <v>-2.0516877707372982E-2</v>
      </c>
      <c r="AC43" s="1">
        <f t="shared" ref="AC43:AC58" si="31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8"/>
        <v>0</v>
      </c>
      <c r="C44" s="1">
        <f t="shared" si="3"/>
        <v>0</v>
      </c>
      <c r="D44" s="1">
        <f t="shared" si="8"/>
        <v>8.855600775193806E-2</v>
      </c>
      <c r="E44">
        <v>59.27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29"/>
        <v>buy from the Grid</v>
      </c>
      <c r="X44" s="1">
        <f t="shared" si="30"/>
        <v>-3.1552223689922484E-2</v>
      </c>
      <c r="Y44" s="1">
        <f t="shared" si="1"/>
        <v>3.9660359689922479E-2</v>
      </c>
      <c r="AA44" s="1">
        <f t="shared" si="6"/>
        <v>-0.55286416452907838</v>
      </c>
      <c r="AC44" s="1">
        <f t="shared" si="31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8"/>
        <v>0</v>
      </c>
      <c r="C45" s="1">
        <f t="shared" si="3"/>
        <v>0</v>
      </c>
      <c r="D45" s="1">
        <f t="shared" si="8"/>
        <v>8.855600775193806E-2</v>
      </c>
      <c r="E45">
        <v>59.27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29"/>
        <v>buy from the Grid</v>
      </c>
      <c r="X45" s="1">
        <f t="shared" si="30"/>
        <v>-3.8897660465116286E-2</v>
      </c>
      <c r="Y45" s="1">
        <f t="shared" si="1"/>
        <v>3.8897660465116286E-2</v>
      </c>
      <c r="AA45" s="1">
        <f t="shared" si="6"/>
        <v>-1.2091432342965205</v>
      </c>
      <c r="AC45" s="1">
        <f t="shared" si="31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8"/>
        <v>0</v>
      </c>
      <c r="C46" s="1">
        <f t="shared" si="3"/>
        <v>0</v>
      </c>
      <c r="D46" s="1">
        <f t="shared" si="8"/>
        <v>8.855600775193806E-2</v>
      </c>
      <c r="E46">
        <v>59.27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29"/>
        <v>buy from the Grid</v>
      </c>
      <c r="X46" s="1">
        <f t="shared" si="30"/>
        <v>-3.9660359689922479E-2</v>
      </c>
      <c r="Y46" s="1">
        <f t="shared" si="1"/>
        <v>3.9660359689922479E-2</v>
      </c>
      <c r="AA46" s="1">
        <f t="shared" si="6"/>
        <v>-1.8782905211182259</v>
      </c>
      <c r="AC46" s="1">
        <f t="shared" si="31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8"/>
        <v>0</v>
      </c>
      <c r="C47" s="1">
        <f t="shared" si="3"/>
        <v>0</v>
      </c>
      <c r="D47" s="1">
        <f t="shared" si="8"/>
        <v>8.855600775193806E-2</v>
      </c>
      <c r="E47">
        <v>59.27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29"/>
        <v>buy from the Grid</v>
      </c>
      <c r="X47" s="1">
        <f t="shared" si="30"/>
        <v>-2.364367596899225E-2</v>
      </c>
      <c r="Y47" s="1">
        <f t="shared" si="1"/>
        <v>2.364367596899225E-2</v>
      </c>
      <c r="AA47" s="1">
        <f t="shared" si="6"/>
        <v>-2.2772052498003967</v>
      </c>
      <c r="AC47" s="1">
        <f t="shared" si="31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8"/>
        <v>0</v>
      </c>
      <c r="C48" s="1">
        <f t="shared" si="3"/>
        <v>0</v>
      </c>
      <c r="D48" s="1">
        <f t="shared" si="8"/>
        <v>8.855600775193806E-2</v>
      </c>
      <c r="E48">
        <v>59.27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29"/>
        <v>buy from the Grid</v>
      </c>
      <c r="X48" s="1">
        <f t="shared" si="30"/>
        <v>-2.364367596899225E-2</v>
      </c>
      <c r="Y48" s="1">
        <f t="shared" si="1"/>
        <v>2.364367596899225E-2</v>
      </c>
      <c r="AA48" s="1">
        <f t="shared" si="6"/>
        <v>-2.6761199784825673</v>
      </c>
      <c r="AC48" s="1">
        <f t="shared" si="31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8"/>
        <v>0</v>
      </c>
      <c r="C49" s="1">
        <f t="shared" si="3"/>
        <v>0</v>
      </c>
      <c r="D49" s="1">
        <f t="shared" si="8"/>
        <v>8.855600775193806E-2</v>
      </c>
      <c r="E49">
        <v>59.27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29"/>
        <v>buy from the Grid</v>
      </c>
      <c r="X49" s="1">
        <f t="shared" si="30"/>
        <v>-2.364367596899225E-2</v>
      </c>
      <c r="Y49" s="1">
        <f t="shared" si="1"/>
        <v>2.364367596899225E-2</v>
      </c>
      <c r="AA49" s="1">
        <f t="shared" si="6"/>
        <v>-3.0750347071647379</v>
      </c>
      <c r="AC49" s="1">
        <f t="shared" si="31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8"/>
        <v>0</v>
      </c>
      <c r="C50" s="1">
        <f t="shared" si="3"/>
        <v>0</v>
      </c>
      <c r="D50" s="1">
        <f t="shared" si="8"/>
        <v>8.855600775193806E-2</v>
      </c>
      <c r="E50">
        <v>59.27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29"/>
        <v>buy from the Grid</v>
      </c>
      <c r="X50" s="1">
        <f t="shared" si="30"/>
        <v>-1.754208217054264E-2</v>
      </c>
      <c r="Y50" s="1">
        <f t="shared" si="1"/>
        <v>1.754208217054264E-2</v>
      </c>
      <c r="AA50" s="1">
        <f t="shared" si="6"/>
        <v>-3.3710036994128001</v>
      </c>
      <c r="AC50" s="1">
        <f t="shared" si="31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8"/>
        <v>0</v>
      </c>
      <c r="C51" s="1">
        <f t="shared" si="3"/>
        <v>0</v>
      </c>
      <c r="D51" s="1">
        <f t="shared" si="8"/>
        <v>8.855600775193806E-2</v>
      </c>
      <c r="E51">
        <v>59.27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29"/>
        <v>buy from the Grid</v>
      </c>
      <c r="X51" s="1">
        <f t="shared" si="30"/>
        <v>-1.754208217054264E-2</v>
      </c>
      <c r="Y51" s="1">
        <f t="shared" si="1"/>
        <v>1.754208217054264E-2</v>
      </c>
      <c r="AA51" s="1">
        <f t="shared" si="6"/>
        <v>-3.6669726916608623</v>
      </c>
      <c r="AC51" s="1">
        <f t="shared" si="31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8"/>
        <v>0</v>
      </c>
      <c r="C52" s="1">
        <f t="shared" si="3"/>
        <v>0</v>
      </c>
      <c r="D52" s="1">
        <f t="shared" si="8"/>
        <v>8.855600775193806E-2</v>
      </c>
      <c r="E52">
        <v>59.27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29"/>
        <v>buy from the Grid</v>
      </c>
      <c r="X52" s="1">
        <f t="shared" si="30"/>
        <v>-1.754208217054264E-2</v>
      </c>
      <c r="Y52" s="1">
        <f t="shared" si="1"/>
        <v>1.754208217054264E-2</v>
      </c>
      <c r="AA52" s="1">
        <f t="shared" si="6"/>
        <v>-3.9629416839089244</v>
      </c>
      <c r="AC52" s="1">
        <f t="shared" si="31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8"/>
        <v>0</v>
      </c>
      <c r="C53" s="1">
        <f t="shared" si="3"/>
        <v>0</v>
      </c>
      <c r="D53" s="1">
        <f t="shared" si="8"/>
        <v>8.855600775193806E-2</v>
      </c>
      <c r="E53">
        <v>59.27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29"/>
        <v>buy from the Grid</v>
      </c>
      <c r="X53" s="1">
        <f t="shared" si="30"/>
        <v>-1.754208217054264E-2</v>
      </c>
      <c r="Y53" s="1">
        <f t="shared" si="1"/>
        <v>1.754208217054264E-2</v>
      </c>
      <c r="AA53" s="1">
        <f t="shared" si="6"/>
        <v>-4.2589106761569866</v>
      </c>
      <c r="AC53" s="1">
        <f t="shared" si="31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8"/>
        <v>0</v>
      </c>
      <c r="C54" s="1">
        <f t="shared" si="3"/>
        <v>0</v>
      </c>
      <c r="D54" s="1">
        <f t="shared" si="8"/>
        <v>8.855600775193806E-2</v>
      </c>
      <c r="E54">
        <v>59.27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29"/>
        <v>buy from the Grid</v>
      </c>
      <c r="X54" s="1">
        <f t="shared" si="30"/>
        <v>-1.754208217054264E-2</v>
      </c>
      <c r="Y54" s="1">
        <f t="shared" si="1"/>
        <v>1.754208217054264E-2</v>
      </c>
      <c r="AA54" s="1">
        <f t="shared" si="6"/>
        <v>-4.5548796684050483</v>
      </c>
      <c r="AC54" s="1">
        <f t="shared" si="31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8"/>
        <v>0</v>
      </c>
      <c r="C55" s="1">
        <f t="shared" si="3"/>
        <v>0</v>
      </c>
      <c r="D55" s="1">
        <f t="shared" si="8"/>
        <v>8.855600775193806E-2</v>
      </c>
      <c r="E55">
        <v>59.27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29"/>
        <v>buy from the Grid</v>
      </c>
      <c r="X55" s="1">
        <f t="shared" si="30"/>
        <v>-2.364367596899225E-2</v>
      </c>
      <c r="Y55" s="1">
        <f t="shared" si="1"/>
        <v>2.364367596899225E-2</v>
      </c>
      <c r="AA55" s="1">
        <f t="shared" si="6"/>
        <v>-4.9537943970872185</v>
      </c>
      <c r="AC55" s="1">
        <f t="shared" si="31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8"/>
        <v>0</v>
      </c>
      <c r="C56" s="1">
        <f t="shared" si="3"/>
        <v>0</v>
      </c>
      <c r="D56" s="1">
        <f t="shared" si="8"/>
        <v>8.855600775193806E-2</v>
      </c>
      <c r="E56">
        <v>59.27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29"/>
        <v>buy from the Grid</v>
      </c>
      <c r="X56" s="1">
        <f t="shared" si="30"/>
        <v>-3.9660359689922479E-2</v>
      </c>
      <c r="Y56" s="1">
        <f t="shared" si="1"/>
        <v>3.9660359689922479E-2</v>
      </c>
      <c r="AA56" s="1">
        <f t="shared" si="6"/>
        <v>-5.6229416839089241</v>
      </c>
      <c r="AC56" s="1">
        <f t="shared" si="31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8"/>
        <v>0</v>
      </c>
      <c r="C57" s="1">
        <f t="shared" si="3"/>
        <v>0</v>
      </c>
      <c r="D57" s="1">
        <f t="shared" si="8"/>
        <v>8.855600775193806E-2</v>
      </c>
      <c r="E57">
        <v>59.27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29"/>
        <v>buy from the Grid</v>
      </c>
      <c r="X57" s="1">
        <f t="shared" si="30"/>
        <v>-3.8700185689922485E-2</v>
      </c>
      <c r="Y57" s="1">
        <f t="shared" si="1"/>
        <v>3.9660359689922479E-2</v>
      </c>
      <c r="AA57" s="1">
        <f t="shared" si="6"/>
        <v>-6.2758889707306293</v>
      </c>
      <c r="AC57" s="1">
        <f t="shared" si="31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8"/>
        <v>0</v>
      </c>
      <c r="C58" s="1">
        <f t="shared" si="3"/>
        <v>0</v>
      </c>
      <c r="D58" s="1">
        <f t="shared" si="8"/>
        <v>8.855600775193806E-2</v>
      </c>
      <c r="E58">
        <v>59.27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29"/>
        <v>buy from the Grid</v>
      </c>
      <c r="X58" s="1">
        <f t="shared" si="30"/>
        <v>-2.5151063689922482E-2</v>
      </c>
      <c r="Y58" s="1">
        <f t="shared" si="1"/>
        <v>3.9660359689922479E-2</v>
      </c>
      <c r="AA58" s="1">
        <f t="shared" si="6"/>
        <v>-6.7002362575523344</v>
      </c>
      <c r="AC58" s="1">
        <f t="shared" si="31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8"/>
        <v>0</v>
      </c>
      <c r="C59" s="1">
        <f t="shared" si="3"/>
        <v>0</v>
      </c>
      <c r="D59" s="1">
        <f t="shared" si="8"/>
        <v>8.855600775193806E-2</v>
      </c>
      <c r="E59">
        <v>59.27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2">0.25/L59</f>
        <v>0.62670034978624167</v>
      </c>
      <c r="Q59" s="1">
        <f t="shared" ref="Q59:Q67" si="33">K59-P59*L59</f>
        <v>0.50959999999999994</v>
      </c>
      <c r="R59" s="1">
        <f t="shared" ref="R59:R67" si="34">((1/(E59+0.01))*LN(0.25))+(E59*(K59-0.25))</f>
        <v>30.180606467592444</v>
      </c>
      <c r="S59" s="1">
        <f t="shared" ref="S59:S67" si="35">((1/(E59+0.01))*LN(L59))+(E59*(K59-L59))</f>
        <v>21.362313203789324</v>
      </c>
      <c r="T59" s="1">
        <f t="shared" ref="T59:T67" si="36">(S59+((S59^2)-4*(K59-L59*P59)*LN(L59*P59))^(0.5))/(2*(K59-L59*P59))</f>
        <v>41.984561126312826</v>
      </c>
      <c r="U59" s="1" t="str">
        <f t="shared" ref="U59:U67" si="37">IF(E59&gt;=T59*1.05,"sell to the Grid","charge")</f>
        <v>sell to the Grid</v>
      </c>
      <c r="W59" s="1">
        <f t="shared" ref="W59:W67" si="38">(Q59*E59)/1000</f>
        <v>3.0203991999999999E-2</v>
      </c>
      <c r="Y59" s="1">
        <f t="shared" si="1"/>
        <v>2.364367596899225E-2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8"/>
        <v>0</v>
      </c>
      <c r="C60" s="1">
        <f t="shared" si="3"/>
        <v>0</v>
      </c>
      <c r="D60" s="1">
        <f t="shared" si="8"/>
        <v>8.855600775193806E-2</v>
      </c>
      <c r="E60">
        <v>59.27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2"/>
        <v>0.62670034978624167</v>
      </c>
      <c r="Q60" s="1">
        <f t="shared" si="33"/>
        <v>1.1828000000000001</v>
      </c>
      <c r="R60" s="1">
        <f t="shared" si="34"/>
        <v>70.081170467592443</v>
      </c>
      <c r="S60" s="1">
        <f t="shared" si="35"/>
        <v>61.262877203789337</v>
      </c>
      <c r="T60" s="1">
        <f t="shared" si="36"/>
        <v>51.817408397173388</v>
      </c>
      <c r="U60" s="1" t="str">
        <f t="shared" si="37"/>
        <v>sell to the Grid</v>
      </c>
      <c r="W60" s="1">
        <f t="shared" si="38"/>
        <v>7.0104555999999998E-2</v>
      </c>
      <c r="Y60" s="1">
        <f t="shared" si="1"/>
        <v>2.364367596899225E-2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8"/>
        <v>0</v>
      </c>
      <c r="C61" s="1">
        <f t="shared" si="3"/>
        <v>0</v>
      </c>
      <c r="D61" s="1">
        <f t="shared" si="8"/>
        <v>8.855600775193806E-2</v>
      </c>
      <c r="E61">
        <v>59.27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2"/>
        <v>0.62670034978624167</v>
      </c>
      <c r="Q61" s="1">
        <f t="shared" si="33"/>
        <v>1.6616000000000002</v>
      </c>
      <c r="R61" s="1">
        <f t="shared" si="34"/>
        <v>98.459646467592464</v>
      </c>
      <c r="S61" s="1">
        <f t="shared" si="35"/>
        <v>89.641353203789336</v>
      </c>
      <c r="T61" s="1">
        <f t="shared" si="36"/>
        <v>53.964276791036603</v>
      </c>
      <c r="U61" s="1" t="str">
        <f t="shared" si="37"/>
        <v>sell to the Grid</v>
      </c>
      <c r="W61" s="1">
        <f t="shared" si="38"/>
        <v>9.8483032000000026E-2</v>
      </c>
      <c r="Y61" s="1">
        <f t="shared" si="1"/>
        <v>2.364367596899225E-2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8"/>
        <v>0</v>
      </c>
      <c r="C62" s="1">
        <f t="shared" si="3"/>
        <v>0</v>
      </c>
      <c r="D62" s="1">
        <f t="shared" si="8"/>
        <v>8.855600775193806E-2</v>
      </c>
      <c r="E62">
        <v>59.27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2"/>
        <v>0.62670034978624167</v>
      </c>
      <c r="Q62" s="1">
        <f t="shared" si="33"/>
        <v>1.9388000000000001</v>
      </c>
      <c r="R62" s="1">
        <f t="shared" si="34"/>
        <v>114.88929046759245</v>
      </c>
      <c r="S62" s="1">
        <f t="shared" si="35"/>
        <v>106.07099720378933</v>
      </c>
      <c r="T62" s="1">
        <f t="shared" si="36"/>
        <v>54.722679126387447</v>
      </c>
      <c r="U62" s="1" t="str">
        <f t="shared" si="37"/>
        <v>sell to the Grid</v>
      </c>
      <c r="W62" s="1">
        <f t="shared" si="38"/>
        <v>0.11491267600000001</v>
      </c>
      <c r="Y62" s="1">
        <f t="shared" si="1"/>
        <v>2.364367596899225E-2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8"/>
        <v>0</v>
      </c>
      <c r="C63" s="1">
        <f t="shared" si="3"/>
        <v>0</v>
      </c>
      <c r="D63" s="1">
        <f t="shared" si="8"/>
        <v>8.855600775193806E-2</v>
      </c>
      <c r="E63">
        <v>59.27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2"/>
        <v>0.62670034978624167</v>
      </c>
      <c r="Q63" s="1">
        <f t="shared" si="33"/>
        <v>2.1008</v>
      </c>
      <c r="R63" s="1">
        <f t="shared" si="34"/>
        <v>124.49103046759245</v>
      </c>
      <c r="S63" s="1">
        <f t="shared" si="35"/>
        <v>115.67273720378932</v>
      </c>
      <c r="T63" s="1">
        <f t="shared" si="36"/>
        <v>55.073262102998882</v>
      </c>
      <c r="U63" s="1" t="str">
        <f t="shared" si="37"/>
        <v>sell to the Grid</v>
      </c>
      <c r="W63" s="1">
        <f t="shared" si="38"/>
        <v>0.12451441600000002</v>
      </c>
      <c r="Y63" s="1">
        <f t="shared" si="1"/>
        <v>2.364367596899225E-2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8"/>
        <v>0</v>
      </c>
      <c r="C64" s="1">
        <f t="shared" si="3"/>
        <v>0</v>
      </c>
      <c r="D64" s="1">
        <f t="shared" si="8"/>
        <v>8.855600775193806E-2</v>
      </c>
      <c r="E64">
        <v>59.27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2"/>
        <v>0.62670034978624167</v>
      </c>
      <c r="Q64" s="1">
        <f t="shared" si="33"/>
        <v>1.9855999999999998</v>
      </c>
      <c r="R64" s="1">
        <f t="shared" si="34"/>
        <v>117.66312646759243</v>
      </c>
      <c r="S64" s="1">
        <f t="shared" si="35"/>
        <v>108.84483320378932</v>
      </c>
      <c r="T64" s="1">
        <f t="shared" si="36"/>
        <v>54.829833189833543</v>
      </c>
      <c r="U64" s="1" t="str">
        <f t="shared" si="37"/>
        <v>sell to the Grid</v>
      </c>
      <c r="W64" s="1">
        <f t="shared" si="38"/>
        <v>0.11768651199999999</v>
      </c>
      <c r="Y64" s="1">
        <f t="shared" si="1"/>
        <v>2.364367596899225E-2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8"/>
        <v>0</v>
      </c>
      <c r="C65" s="1">
        <f t="shared" si="3"/>
        <v>0</v>
      </c>
      <c r="D65" s="1">
        <f t="shared" si="8"/>
        <v>8.855600775193806E-2</v>
      </c>
      <c r="E65">
        <v>59.27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2"/>
        <v>0.62670034978624167</v>
      </c>
      <c r="Q65" s="1">
        <f t="shared" si="33"/>
        <v>1.6976</v>
      </c>
      <c r="R65" s="1">
        <f t="shared" si="34"/>
        <v>100.59336646759245</v>
      </c>
      <c r="S65" s="1">
        <f t="shared" si="35"/>
        <v>91.775073203789333</v>
      </c>
      <c r="T65" s="1">
        <f t="shared" si="36"/>
        <v>54.076760650706312</v>
      </c>
      <c r="U65" s="1" t="str">
        <f t="shared" si="37"/>
        <v>sell to the Grid</v>
      </c>
      <c r="W65" s="1">
        <f t="shared" si="38"/>
        <v>0.100616752</v>
      </c>
      <c r="Y65" s="1">
        <f t="shared" si="1"/>
        <v>2.364367596899225E-2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8"/>
        <v>0</v>
      </c>
      <c r="C66" s="1">
        <f t="shared" si="3"/>
        <v>0</v>
      </c>
      <c r="D66" s="1">
        <f t="shared" si="8"/>
        <v>8.855600775193806E-2</v>
      </c>
      <c r="E66">
        <v>59.27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2"/>
        <v>0.62670034978624167</v>
      </c>
      <c r="Q66" s="1">
        <f t="shared" si="33"/>
        <v>1.2547999999999999</v>
      </c>
      <c r="R66" s="1">
        <f t="shared" si="34"/>
        <v>74.348610467592437</v>
      </c>
      <c r="S66" s="1">
        <f t="shared" si="35"/>
        <v>65.530317203789323</v>
      </c>
      <c r="T66" s="1">
        <f t="shared" si="36"/>
        <v>52.244861143603224</v>
      </c>
      <c r="U66" s="1" t="str">
        <f t="shared" si="37"/>
        <v>sell to the Grid</v>
      </c>
      <c r="W66" s="1">
        <f t="shared" si="38"/>
        <v>7.4371995999999996E-2</v>
      </c>
      <c r="Y66" s="1">
        <f t="shared" ref="Y66:Y129" si="39">(L66*E66)/1000</f>
        <v>2.364367596899225E-2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8"/>
        <v>0</v>
      </c>
      <c r="C67" s="1">
        <f t="shared" ref="C67:C130" si="40">IF(V66="discharge",M66,0)</f>
        <v>0</v>
      </c>
      <c r="D67" s="1">
        <f t="shared" si="8"/>
        <v>8.855600775193806E-2</v>
      </c>
      <c r="E67">
        <v>59.27</v>
      </c>
      <c r="K67" s="1">
        <f>'Solar Availability and Gener GR'!F67</f>
        <v>0.9396000000000001</v>
      </c>
      <c r="L67" s="1">
        <v>0.65627906976744199</v>
      </c>
      <c r="M67" s="1">
        <f t="shared" ref="M67:M130" si="41">K67-L67</f>
        <v>0.28332093023255811</v>
      </c>
      <c r="N67" s="1" t="str">
        <f t="shared" ref="N67:N130" si="42">IF(M67&lt;0,"Buy from Grid","sell the surplus or charge")</f>
        <v>sell the surplus or charge</v>
      </c>
      <c r="O67" s="1">
        <v>0.25</v>
      </c>
      <c r="P67" s="1">
        <f t="shared" si="32"/>
        <v>0.38093550673281351</v>
      </c>
      <c r="Q67" s="1">
        <f t="shared" si="33"/>
        <v>0.6896000000000001</v>
      </c>
      <c r="R67" s="1">
        <f t="shared" si="34"/>
        <v>40.84920646759246</v>
      </c>
      <c r="S67" s="1">
        <f t="shared" si="35"/>
        <v>16.785326791812381</v>
      </c>
      <c r="T67" s="1">
        <f t="shared" si="36"/>
        <v>24.422982410600522</v>
      </c>
      <c r="U67" s="1" t="str">
        <f t="shared" si="37"/>
        <v>sell to the Grid</v>
      </c>
      <c r="W67" s="1">
        <f t="shared" si="38"/>
        <v>4.0872592000000013E-2</v>
      </c>
      <c r="Y67" s="1">
        <f t="shared" si="39"/>
        <v>3.8897660465116286E-2</v>
      </c>
      <c r="AA67" s="1">
        <f t="shared" ref="AA67:AA130" si="43">M67+AA66</f>
        <v>4.7233668432228599</v>
      </c>
      <c r="AD67" s="1">
        <f t="shared" ref="AD67:AD130" si="44">AC67+O67</f>
        <v>0.25</v>
      </c>
    </row>
    <row r="68" spans="1:30" ht="15">
      <c r="A68" s="1">
        <v>67</v>
      </c>
      <c r="B68" s="1">
        <f t="shared" si="18"/>
        <v>0</v>
      </c>
      <c r="C68" s="1">
        <f t="shared" si="40"/>
        <v>0</v>
      </c>
      <c r="D68" s="1">
        <f t="shared" ref="D68:D131" si="45">(D67)+(B68*0.8)+(C68/0.8)</f>
        <v>8.855600775193806E-2</v>
      </c>
      <c r="E68">
        <v>59.27</v>
      </c>
      <c r="K68" s="1">
        <f>'Solar Availability and Gener GR'!F68</f>
        <v>0.34559999999999996</v>
      </c>
      <c r="L68" s="1">
        <v>0.66914728682170543</v>
      </c>
      <c r="M68" s="1">
        <f t="shared" si="41"/>
        <v>-0.32354728682170547</v>
      </c>
      <c r="N68" s="1" t="str">
        <f t="shared" si="42"/>
        <v>Buy from Grid</v>
      </c>
      <c r="V68" s="1" t="str">
        <f t="shared" ref="V68:V82" si="46">IF(D68+M68&gt;0,"discharge","buy from the Grid")</f>
        <v>buy from the Grid</v>
      </c>
      <c r="Y68" s="1">
        <f t="shared" si="39"/>
        <v>3.9660359689922479E-2</v>
      </c>
      <c r="AA68" s="1">
        <f t="shared" si="43"/>
        <v>4.3998195564011544</v>
      </c>
      <c r="AC68" s="1">
        <f t="shared" ref="AC68:AC82" si="47">L68</f>
        <v>0.66914728682170543</v>
      </c>
      <c r="AD68" s="1">
        <f t="shared" si="44"/>
        <v>0.66914728682170543</v>
      </c>
    </row>
    <row r="69" spans="1:30" ht="15">
      <c r="A69" s="1">
        <v>68</v>
      </c>
      <c r="B69" s="1">
        <f t="shared" si="18"/>
        <v>0</v>
      </c>
      <c r="C69" s="1">
        <f t="shared" si="40"/>
        <v>0</v>
      </c>
      <c r="D69" s="1">
        <f t="shared" si="45"/>
        <v>8.855600775193806E-2</v>
      </c>
      <c r="E69">
        <v>59.27</v>
      </c>
      <c r="K69" s="1">
        <f>'Solar Availability and Gener GR'!F69</f>
        <v>2.8799999999999999E-2</v>
      </c>
      <c r="L69" s="1">
        <v>0.65627906976744199</v>
      </c>
      <c r="M69" s="1">
        <f t="shared" si="41"/>
        <v>-0.62747906976744194</v>
      </c>
      <c r="N69" s="1" t="str">
        <f t="shared" si="42"/>
        <v>Buy from Grid</v>
      </c>
      <c r="V69" s="1" t="str">
        <f t="shared" si="46"/>
        <v>buy from the Grid</v>
      </c>
      <c r="Y69" s="1">
        <f t="shared" si="39"/>
        <v>3.8897660465116286E-2</v>
      </c>
      <c r="AA69" s="1">
        <f t="shared" si="43"/>
        <v>3.7723404866337127</v>
      </c>
      <c r="AC69" s="1">
        <f t="shared" si="47"/>
        <v>0.65627906976744199</v>
      </c>
      <c r="AD69" s="1">
        <f t="shared" si="44"/>
        <v>0.65627906976744199</v>
      </c>
    </row>
    <row r="70" spans="1:30" ht="15">
      <c r="A70" s="1">
        <v>69</v>
      </c>
      <c r="B70" s="1">
        <f t="shared" si="18"/>
        <v>0</v>
      </c>
      <c r="C70" s="1">
        <f t="shared" si="40"/>
        <v>0</v>
      </c>
      <c r="D70" s="1">
        <f t="shared" si="45"/>
        <v>8.855600775193806E-2</v>
      </c>
      <c r="E70">
        <v>59.27</v>
      </c>
      <c r="K70" s="1">
        <f>'Solar Availability and Gener GR'!F70</f>
        <v>0</v>
      </c>
      <c r="L70" s="1">
        <v>0.66914728682170543</v>
      </c>
      <c r="M70" s="1">
        <f t="shared" si="41"/>
        <v>-0.66914728682170543</v>
      </c>
      <c r="N70" s="1" t="str">
        <f t="shared" si="42"/>
        <v>Buy from Grid</v>
      </c>
      <c r="V70" s="1" t="str">
        <f t="shared" si="46"/>
        <v>buy from the Grid</v>
      </c>
      <c r="Y70" s="1">
        <f t="shared" si="39"/>
        <v>3.9660359689922479E-2</v>
      </c>
      <c r="AA70" s="1">
        <f t="shared" si="43"/>
        <v>3.103193199812007</v>
      </c>
      <c r="AC70" s="1">
        <f t="shared" si="47"/>
        <v>0.66914728682170543</v>
      </c>
      <c r="AD70" s="1">
        <f t="shared" si="44"/>
        <v>0.66914728682170543</v>
      </c>
    </row>
    <row r="71" spans="1:30" ht="15">
      <c r="A71" s="1">
        <v>70</v>
      </c>
      <c r="B71" s="1">
        <f t="shared" si="18"/>
        <v>0</v>
      </c>
      <c r="C71" s="1">
        <f t="shared" si="40"/>
        <v>0</v>
      </c>
      <c r="D71" s="1">
        <f t="shared" si="45"/>
        <v>8.855600775193806E-2</v>
      </c>
      <c r="E71">
        <v>59.27</v>
      </c>
      <c r="K71" s="1">
        <f>'Solar Availability and Gener GR'!F71</f>
        <v>0</v>
      </c>
      <c r="L71" s="1">
        <v>0.39891472868217059</v>
      </c>
      <c r="M71" s="1">
        <f t="shared" si="41"/>
        <v>-0.39891472868217059</v>
      </c>
      <c r="N71" s="1" t="str">
        <f t="shared" si="42"/>
        <v>Buy from Grid</v>
      </c>
      <c r="V71" s="1" t="str">
        <f t="shared" si="46"/>
        <v>buy from the Grid</v>
      </c>
      <c r="X71" s="1">
        <f t="shared" ref="X71:X82" si="48">(M71*E71)/1000</f>
        <v>-2.364367596899225E-2</v>
      </c>
      <c r="Y71" s="1">
        <f t="shared" si="39"/>
        <v>2.364367596899225E-2</v>
      </c>
      <c r="AA71" s="1">
        <f t="shared" si="43"/>
        <v>2.7042784711298364</v>
      </c>
      <c r="AC71" s="1">
        <f t="shared" si="47"/>
        <v>0.39891472868217059</v>
      </c>
      <c r="AD71" s="1">
        <f t="shared" si="44"/>
        <v>0.39891472868217059</v>
      </c>
    </row>
    <row r="72" spans="1:30" ht="15">
      <c r="A72" s="1">
        <v>71</v>
      </c>
      <c r="B72" s="1">
        <f t="shared" si="18"/>
        <v>0</v>
      </c>
      <c r="C72" s="1">
        <f t="shared" si="40"/>
        <v>0</v>
      </c>
      <c r="D72" s="1">
        <f t="shared" si="45"/>
        <v>8.855600775193806E-2</v>
      </c>
      <c r="E72">
        <v>59.27</v>
      </c>
      <c r="K72" s="1">
        <f>'Solar Availability and Gener GR'!F72</f>
        <v>0</v>
      </c>
      <c r="L72" s="1">
        <v>0.39891472868217059</v>
      </c>
      <c r="M72" s="1">
        <f t="shared" si="41"/>
        <v>-0.39891472868217059</v>
      </c>
      <c r="N72" s="1" t="str">
        <f t="shared" si="42"/>
        <v>Buy from Grid</v>
      </c>
      <c r="V72" s="1" t="str">
        <f t="shared" si="46"/>
        <v>buy from the Grid</v>
      </c>
      <c r="X72" s="1">
        <f t="shared" si="48"/>
        <v>-2.364367596899225E-2</v>
      </c>
      <c r="Y72" s="1">
        <f t="shared" si="39"/>
        <v>2.364367596899225E-2</v>
      </c>
      <c r="AA72" s="1">
        <f t="shared" si="43"/>
        <v>2.3053637424476658</v>
      </c>
      <c r="AC72" s="1">
        <f t="shared" si="47"/>
        <v>0.39891472868217059</v>
      </c>
      <c r="AD72" s="1">
        <f t="shared" si="44"/>
        <v>0.39891472868217059</v>
      </c>
    </row>
    <row r="73" spans="1:30" ht="15">
      <c r="A73" s="1">
        <v>72</v>
      </c>
      <c r="B73" s="1">
        <f t="shared" si="18"/>
        <v>0</v>
      </c>
      <c r="C73" s="1">
        <f t="shared" si="40"/>
        <v>0</v>
      </c>
      <c r="D73" s="1">
        <f t="shared" si="45"/>
        <v>8.855600775193806E-2</v>
      </c>
      <c r="E73">
        <v>59.27</v>
      </c>
      <c r="K73" s="1">
        <f>'Solar Availability and Gener GR'!F73</f>
        <v>0</v>
      </c>
      <c r="L73" s="1">
        <v>0.39891472868217059</v>
      </c>
      <c r="M73" s="1">
        <f t="shared" si="41"/>
        <v>-0.39891472868217059</v>
      </c>
      <c r="N73" s="1" t="str">
        <f t="shared" si="42"/>
        <v>Buy from Grid</v>
      </c>
      <c r="V73" s="1" t="str">
        <f t="shared" si="46"/>
        <v>buy from the Grid</v>
      </c>
      <c r="X73" s="1">
        <f t="shared" si="48"/>
        <v>-2.364367596899225E-2</v>
      </c>
      <c r="Y73" s="1">
        <f t="shared" si="39"/>
        <v>2.364367596899225E-2</v>
      </c>
      <c r="AA73" s="1">
        <f t="shared" si="43"/>
        <v>1.9064490137654952</v>
      </c>
      <c r="AC73" s="1">
        <f t="shared" si="47"/>
        <v>0.39891472868217059</v>
      </c>
      <c r="AD73" s="1">
        <f t="shared" si="44"/>
        <v>0.39891472868217059</v>
      </c>
    </row>
    <row r="74" spans="1:30" ht="15">
      <c r="A74" s="1">
        <v>73</v>
      </c>
      <c r="B74" s="1">
        <f t="shared" si="18"/>
        <v>0</v>
      </c>
      <c r="C74" s="1">
        <f t="shared" si="40"/>
        <v>0</v>
      </c>
      <c r="D74" s="1">
        <f t="shared" si="45"/>
        <v>8.855600775193806E-2</v>
      </c>
      <c r="E74">
        <v>59.27</v>
      </c>
      <c r="K74" s="1">
        <f>'Solar Availability and Gener GR'!F74</f>
        <v>0</v>
      </c>
      <c r="L74" s="1">
        <v>0.29596899224806206</v>
      </c>
      <c r="M74" s="1">
        <f t="shared" si="41"/>
        <v>-0.29596899224806206</v>
      </c>
      <c r="N74" s="1" t="str">
        <f t="shared" si="42"/>
        <v>Buy from Grid</v>
      </c>
      <c r="V74" s="1" t="str">
        <f t="shared" si="46"/>
        <v>buy from the Grid</v>
      </c>
      <c r="X74" s="1">
        <f t="shared" si="48"/>
        <v>-1.754208217054264E-2</v>
      </c>
      <c r="Y74" s="1">
        <f t="shared" si="39"/>
        <v>1.754208217054264E-2</v>
      </c>
      <c r="AA74" s="1">
        <f t="shared" si="43"/>
        <v>1.6104800215174331</v>
      </c>
      <c r="AC74" s="1">
        <f t="shared" si="47"/>
        <v>0.29596899224806206</v>
      </c>
      <c r="AD74" s="1">
        <f t="shared" si="44"/>
        <v>0.29596899224806206</v>
      </c>
    </row>
    <row r="75" spans="1:30" ht="15">
      <c r="A75" s="1">
        <v>74</v>
      </c>
      <c r="B75" s="1">
        <f t="shared" si="18"/>
        <v>0</v>
      </c>
      <c r="C75" s="1">
        <f t="shared" si="40"/>
        <v>0</v>
      </c>
      <c r="D75" s="1">
        <f t="shared" si="45"/>
        <v>8.855600775193806E-2</v>
      </c>
      <c r="E75">
        <v>59.27</v>
      </c>
      <c r="K75" s="1">
        <f>'Solar Availability and Gener GR'!F75</f>
        <v>0</v>
      </c>
      <c r="L75" s="1">
        <v>0.29596899224806206</v>
      </c>
      <c r="M75" s="1">
        <f t="shared" si="41"/>
        <v>-0.29596899224806206</v>
      </c>
      <c r="N75" s="1" t="str">
        <f t="shared" si="42"/>
        <v>Buy from Grid</v>
      </c>
      <c r="V75" s="1" t="str">
        <f t="shared" si="46"/>
        <v>buy from the Grid</v>
      </c>
      <c r="X75" s="1">
        <f t="shared" si="48"/>
        <v>-1.754208217054264E-2</v>
      </c>
      <c r="Y75" s="1">
        <f t="shared" si="39"/>
        <v>1.754208217054264E-2</v>
      </c>
      <c r="AA75" s="1">
        <f t="shared" si="43"/>
        <v>1.3145110292693709</v>
      </c>
      <c r="AC75" s="1">
        <f t="shared" si="47"/>
        <v>0.29596899224806206</v>
      </c>
      <c r="AD75" s="1">
        <f t="shared" si="44"/>
        <v>0.29596899224806206</v>
      </c>
    </row>
    <row r="76" spans="1:30" ht="15">
      <c r="A76" s="1">
        <v>75</v>
      </c>
      <c r="B76" s="1">
        <f t="shared" si="18"/>
        <v>0</v>
      </c>
      <c r="C76" s="1">
        <f t="shared" si="40"/>
        <v>0</v>
      </c>
      <c r="D76" s="1">
        <f t="shared" si="45"/>
        <v>8.855600775193806E-2</v>
      </c>
      <c r="E76">
        <v>59.27</v>
      </c>
      <c r="K76" s="1">
        <f>'Solar Availability and Gener GR'!F76</f>
        <v>0</v>
      </c>
      <c r="L76" s="1">
        <v>0.29596899224806206</v>
      </c>
      <c r="M76" s="1">
        <f t="shared" si="41"/>
        <v>-0.29596899224806206</v>
      </c>
      <c r="N76" s="1" t="str">
        <f t="shared" si="42"/>
        <v>Buy from Grid</v>
      </c>
      <c r="V76" s="1" t="str">
        <f t="shared" si="46"/>
        <v>buy from the Grid</v>
      </c>
      <c r="X76" s="1">
        <f t="shared" si="48"/>
        <v>-1.754208217054264E-2</v>
      </c>
      <c r="Y76" s="1">
        <f t="shared" si="39"/>
        <v>1.754208217054264E-2</v>
      </c>
      <c r="AA76" s="1">
        <f t="shared" si="43"/>
        <v>1.0185420370213087</v>
      </c>
      <c r="AC76" s="1">
        <f t="shared" si="47"/>
        <v>0.29596899224806206</v>
      </c>
      <c r="AD76" s="1">
        <f t="shared" si="44"/>
        <v>0.29596899224806206</v>
      </c>
    </row>
    <row r="77" spans="1:30" ht="15">
      <c r="A77" s="1">
        <v>76</v>
      </c>
      <c r="B77" s="1">
        <f t="shared" si="18"/>
        <v>0</v>
      </c>
      <c r="C77" s="1">
        <f t="shared" si="40"/>
        <v>0</v>
      </c>
      <c r="D77" s="1">
        <f t="shared" si="45"/>
        <v>8.855600775193806E-2</v>
      </c>
      <c r="E77">
        <v>59.27</v>
      </c>
      <c r="K77" s="1">
        <f>'Solar Availability and Gener GR'!F77</f>
        <v>0</v>
      </c>
      <c r="L77" s="1">
        <v>0.29596899224806206</v>
      </c>
      <c r="M77" s="1">
        <f t="shared" si="41"/>
        <v>-0.29596899224806206</v>
      </c>
      <c r="N77" s="1" t="str">
        <f t="shared" si="42"/>
        <v>Buy from Grid</v>
      </c>
      <c r="V77" s="1" t="str">
        <f t="shared" si="46"/>
        <v>buy from the Grid</v>
      </c>
      <c r="X77" s="1">
        <f t="shared" si="48"/>
        <v>-1.754208217054264E-2</v>
      </c>
      <c r="Y77" s="1">
        <f t="shared" si="39"/>
        <v>1.754208217054264E-2</v>
      </c>
      <c r="AA77" s="1">
        <f t="shared" si="43"/>
        <v>0.72257304477324669</v>
      </c>
      <c r="AC77" s="1">
        <f t="shared" si="47"/>
        <v>0.29596899224806206</v>
      </c>
      <c r="AD77" s="1">
        <f t="shared" si="44"/>
        <v>0.29596899224806206</v>
      </c>
    </row>
    <row r="78" spans="1:30" ht="15">
      <c r="A78" s="1">
        <v>77</v>
      </c>
      <c r="B78" s="1">
        <f t="shared" si="18"/>
        <v>0</v>
      </c>
      <c r="C78" s="1">
        <f t="shared" si="40"/>
        <v>0</v>
      </c>
      <c r="D78" s="1">
        <f t="shared" si="45"/>
        <v>8.855600775193806E-2</v>
      </c>
      <c r="E78">
        <v>59.27</v>
      </c>
      <c r="K78" s="1">
        <f>'Solar Availability and Gener GR'!F78</f>
        <v>0</v>
      </c>
      <c r="L78" s="1">
        <v>0.29596899224806206</v>
      </c>
      <c r="M78" s="1">
        <f t="shared" si="41"/>
        <v>-0.29596899224806206</v>
      </c>
      <c r="N78" s="1" t="str">
        <f t="shared" si="42"/>
        <v>Buy from Grid</v>
      </c>
      <c r="V78" s="1" t="str">
        <f t="shared" si="46"/>
        <v>buy from the Grid</v>
      </c>
      <c r="X78" s="1">
        <f t="shared" si="48"/>
        <v>-1.754208217054264E-2</v>
      </c>
      <c r="Y78" s="1">
        <f t="shared" si="39"/>
        <v>1.754208217054264E-2</v>
      </c>
      <c r="AA78" s="1">
        <f t="shared" si="43"/>
        <v>0.42660405252518463</v>
      </c>
      <c r="AC78" s="1">
        <f t="shared" si="47"/>
        <v>0.29596899224806206</v>
      </c>
      <c r="AD78" s="1">
        <f t="shared" si="44"/>
        <v>0.29596899224806206</v>
      </c>
    </row>
    <row r="79" spans="1:30" ht="15">
      <c r="A79" s="1">
        <v>78</v>
      </c>
      <c r="B79" s="1">
        <f t="shared" si="18"/>
        <v>0</v>
      </c>
      <c r="C79" s="1">
        <f t="shared" si="40"/>
        <v>0</v>
      </c>
      <c r="D79" s="1">
        <f t="shared" si="45"/>
        <v>8.855600775193806E-2</v>
      </c>
      <c r="E79">
        <v>59.27</v>
      </c>
      <c r="K79" s="1">
        <f>'Solar Availability and Gener GR'!F79</f>
        <v>0</v>
      </c>
      <c r="L79" s="1">
        <v>0.39891472868217059</v>
      </c>
      <c r="M79" s="1">
        <f t="shared" si="41"/>
        <v>-0.39891472868217059</v>
      </c>
      <c r="N79" s="1" t="str">
        <f t="shared" si="42"/>
        <v>Buy from Grid</v>
      </c>
      <c r="V79" s="1" t="str">
        <f t="shared" si="46"/>
        <v>buy from the Grid</v>
      </c>
      <c r="X79" s="1">
        <f t="shared" si="48"/>
        <v>-2.364367596899225E-2</v>
      </c>
      <c r="Y79" s="1">
        <f t="shared" si="39"/>
        <v>2.364367596899225E-2</v>
      </c>
      <c r="AA79" s="1">
        <f t="shared" si="43"/>
        <v>2.7689323843014035E-2</v>
      </c>
      <c r="AC79" s="1">
        <f t="shared" si="47"/>
        <v>0.39891472868217059</v>
      </c>
      <c r="AD79" s="1">
        <f t="shared" si="44"/>
        <v>0.39891472868217059</v>
      </c>
    </row>
    <row r="80" spans="1:30" ht="15">
      <c r="A80" s="1">
        <v>79</v>
      </c>
      <c r="B80" s="1">
        <f t="shared" ref="B80:B143" si="49">IF(U80="charge",Q80,0)</f>
        <v>0</v>
      </c>
      <c r="C80" s="1">
        <f t="shared" si="40"/>
        <v>0</v>
      </c>
      <c r="D80" s="1">
        <f t="shared" si="45"/>
        <v>8.855600775193806E-2</v>
      </c>
      <c r="E80">
        <v>59.27</v>
      </c>
      <c r="K80" s="1">
        <f>'Solar Availability and Gener GR'!F80</f>
        <v>0</v>
      </c>
      <c r="L80" s="1">
        <v>0.65627906976744199</v>
      </c>
      <c r="M80" s="1">
        <f t="shared" si="41"/>
        <v>-0.65627906976744199</v>
      </c>
      <c r="N80" s="1" t="str">
        <f t="shared" si="42"/>
        <v>Buy from Grid</v>
      </c>
      <c r="V80" s="1" t="str">
        <f t="shared" si="46"/>
        <v>buy from the Grid</v>
      </c>
      <c r="X80" s="1">
        <f t="shared" si="48"/>
        <v>-3.8897660465116286E-2</v>
      </c>
      <c r="Y80" s="1">
        <f t="shared" si="39"/>
        <v>3.8897660465116286E-2</v>
      </c>
      <c r="AA80" s="1">
        <f t="shared" si="43"/>
        <v>-0.62858974592442796</v>
      </c>
      <c r="AC80" s="1">
        <f t="shared" si="47"/>
        <v>0.65627906976744199</v>
      </c>
      <c r="AD80" s="1">
        <f t="shared" si="44"/>
        <v>0.65627906976744199</v>
      </c>
    </row>
    <row r="81" spans="1:30" ht="15">
      <c r="A81" s="1">
        <v>80</v>
      </c>
      <c r="B81" s="1">
        <f t="shared" si="49"/>
        <v>0</v>
      </c>
      <c r="C81" s="1">
        <f t="shared" si="40"/>
        <v>0</v>
      </c>
      <c r="D81" s="1">
        <f t="shared" si="45"/>
        <v>8.855600775193806E-2</v>
      </c>
      <c r="E81">
        <v>59.27</v>
      </c>
      <c r="K81" s="1">
        <f>'Solar Availability and Gener GR'!F81</f>
        <v>0.12959999999999999</v>
      </c>
      <c r="L81" s="1">
        <v>0.65627906976744199</v>
      </c>
      <c r="M81" s="1">
        <f t="shared" si="41"/>
        <v>-0.52667906976744194</v>
      </c>
      <c r="N81" s="1" t="str">
        <f t="shared" si="42"/>
        <v>Buy from Grid</v>
      </c>
      <c r="V81" s="1" t="str">
        <f t="shared" si="46"/>
        <v>buy from the Grid</v>
      </c>
      <c r="X81" s="1">
        <f t="shared" si="48"/>
        <v>-3.1216268465116288E-2</v>
      </c>
      <c r="Y81" s="1">
        <f t="shared" si="39"/>
        <v>3.8897660465116286E-2</v>
      </c>
      <c r="AA81" s="1">
        <f t="shared" si="43"/>
        <v>-1.15526881569187</v>
      </c>
      <c r="AC81" s="1">
        <f t="shared" si="47"/>
        <v>0.65627906976744199</v>
      </c>
      <c r="AD81" s="1">
        <f t="shared" si="44"/>
        <v>0.65627906976744199</v>
      </c>
    </row>
    <row r="82" spans="1:30" ht="15">
      <c r="A82" s="1">
        <v>81</v>
      </c>
      <c r="B82" s="1">
        <f t="shared" si="49"/>
        <v>0</v>
      </c>
      <c r="C82" s="1">
        <f t="shared" si="40"/>
        <v>0</v>
      </c>
      <c r="D82" s="1">
        <f t="shared" si="45"/>
        <v>8.855600775193806E-2</v>
      </c>
      <c r="E82">
        <v>59.27</v>
      </c>
      <c r="K82" s="1">
        <f>'Solar Availability and Gener GR'!F82</f>
        <v>0.55079999999999996</v>
      </c>
      <c r="L82" s="1">
        <v>0.65627906976744199</v>
      </c>
      <c r="M82" s="1">
        <f t="shared" si="41"/>
        <v>-0.10547906976744204</v>
      </c>
      <c r="N82" s="1" t="str">
        <f t="shared" si="42"/>
        <v>Buy from Grid</v>
      </c>
      <c r="V82" s="1" t="str">
        <f t="shared" si="46"/>
        <v>buy from the Grid</v>
      </c>
      <c r="X82" s="1">
        <f t="shared" si="48"/>
        <v>-6.2517444651162902E-3</v>
      </c>
      <c r="Y82" s="1">
        <f t="shared" si="39"/>
        <v>3.8897660465116286E-2</v>
      </c>
      <c r="AA82" s="1">
        <f t="shared" si="43"/>
        <v>-1.2607478854593119</v>
      </c>
      <c r="AC82" s="1">
        <f t="shared" si="47"/>
        <v>0.65627906976744199</v>
      </c>
      <c r="AD82" s="1">
        <f t="shared" si="44"/>
        <v>0.65627906976744199</v>
      </c>
    </row>
    <row r="83" spans="1:30" ht="15">
      <c r="A83" s="1">
        <v>82</v>
      </c>
      <c r="B83" s="1">
        <f t="shared" si="49"/>
        <v>0</v>
      </c>
      <c r="C83" s="1">
        <f t="shared" si="40"/>
        <v>0</v>
      </c>
      <c r="D83" s="1">
        <f t="shared" si="45"/>
        <v>8.855600775193806E-2</v>
      </c>
      <c r="E83">
        <v>59.27</v>
      </c>
      <c r="K83" s="1">
        <f>'Solar Availability and Gener GR'!F83</f>
        <v>1.0691999999999999</v>
      </c>
      <c r="L83" s="1">
        <v>0.39891472868217059</v>
      </c>
      <c r="M83" s="1">
        <f t="shared" si="41"/>
        <v>0.67028527131782933</v>
      </c>
      <c r="N83" s="1" t="str">
        <f t="shared" si="42"/>
        <v>sell the surplus or charge</v>
      </c>
      <c r="O83" s="1">
        <v>0.25</v>
      </c>
      <c r="P83" s="1">
        <f t="shared" ref="P83:P92" si="50">0.25/L83</f>
        <v>0.62670034978624167</v>
      </c>
      <c r="Q83" s="1">
        <f t="shared" ref="Q83:Q92" si="51">K83-P83*L83</f>
        <v>0.81919999999999993</v>
      </c>
      <c r="R83" s="1">
        <f t="shared" ref="R83:R92" si="52">((1/(E83+0.01))*LN(0.25))+(E83*(K83-0.25))</f>
        <v>48.530598467592448</v>
      </c>
      <c r="S83" s="1">
        <f t="shared" ref="S83:S92" si="53">((1/(E83+0.01))*LN(L83))+(E83*(K83-L83))</f>
        <v>39.712305203789327</v>
      </c>
      <c r="T83" s="1">
        <f t="shared" ref="T83:T92" si="54">(S83+((S83^2)-4*(K83-L83*P83)*LN(L83*P83))^(0.5))/(2*(K83-L83*P83))</f>
        <v>48.511818395050177</v>
      </c>
      <c r="U83" s="1" t="str">
        <f t="shared" ref="U83:U92" si="55">IF(E83&gt;=T83*1.05,"sell to the Grid","charge")</f>
        <v>sell to the Grid</v>
      </c>
      <c r="W83" s="1">
        <f t="shared" ref="W83:W92" si="56">(Q83*E83)/1000</f>
        <v>4.8553984000000001E-2</v>
      </c>
      <c r="Y83" s="1">
        <f t="shared" si="39"/>
        <v>2.364367596899225E-2</v>
      </c>
      <c r="AA83" s="1">
        <f t="shared" si="43"/>
        <v>-0.5904626141414826</v>
      </c>
      <c r="AD83" s="1">
        <f t="shared" si="44"/>
        <v>0.25</v>
      </c>
    </row>
    <row r="84" spans="1:30" ht="15">
      <c r="A84" s="1">
        <v>83</v>
      </c>
      <c r="B84" s="1">
        <f t="shared" si="49"/>
        <v>0</v>
      </c>
      <c r="C84" s="1">
        <f t="shared" si="40"/>
        <v>0</v>
      </c>
      <c r="D84" s="1">
        <f t="shared" si="45"/>
        <v>8.855600775193806E-2</v>
      </c>
      <c r="E84">
        <v>59.27</v>
      </c>
      <c r="K84" s="1">
        <f>'Solar Availability and Gener GR'!F84</f>
        <v>1.89</v>
      </c>
      <c r="L84" s="1">
        <v>0.39891472868217059</v>
      </c>
      <c r="M84" s="1">
        <f t="shared" si="41"/>
        <v>1.4910852713178293</v>
      </c>
      <c r="N84" s="1" t="str">
        <f t="shared" si="42"/>
        <v>sell the surplus or charge</v>
      </c>
      <c r="O84" s="1">
        <v>0.25</v>
      </c>
      <c r="P84" s="1">
        <f t="shared" si="50"/>
        <v>0.62670034978624167</v>
      </c>
      <c r="Q84" s="1">
        <f t="shared" si="51"/>
        <v>1.64</v>
      </c>
      <c r="R84" s="1">
        <f t="shared" si="52"/>
        <v>97.179414467592437</v>
      </c>
      <c r="S84" s="1">
        <f t="shared" si="53"/>
        <v>88.361121203789324</v>
      </c>
      <c r="T84" s="1">
        <f t="shared" si="54"/>
        <v>53.894416838519177</v>
      </c>
      <c r="U84" s="1" t="str">
        <f t="shared" si="55"/>
        <v>sell to the Grid</v>
      </c>
      <c r="W84" s="1">
        <f t="shared" si="56"/>
        <v>9.7202799999999992E-2</v>
      </c>
      <c r="Y84" s="1">
        <f t="shared" si="39"/>
        <v>2.364367596899225E-2</v>
      </c>
      <c r="AA84" s="1">
        <f t="shared" si="43"/>
        <v>0.90062265717634671</v>
      </c>
      <c r="AD84" s="1">
        <f t="shared" si="44"/>
        <v>0.25</v>
      </c>
    </row>
    <row r="85" spans="1:30" ht="15">
      <c r="A85" s="1">
        <v>84</v>
      </c>
      <c r="B85" s="1">
        <f t="shared" si="49"/>
        <v>0</v>
      </c>
      <c r="C85" s="1">
        <f t="shared" si="40"/>
        <v>0</v>
      </c>
      <c r="D85" s="1">
        <f t="shared" si="45"/>
        <v>8.855600775193806E-2</v>
      </c>
      <c r="E85">
        <v>59.27</v>
      </c>
      <c r="K85" s="1">
        <f>'Solar Availability and Gener GR'!F85</f>
        <v>2.4264000000000001</v>
      </c>
      <c r="L85" s="1">
        <v>0.39891472868217059</v>
      </c>
      <c r="M85" s="1">
        <f t="shared" si="41"/>
        <v>2.0274852713178295</v>
      </c>
      <c r="N85" s="1" t="str">
        <f t="shared" si="42"/>
        <v>sell the surplus or charge</v>
      </c>
      <c r="O85" s="1">
        <v>0.25</v>
      </c>
      <c r="P85" s="1">
        <f t="shared" si="50"/>
        <v>0.62670034978624167</v>
      </c>
      <c r="Q85" s="1">
        <f t="shared" si="51"/>
        <v>2.1764000000000001</v>
      </c>
      <c r="R85" s="1">
        <f t="shared" si="52"/>
        <v>128.97184246759247</v>
      </c>
      <c r="S85" s="1">
        <f t="shared" si="53"/>
        <v>120.15354920378934</v>
      </c>
      <c r="T85" s="1">
        <f t="shared" si="54"/>
        <v>55.219010561441728</v>
      </c>
      <c r="U85" s="1" t="str">
        <f t="shared" si="55"/>
        <v>sell to the Grid</v>
      </c>
      <c r="W85" s="1">
        <f t="shared" si="56"/>
        <v>0.12899522800000002</v>
      </c>
      <c r="Y85" s="1">
        <f t="shared" si="39"/>
        <v>2.364367596899225E-2</v>
      </c>
      <c r="AA85" s="1">
        <f t="shared" si="43"/>
        <v>2.9281079284941764</v>
      </c>
      <c r="AD85" s="1">
        <f t="shared" si="44"/>
        <v>0.25</v>
      </c>
    </row>
    <row r="86" spans="1:30" ht="15">
      <c r="A86" s="1">
        <v>85</v>
      </c>
      <c r="B86" s="1">
        <f t="shared" si="49"/>
        <v>0</v>
      </c>
      <c r="C86" s="1">
        <f t="shared" si="40"/>
        <v>0</v>
      </c>
      <c r="D86" s="1">
        <f t="shared" si="45"/>
        <v>8.855600775193806E-2</v>
      </c>
      <c r="E86">
        <v>59.27</v>
      </c>
      <c r="K86" s="1">
        <f>'Solar Availability and Gener GR'!F86</f>
        <v>2.6747999999999998</v>
      </c>
      <c r="L86" s="1">
        <v>0.39891472868217059</v>
      </c>
      <c r="M86" s="1">
        <f t="shared" si="41"/>
        <v>2.2758852713178293</v>
      </c>
      <c r="N86" s="1" t="str">
        <f t="shared" si="42"/>
        <v>sell the surplus or charge</v>
      </c>
      <c r="O86" s="1">
        <v>0.25</v>
      </c>
      <c r="P86" s="1">
        <f t="shared" si="50"/>
        <v>0.62670034978624167</v>
      </c>
      <c r="Q86" s="1">
        <f t="shared" si="51"/>
        <v>2.4247999999999998</v>
      </c>
      <c r="R86" s="1">
        <f t="shared" si="52"/>
        <v>143.69451046759244</v>
      </c>
      <c r="S86" s="1">
        <f t="shared" si="53"/>
        <v>134.87621720378931</v>
      </c>
      <c r="T86" s="1">
        <f t="shared" si="54"/>
        <v>55.633922530769702</v>
      </c>
      <c r="U86" s="1" t="str">
        <f t="shared" si="55"/>
        <v>sell to the Grid</v>
      </c>
      <c r="W86" s="1">
        <f t="shared" si="56"/>
        <v>0.14371789599999998</v>
      </c>
      <c r="Y86" s="1">
        <f t="shared" si="39"/>
        <v>2.364367596899225E-2</v>
      </c>
      <c r="AA86" s="1">
        <f t="shared" si="43"/>
        <v>5.2039931998120057</v>
      </c>
      <c r="AD86" s="1">
        <f t="shared" si="44"/>
        <v>0.25</v>
      </c>
    </row>
    <row r="87" spans="1:30" ht="15">
      <c r="A87" s="1">
        <v>86</v>
      </c>
      <c r="B87" s="1">
        <f t="shared" si="49"/>
        <v>0</v>
      </c>
      <c r="C87" s="1">
        <f t="shared" si="40"/>
        <v>0</v>
      </c>
      <c r="D87" s="1">
        <f t="shared" si="45"/>
        <v>8.855600775193806E-2</v>
      </c>
      <c r="E87">
        <v>59.27</v>
      </c>
      <c r="K87" s="1">
        <f>'Solar Availability and Gener GR'!F87</f>
        <v>2.79</v>
      </c>
      <c r="L87" s="1">
        <v>0.39891472868217059</v>
      </c>
      <c r="M87" s="1">
        <f t="shared" si="41"/>
        <v>2.3910852713178294</v>
      </c>
      <c r="N87" s="1" t="str">
        <f t="shared" si="42"/>
        <v>sell the surplus or charge</v>
      </c>
      <c r="O87" s="1">
        <v>0.25</v>
      </c>
      <c r="P87" s="1">
        <f t="shared" si="50"/>
        <v>0.62670034978624167</v>
      </c>
      <c r="Q87" s="1">
        <f t="shared" si="51"/>
        <v>2.54</v>
      </c>
      <c r="R87" s="1">
        <f t="shared" si="52"/>
        <v>150.52241446759245</v>
      </c>
      <c r="S87" s="1">
        <f t="shared" si="53"/>
        <v>141.70412120378933</v>
      </c>
      <c r="T87" s="1">
        <f t="shared" si="54"/>
        <v>55.798805401827245</v>
      </c>
      <c r="U87" s="1" t="str">
        <f t="shared" si="55"/>
        <v>sell to the Grid</v>
      </c>
      <c r="W87" s="1">
        <f t="shared" si="56"/>
        <v>0.15054580000000001</v>
      </c>
      <c r="Y87" s="1">
        <f t="shared" si="39"/>
        <v>2.364367596899225E-2</v>
      </c>
      <c r="AA87" s="1">
        <f t="shared" si="43"/>
        <v>7.5950784711298347</v>
      </c>
      <c r="AD87" s="1">
        <f t="shared" si="44"/>
        <v>0.25</v>
      </c>
    </row>
    <row r="88" spans="1:30" ht="15">
      <c r="A88" s="1">
        <v>87</v>
      </c>
      <c r="B88" s="1">
        <f t="shared" si="49"/>
        <v>0</v>
      </c>
      <c r="C88" s="1">
        <f t="shared" si="40"/>
        <v>0</v>
      </c>
      <c r="D88" s="1">
        <f t="shared" si="45"/>
        <v>8.855600775193806E-2</v>
      </c>
      <c r="E88">
        <v>59.27</v>
      </c>
      <c r="K88" s="1">
        <f>'Solar Availability and Gener GR'!F88</f>
        <v>2.6352000000000002</v>
      </c>
      <c r="L88" s="1">
        <v>0.39891472868217059</v>
      </c>
      <c r="M88" s="1">
        <f t="shared" si="41"/>
        <v>2.2362852713178296</v>
      </c>
      <c r="N88" s="1" t="str">
        <f t="shared" si="42"/>
        <v>sell the surplus or charge</v>
      </c>
      <c r="O88" s="1">
        <v>0.25</v>
      </c>
      <c r="P88" s="1">
        <f t="shared" si="50"/>
        <v>0.62670034978624167</v>
      </c>
      <c r="Q88" s="1">
        <f t="shared" si="51"/>
        <v>2.3852000000000002</v>
      </c>
      <c r="R88" s="1">
        <f t="shared" si="52"/>
        <v>141.34741846759246</v>
      </c>
      <c r="S88" s="1">
        <f t="shared" si="53"/>
        <v>132.52912520378933</v>
      </c>
      <c r="T88" s="1">
        <f t="shared" si="54"/>
        <v>55.573566332048543</v>
      </c>
      <c r="U88" s="1" t="str">
        <f t="shared" si="55"/>
        <v>sell to the Grid</v>
      </c>
      <c r="W88" s="1">
        <f t="shared" si="56"/>
        <v>0.14137080400000002</v>
      </c>
      <c r="Y88" s="1">
        <f t="shared" si="39"/>
        <v>2.364367596899225E-2</v>
      </c>
      <c r="AA88" s="1">
        <f t="shared" si="43"/>
        <v>9.8313637424476639</v>
      </c>
      <c r="AD88" s="1">
        <f t="shared" si="44"/>
        <v>0.25</v>
      </c>
    </row>
    <row r="89" spans="1:30" ht="15">
      <c r="A89" s="1">
        <v>88</v>
      </c>
      <c r="B89" s="1">
        <f t="shared" si="49"/>
        <v>0</v>
      </c>
      <c r="C89" s="1">
        <f t="shared" si="40"/>
        <v>0</v>
      </c>
      <c r="D89" s="1">
        <f t="shared" si="45"/>
        <v>8.855600775193806E-2</v>
      </c>
      <c r="E89">
        <v>59.27</v>
      </c>
      <c r="K89" s="1">
        <f>'Solar Availability and Gener GR'!F89</f>
        <v>2.3508</v>
      </c>
      <c r="L89" s="1">
        <v>0.66914728682170543</v>
      </c>
      <c r="M89" s="1">
        <f t="shared" si="41"/>
        <v>1.6816527131782946</v>
      </c>
      <c r="N89" s="1" t="str">
        <f t="shared" si="42"/>
        <v>sell the surplus or charge</v>
      </c>
      <c r="O89" s="1">
        <v>0.25</v>
      </c>
      <c r="P89" s="1">
        <f t="shared" si="50"/>
        <v>0.3736098239110287</v>
      </c>
      <c r="Q89" s="1">
        <f t="shared" si="51"/>
        <v>2.1008</v>
      </c>
      <c r="R89" s="1">
        <f t="shared" si="52"/>
        <v>124.49103046759245</v>
      </c>
      <c r="S89" s="1">
        <f t="shared" si="53"/>
        <v>99.664779132557072</v>
      </c>
      <c r="T89" s="1">
        <f t="shared" si="54"/>
        <v>47.455251236503614</v>
      </c>
      <c r="U89" s="1" t="str">
        <f t="shared" si="55"/>
        <v>sell to the Grid</v>
      </c>
      <c r="W89" s="1">
        <f t="shared" si="56"/>
        <v>0.12451441600000002</v>
      </c>
      <c r="Y89" s="1">
        <f t="shared" si="39"/>
        <v>3.9660359689922479E-2</v>
      </c>
      <c r="AA89" s="1">
        <f t="shared" si="43"/>
        <v>11.513016455625959</v>
      </c>
      <c r="AD89" s="1">
        <f t="shared" si="44"/>
        <v>0.25</v>
      </c>
    </row>
    <row r="90" spans="1:30" ht="15">
      <c r="A90" s="1">
        <v>89</v>
      </c>
      <c r="B90" s="1">
        <f t="shared" si="49"/>
        <v>0</v>
      </c>
      <c r="C90" s="1">
        <f t="shared" si="40"/>
        <v>0</v>
      </c>
      <c r="D90" s="1">
        <f t="shared" si="45"/>
        <v>8.855600775193806E-2</v>
      </c>
      <c r="E90">
        <v>59.27</v>
      </c>
      <c r="K90" s="1">
        <f>'Solar Availability and Gener GR'!F90</f>
        <v>1.9260000000000002</v>
      </c>
      <c r="L90" s="1">
        <v>0.66914728682170543</v>
      </c>
      <c r="M90" s="1">
        <f t="shared" si="41"/>
        <v>1.2568527131782947</v>
      </c>
      <c r="N90" s="1" t="str">
        <f t="shared" si="42"/>
        <v>sell the surplus or charge</v>
      </c>
      <c r="O90" s="1">
        <v>0.25</v>
      </c>
      <c r="P90" s="1">
        <f t="shared" si="50"/>
        <v>0.3736098239110287</v>
      </c>
      <c r="Q90" s="1">
        <f t="shared" si="51"/>
        <v>1.6760000000000002</v>
      </c>
      <c r="R90" s="1">
        <f t="shared" si="52"/>
        <v>99.313134467592462</v>
      </c>
      <c r="S90" s="1">
        <f t="shared" si="53"/>
        <v>74.486883132557082</v>
      </c>
      <c r="T90" s="1">
        <f t="shared" si="54"/>
        <v>44.461851160042578</v>
      </c>
      <c r="U90" s="1" t="str">
        <f t="shared" si="55"/>
        <v>sell to the Grid</v>
      </c>
      <c r="W90" s="1">
        <f t="shared" si="56"/>
        <v>9.9336520000000025E-2</v>
      </c>
      <c r="Y90" s="1">
        <f t="shared" si="39"/>
        <v>3.9660359689922479E-2</v>
      </c>
      <c r="AA90" s="1">
        <f t="shared" si="43"/>
        <v>12.769869168804254</v>
      </c>
      <c r="AD90" s="1">
        <f t="shared" si="44"/>
        <v>0.25</v>
      </c>
    </row>
    <row r="91" spans="1:30" ht="15">
      <c r="A91" s="1">
        <v>90</v>
      </c>
      <c r="B91" s="1">
        <f t="shared" si="49"/>
        <v>0</v>
      </c>
      <c r="C91" s="1">
        <f t="shared" si="40"/>
        <v>0</v>
      </c>
      <c r="D91" s="1">
        <f t="shared" si="45"/>
        <v>8.855600775193806E-2</v>
      </c>
      <c r="E91">
        <v>59.27</v>
      </c>
      <c r="K91" s="1">
        <f>'Solar Availability and Gener GR'!F91</f>
        <v>1.3139999999999998</v>
      </c>
      <c r="L91" s="1">
        <v>0.39891472868217059</v>
      </c>
      <c r="M91" s="1">
        <f t="shared" si="41"/>
        <v>0.91508527131782924</v>
      </c>
      <c r="N91" s="1" t="str">
        <f t="shared" si="42"/>
        <v>sell the surplus or charge</v>
      </c>
      <c r="O91" s="1">
        <v>0.25</v>
      </c>
      <c r="P91" s="1">
        <f t="shared" si="50"/>
        <v>0.62670034978624167</v>
      </c>
      <c r="Q91" s="1">
        <f t="shared" si="51"/>
        <v>1.0639999999999998</v>
      </c>
      <c r="R91" s="1">
        <f t="shared" si="52"/>
        <v>63.03989446759244</v>
      </c>
      <c r="S91" s="1">
        <f t="shared" si="53"/>
        <v>54.221601203789319</v>
      </c>
      <c r="T91" s="1">
        <f t="shared" si="54"/>
        <v>50.985705889895179</v>
      </c>
      <c r="U91" s="1" t="str">
        <f t="shared" si="55"/>
        <v>sell to the Grid</v>
      </c>
      <c r="W91" s="1">
        <f t="shared" si="56"/>
        <v>6.3063279999999985E-2</v>
      </c>
      <c r="Y91" s="1">
        <f t="shared" si="39"/>
        <v>2.364367596899225E-2</v>
      </c>
      <c r="AA91" s="1">
        <f t="shared" si="43"/>
        <v>13.684954440122084</v>
      </c>
      <c r="AD91" s="1">
        <f t="shared" si="44"/>
        <v>0.25</v>
      </c>
    </row>
    <row r="92" spans="1:30" ht="15">
      <c r="A92" s="1">
        <v>91</v>
      </c>
      <c r="B92" s="1">
        <f t="shared" si="49"/>
        <v>0</v>
      </c>
      <c r="C92" s="1">
        <f t="shared" si="40"/>
        <v>0</v>
      </c>
      <c r="D92" s="1">
        <f t="shared" si="45"/>
        <v>8.855600775193806E-2</v>
      </c>
      <c r="E92">
        <v>59.27</v>
      </c>
      <c r="K92" s="1">
        <f>'Solar Availability and Gener GR'!F92</f>
        <v>0.67320000000000002</v>
      </c>
      <c r="L92" s="1">
        <v>0.39891472868217059</v>
      </c>
      <c r="M92" s="1">
        <f t="shared" si="41"/>
        <v>0.27428527131782943</v>
      </c>
      <c r="N92" s="1" t="str">
        <f t="shared" si="42"/>
        <v>sell the surplus or charge</v>
      </c>
      <c r="O92" s="1">
        <v>0.25</v>
      </c>
      <c r="P92" s="1">
        <f t="shared" si="50"/>
        <v>0.62670034978624167</v>
      </c>
      <c r="Q92" s="1">
        <f t="shared" si="51"/>
        <v>0.42320000000000002</v>
      </c>
      <c r="R92" s="1">
        <f t="shared" si="52"/>
        <v>25.059678467592448</v>
      </c>
      <c r="S92" s="1">
        <f t="shared" si="53"/>
        <v>16.241385203789328</v>
      </c>
      <c r="T92" s="1">
        <f t="shared" si="54"/>
        <v>38.462730953891267</v>
      </c>
      <c r="U92" s="1" t="str">
        <f t="shared" si="55"/>
        <v>sell to the Grid</v>
      </c>
      <c r="W92" s="1">
        <f t="shared" si="56"/>
        <v>2.5083064000000002E-2</v>
      </c>
      <c r="Y92" s="1">
        <f t="shared" si="39"/>
        <v>2.364367596899225E-2</v>
      </c>
      <c r="AA92" s="1">
        <f t="shared" si="43"/>
        <v>13.959239711439913</v>
      </c>
      <c r="AD92" s="1">
        <f t="shared" si="44"/>
        <v>0.25</v>
      </c>
    </row>
    <row r="93" spans="1:30" ht="15">
      <c r="A93" s="1">
        <v>92</v>
      </c>
      <c r="B93" s="1">
        <f t="shared" si="49"/>
        <v>0</v>
      </c>
      <c r="C93" s="1">
        <f t="shared" si="40"/>
        <v>0</v>
      </c>
      <c r="D93" s="1">
        <f t="shared" si="45"/>
        <v>8.855600775193806E-2</v>
      </c>
      <c r="E93">
        <v>59.27</v>
      </c>
      <c r="K93" s="1">
        <f>'Solar Availability and Gener GR'!F93</f>
        <v>0.14399999999999999</v>
      </c>
      <c r="L93" s="1">
        <v>0.65627906976744199</v>
      </c>
      <c r="M93" s="1">
        <f t="shared" si="41"/>
        <v>-0.51227906976744197</v>
      </c>
      <c r="N93" s="1" t="str">
        <f t="shared" si="42"/>
        <v>Buy from Grid</v>
      </c>
      <c r="V93" s="1" t="str">
        <f t="shared" ref="V93:V105" si="57">IF(D93+M93&gt;0,"discharge","buy from the Grid")</f>
        <v>buy from the Grid</v>
      </c>
      <c r="X93" s="1">
        <f t="shared" ref="X93:X105" si="58">(M93*E93)/1000</f>
        <v>-3.0362780465116288E-2</v>
      </c>
      <c r="Y93" s="1">
        <f t="shared" si="39"/>
        <v>3.8897660465116286E-2</v>
      </c>
      <c r="AA93" s="1">
        <f t="shared" si="43"/>
        <v>13.446960641672472</v>
      </c>
      <c r="AC93" s="1">
        <f t="shared" ref="AC93:AC105" si="59">L93</f>
        <v>0.65627906976744199</v>
      </c>
      <c r="AD93" s="1">
        <f t="shared" si="44"/>
        <v>0.65627906976744199</v>
      </c>
    </row>
    <row r="94" spans="1:30" ht="15">
      <c r="A94" s="1">
        <v>93</v>
      </c>
      <c r="B94" s="1">
        <f t="shared" si="49"/>
        <v>0</v>
      </c>
      <c r="C94" s="1">
        <f t="shared" si="40"/>
        <v>0</v>
      </c>
      <c r="D94" s="1">
        <f t="shared" si="45"/>
        <v>8.855600775193806E-2</v>
      </c>
      <c r="E94">
        <v>59.27</v>
      </c>
      <c r="K94" s="1">
        <f>'Solar Availability and Gener GR'!F94</f>
        <v>1.224E-3</v>
      </c>
      <c r="L94" s="1">
        <v>0.65627906976744199</v>
      </c>
      <c r="M94" s="1">
        <f t="shared" si="41"/>
        <v>-0.65505506976744199</v>
      </c>
      <c r="N94" s="1" t="str">
        <f t="shared" si="42"/>
        <v>Buy from Grid</v>
      </c>
      <c r="V94" s="1" t="str">
        <f t="shared" si="57"/>
        <v>buy from the Grid</v>
      </c>
      <c r="X94" s="1">
        <f t="shared" si="58"/>
        <v>-3.8825113985116289E-2</v>
      </c>
      <c r="Y94" s="1">
        <f t="shared" si="39"/>
        <v>3.8897660465116286E-2</v>
      </c>
      <c r="AA94" s="1">
        <f t="shared" si="43"/>
        <v>12.79190557190503</v>
      </c>
      <c r="AC94" s="1">
        <f t="shared" si="59"/>
        <v>0.65627906976744199</v>
      </c>
      <c r="AD94" s="1">
        <f t="shared" si="44"/>
        <v>0.65627906976744199</v>
      </c>
    </row>
    <row r="95" spans="1:30" ht="15">
      <c r="A95" s="1">
        <v>94</v>
      </c>
      <c r="B95" s="1">
        <f t="shared" si="49"/>
        <v>0</v>
      </c>
      <c r="C95" s="1">
        <f t="shared" si="40"/>
        <v>0</v>
      </c>
      <c r="D95" s="1">
        <f t="shared" si="45"/>
        <v>8.855600775193806E-2</v>
      </c>
      <c r="E95">
        <v>59.27</v>
      </c>
      <c r="K95" s="1">
        <f>'Solar Availability and Gener GR'!F95</f>
        <v>0</v>
      </c>
      <c r="L95" s="1">
        <v>0.39891472868217059</v>
      </c>
      <c r="M95" s="1">
        <f t="shared" si="41"/>
        <v>-0.39891472868217059</v>
      </c>
      <c r="N95" s="1" t="str">
        <f t="shared" si="42"/>
        <v>Buy from Grid</v>
      </c>
      <c r="V95" s="1" t="str">
        <f t="shared" si="57"/>
        <v>buy from the Grid</v>
      </c>
      <c r="X95" s="1">
        <f t="shared" si="58"/>
        <v>-2.364367596899225E-2</v>
      </c>
      <c r="Y95" s="1">
        <f t="shared" si="39"/>
        <v>2.364367596899225E-2</v>
      </c>
      <c r="AA95" s="1">
        <f t="shared" si="43"/>
        <v>12.39299084322286</v>
      </c>
      <c r="AC95" s="1">
        <f t="shared" si="59"/>
        <v>0.39891472868217059</v>
      </c>
      <c r="AD95" s="1">
        <f t="shared" si="44"/>
        <v>0.39891472868217059</v>
      </c>
    </row>
    <row r="96" spans="1:30" ht="15">
      <c r="A96" s="1">
        <v>95</v>
      </c>
      <c r="B96" s="1">
        <f t="shared" si="49"/>
        <v>0</v>
      </c>
      <c r="C96" s="1">
        <f t="shared" si="40"/>
        <v>0</v>
      </c>
      <c r="D96" s="1">
        <f t="shared" si="45"/>
        <v>8.855600775193806E-2</v>
      </c>
      <c r="E96">
        <v>59.27</v>
      </c>
      <c r="K96" s="1">
        <f>'Solar Availability and Gener GR'!F96</f>
        <v>0</v>
      </c>
      <c r="L96" s="1">
        <v>0.39891472868217059</v>
      </c>
      <c r="M96" s="1">
        <f t="shared" si="41"/>
        <v>-0.39891472868217059</v>
      </c>
      <c r="N96" s="1" t="str">
        <f t="shared" si="42"/>
        <v>Buy from Grid</v>
      </c>
      <c r="V96" s="1" t="str">
        <f t="shared" si="57"/>
        <v>buy from the Grid</v>
      </c>
      <c r="X96" s="1">
        <f t="shared" si="58"/>
        <v>-2.364367596899225E-2</v>
      </c>
      <c r="Y96" s="1">
        <f t="shared" si="39"/>
        <v>2.364367596899225E-2</v>
      </c>
      <c r="AA96" s="1">
        <f t="shared" si="43"/>
        <v>11.99407611454069</v>
      </c>
      <c r="AC96" s="1">
        <f t="shared" si="59"/>
        <v>0.39891472868217059</v>
      </c>
      <c r="AD96" s="1">
        <f t="shared" si="44"/>
        <v>0.39891472868217059</v>
      </c>
    </row>
    <row r="97" spans="1:30" ht="15">
      <c r="A97" s="1">
        <v>96</v>
      </c>
      <c r="B97" s="1">
        <f t="shared" si="49"/>
        <v>0</v>
      </c>
      <c r="C97" s="1">
        <f t="shared" si="40"/>
        <v>0</v>
      </c>
      <c r="D97" s="1">
        <f t="shared" si="45"/>
        <v>8.855600775193806E-2</v>
      </c>
      <c r="E97">
        <v>59.27</v>
      </c>
      <c r="K97" s="1">
        <f>'Solar Availability and Gener GR'!F97</f>
        <v>0</v>
      </c>
      <c r="L97" s="1">
        <v>0.39891472868217059</v>
      </c>
      <c r="M97" s="1">
        <f t="shared" si="41"/>
        <v>-0.39891472868217059</v>
      </c>
      <c r="N97" s="1" t="str">
        <f t="shared" si="42"/>
        <v>Buy from Grid</v>
      </c>
      <c r="V97" s="1" t="str">
        <f t="shared" si="57"/>
        <v>buy from the Grid</v>
      </c>
      <c r="X97" s="1">
        <f t="shared" si="58"/>
        <v>-2.364367596899225E-2</v>
      </c>
      <c r="Y97" s="1">
        <f t="shared" si="39"/>
        <v>2.364367596899225E-2</v>
      </c>
      <c r="AA97" s="1">
        <f t="shared" si="43"/>
        <v>11.595161385858519</v>
      </c>
      <c r="AC97" s="1">
        <f t="shared" si="59"/>
        <v>0.39891472868217059</v>
      </c>
      <c r="AD97" s="1">
        <f t="shared" si="44"/>
        <v>0.39891472868217059</v>
      </c>
    </row>
    <row r="98" spans="1:30" ht="15">
      <c r="A98" s="1">
        <v>97</v>
      </c>
      <c r="B98" s="1">
        <f t="shared" si="49"/>
        <v>0</v>
      </c>
      <c r="C98" s="1">
        <f t="shared" si="40"/>
        <v>0</v>
      </c>
      <c r="D98" s="1">
        <f t="shared" si="45"/>
        <v>8.855600775193806E-2</v>
      </c>
      <c r="E98">
        <v>59.27</v>
      </c>
      <c r="K98" s="1">
        <f>'Solar Availability and Gener GR'!F98</f>
        <v>0</v>
      </c>
      <c r="L98" s="1">
        <v>0.30883720930232561</v>
      </c>
      <c r="M98" s="1">
        <f t="shared" si="41"/>
        <v>-0.30883720930232561</v>
      </c>
      <c r="N98" s="1" t="str">
        <f t="shared" si="42"/>
        <v>Buy from Grid</v>
      </c>
      <c r="V98" s="1" t="str">
        <f t="shared" si="57"/>
        <v>buy from the Grid</v>
      </c>
      <c r="X98" s="1">
        <f t="shared" si="58"/>
        <v>-1.830478139534884E-2</v>
      </c>
      <c r="Y98" s="1">
        <f t="shared" si="39"/>
        <v>1.830478139534884E-2</v>
      </c>
      <c r="AA98" s="1">
        <f t="shared" si="43"/>
        <v>11.286324176556194</v>
      </c>
      <c r="AC98" s="1">
        <f t="shared" si="59"/>
        <v>0.30883720930232561</v>
      </c>
      <c r="AD98" s="1">
        <f t="shared" si="44"/>
        <v>0.30883720930232561</v>
      </c>
    </row>
    <row r="99" spans="1:30" ht="15">
      <c r="A99" s="1">
        <v>98</v>
      </c>
      <c r="B99" s="1">
        <f t="shared" si="49"/>
        <v>0</v>
      </c>
      <c r="C99" s="1">
        <f t="shared" si="40"/>
        <v>0</v>
      </c>
      <c r="D99" s="1">
        <f t="shared" si="45"/>
        <v>8.855600775193806E-2</v>
      </c>
      <c r="E99">
        <v>59.27</v>
      </c>
      <c r="K99" s="1">
        <f>'Solar Availability and Gener GR'!F99</f>
        <v>0</v>
      </c>
      <c r="L99" s="1">
        <v>0.29596899224806206</v>
      </c>
      <c r="M99" s="1">
        <f t="shared" si="41"/>
        <v>-0.29596899224806206</v>
      </c>
      <c r="N99" s="1" t="str">
        <f t="shared" si="42"/>
        <v>Buy from Grid</v>
      </c>
      <c r="V99" s="1" t="str">
        <f t="shared" si="57"/>
        <v>buy from the Grid</v>
      </c>
      <c r="X99" s="1">
        <f t="shared" si="58"/>
        <v>-1.754208217054264E-2</v>
      </c>
      <c r="Y99" s="1">
        <f t="shared" si="39"/>
        <v>1.754208217054264E-2</v>
      </c>
      <c r="AA99" s="1">
        <f t="shared" si="43"/>
        <v>10.990355184308132</v>
      </c>
      <c r="AC99" s="1">
        <f t="shared" si="59"/>
        <v>0.29596899224806206</v>
      </c>
      <c r="AD99" s="1">
        <f t="shared" si="44"/>
        <v>0.29596899224806206</v>
      </c>
    </row>
    <row r="100" spans="1:30" ht="15">
      <c r="A100" s="1">
        <v>99</v>
      </c>
      <c r="B100" s="1">
        <f t="shared" si="49"/>
        <v>0</v>
      </c>
      <c r="C100" s="1">
        <f t="shared" si="40"/>
        <v>0</v>
      </c>
      <c r="D100" s="1">
        <f t="shared" si="45"/>
        <v>8.855600775193806E-2</v>
      </c>
      <c r="E100">
        <v>59.27</v>
      </c>
      <c r="K100" s="1">
        <f>'Solar Availability and Gener GR'!F100</f>
        <v>0</v>
      </c>
      <c r="L100" s="1">
        <v>0.29596899224806206</v>
      </c>
      <c r="M100" s="1">
        <f t="shared" si="41"/>
        <v>-0.29596899224806206</v>
      </c>
      <c r="N100" s="1" t="str">
        <f t="shared" si="42"/>
        <v>Buy from Grid</v>
      </c>
      <c r="V100" s="1" t="str">
        <f t="shared" si="57"/>
        <v>buy from the Grid</v>
      </c>
      <c r="X100" s="1">
        <f t="shared" si="58"/>
        <v>-1.754208217054264E-2</v>
      </c>
      <c r="Y100" s="1">
        <f t="shared" si="39"/>
        <v>1.754208217054264E-2</v>
      </c>
      <c r="AA100" s="1">
        <f t="shared" si="43"/>
        <v>10.694386192060071</v>
      </c>
      <c r="AC100" s="1">
        <f t="shared" si="59"/>
        <v>0.29596899224806206</v>
      </c>
      <c r="AD100" s="1">
        <f t="shared" si="44"/>
        <v>0.29596899224806206</v>
      </c>
    </row>
    <row r="101" spans="1:30" ht="15">
      <c r="A101" s="1">
        <v>100</v>
      </c>
      <c r="B101" s="1">
        <f t="shared" si="49"/>
        <v>0</v>
      </c>
      <c r="C101" s="1">
        <f t="shared" si="40"/>
        <v>0</v>
      </c>
      <c r="D101" s="1">
        <f t="shared" si="45"/>
        <v>8.855600775193806E-2</v>
      </c>
      <c r="E101">
        <v>59.27</v>
      </c>
      <c r="K101" s="1">
        <f>'Solar Availability and Gener GR'!F101</f>
        <v>0</v>
      </c>
      <c r="L101" s="1">
        <v>0.29596899224806206</v>
      </c>
      <c r="M101" s="1">
        <f t="shared" si="41"/>
        <v>-0.29596899224806206</v>
      </c>
      <c r="N101" s="1" t="str">
        <f t="shared" si="42"/>
        <v>Buy from Grid</v>
      </c>
      <c r="V101" s="1" t="str">
        <f t="shared" si="57"/>
        <v>buy from the Grid</v>
      </c>
      <c r="X101" s="1">
        <f t="shared" si="58"/>
        <v>-1.754208217054264E-2</v>
      </c>
      <c r="Y101" s="1">
        <f t="shared" si="39"/>
        <v>1.754208217054264E-2</v>
      </c>
      <c r="AA101" s="1">
        <f t="shared" si="43"/>
        <v>10.398417199812009</v>
      </c>
      <c r="AC101" s="1">
        <f t="shared" si="59"/>
        <v>0.29596899224806206</v>
      </c>
      <c r="AD101" s="1">
        <f t="shared" si="44"/>
        <v>0.29596899224806206</v>
      </c>
    </row>
    <row r="102" spans="1:30" ht="15">
      <c r="A102" s="1">
        <v>101</v>
      </c>
      <c r="B102" s="1">
        <f t="shared" si="49"/>
        <v>0</v>
      </c>
      <c r="C102" s="1">
        <f t="shared" si="40"/>
        <v>0</v>
      </c>
      <c r="D102" s="1">
        <f t="shared" si="45"/>
        <v>8.855600775193806E-2</v>
      </c>
      <c r="E102">
        <v>59.27</v>
      </c>
      <c r="K102" s="1">
        <f>'Solar Availability and Gener GR'!F102</f>
        <v>0</v>
      </c>
      <c r="L102" s="1">
        <v>0.29596899224806206</v>
      </c>
      <c r="M102" s="1">
        <f t="shared" si="41"/>
        <v>-0.29596899224806206</v>
      </c>
      <c r="N102" s="1" t="str">
        <f t="shared" si="42"/>
        <v>Buy from Grid</v>
      </c>
      <c r="V102" s="1" t="str">
        <f t="shared" si="57"/>
        <v>buy from the Grid</v>
      </c>
      <c r="X102" s="1">
        <f t="shared" si="58"/>
        <v>-1.754208217054264E-2</v>
      </c>
      <c r="Y102" s="1">
        <f t="shared" si="39"/>
        <v>1.754208217054264E-2</v>
      </c>
      <c r="AA102" s="1">
        <f t="shared" si="43"/>
        <v>10.102448207563947</v>
      </c>
      <c r="AC102" s="1">
        <f t="shared" si="59"/>
        <v>0.29596899224806206</v>
      </c>
      <c r="AD102" s="1">
        <f t="shared" si="44"/>
        <v>0.29596899224806206</v>
      </c>
    </row>
    <row r="103" spans="1:30" ht="15">
      <c r="A103" s="1">
        <v>102</v>
      </c>
      <c r="B103" s="1">
        <f t="shared" si="49"/>
        <v>0</v>
      </c>
      <c r="C103" s="1">
        <f t="shared" si="40"/>
        <v>0</v>
      </c>
      <c r="D103" s="1">
        <f t="shared" si="45"/>
        <v>8.855600775193806E-2</v>
      </c>
      <c r="E103">
        <v>59.27</v>
      </c>
      <c r="K103" s="1">
        <f>'Solar Availability and Gener GR'!F103</f>
        <v>0</v>
      </c>
      <c r="L103" s="1">
        <v>0.39891472868217059</v>
      </c>
      <c r="M103" s="1">
        <f t="shared" si="41"/>
        <v>-0.39891472868217059</v>
      </c>
      <c r="N103" s="1" t="str">
        <f t="shared" si="42"/>
        <v>Buy from Grid</v>
      </c>
      <c r="V103" s="1" t="str">
        <f t="shared" si="57"/>
        <v>buy from the Grid</v>
      </c>
      <c r="X103" s="1">
        <f t="shared" si="58"/>
        <v>-2.364367596899225E-2</v>
      </c>
      <c r="Y103" s="1">
        <f t="shared" si="39"/>
        <v>2.364367596899225E-2</v>
      </c>
      <c r="AA103" s="1">
        <f t="shared" si="43"/>
        <v>9.7035334788817771</v>
      </c>
      <c r="AC103" s="1">
        <f t="shared" si="59"/>
        <v>0.39891472868217059</v>
      </c>
      <c r="AD103" s="1">
        <f t="shared" si="44"/>
        <v>0.39891472868217059</v>
      </c>
    </row>
    <row r="104" spans="1:30" ht="15">
      <c r="A104" s="1">
        <v>103</v>
      </c>
      <c r="B104" s="1">
        <f t="shared" si="49"/>
        <v>0</v>
      </c>
      <c r="C104" s="1">
        <f t="shared" si="40"/>
        <v>0</v>
      </c>
      <c r="D104" s="1">
        <f t="shared" si="45"/>
        <v>8.855600775193806E-2</v>
      </c>
      <c r="E104">
        <v>59.27</v>
      </c>
      <c r="K104" s="1">
        <f>'Solar Availability and Gener GR'!F104</f>
        <v>5.3999999999999999E-2</v>
      </c>
      <c r="L104" s="1">
        <v>0.66914728682170543</v>
      </c>
      <c r="M104" s="1">
        <f t="shared" si="41"/>
        <v>-0.61514728682170539</v>
      </c>
      <c r="N104" s="1" t="str">
        <f t="shared" si="42"/>
        <v>Buy from Grid</v>
      </c>
      <c r="V104" s="1" t="str">
        <f t="shared" si="57"/>
        <v>buy from the Grid</v>
      </c>
      <c r="X104" s="1">
        <f t="shared" si="58"/>
        <v>-3.6459779689922478E-2</v>
      </c>
      <c r="Y104" s="1">
        <f t="shared" si="39"/>
        <v>3.9660359689922479E-2</v>
      </c>
      <c r="AA104" s="1">
        <f t="shared" si="43"/>
        <v>9.0883861920600708</v>
      </c>
      <c r="AC104" s="1">
        <f t="shared" si="59"/>
        <v>0.66914728682170543</v>
      </c>
      <c r="AD104" s="1">
        <f t="shared" si="44"/>
        <v>0.66914728682170543</v>
      </c>
    </row>
    <row r="105" spans="1:30" ht="15">
      <c r="A105" s="1">
        <v>104</v>
      </c>
      <c r="B105" s="1">
        <f t="shared" si="49"/>
        <v>0</v>
      </c>
      <c r="C105" s="1">
        <f t="shared" si="40"/>
        <v>0</v>
      </c>
      <c r="D105" s="1">
        <f t="shared" si="45"/>
        <v>8.855600775193806E-2</v>
      </c>
      <c r="E105">
        <v>59.27</v>
      </c>
      <c r="K105" s="1">
        <f>'Solar Availability and Gener GR'!F105</f>
        <v>0.33119999999999994</v>
      </c>
      <c r="L105" s="1">
        <v>0.66914728682170543</v>
      </c>
      <c r="M105" s="1">
        <f t="shared" si="41"/>
        <v>-0.33794728682170549</v>
      </c>
      <c r="N105" s="1" t="str">
        <f t="shared" si="42"/>
        <v>Buy from Grid</v>
      </c>
      <c r="V105" s="1" t="str">
        <f t="shared" si="57"/>
        <v>buy from the Grid</v>
      </c>
      <c r="X105" s="1">
        <f t="shared" si="58"/>
        <v>-2.0030135689922485E-2</v>
      </c>
      <c r="Y105" s="1">
        <f t="shared" si="39"/>
        <v>3.9660359689922479E-2</v>
      </c>
      <c r="AA105" s="1">
        <f t="shared" si="43"/>
        <v>8.7504389052383651</v>
      </c>
      <c r="AC105" s="1">
        <f t="shared" si="59"/>
        <v>0.66914728682170543</v>
      </c>
      <c r="AD105" s="1">
        <f t="shared" si="44"/>
        <v>0.66914728682170543</v>
      </c>
    </row>
    <row r="106" spans="1:30" ht="15">
      <c r="A106" s="1">
        <v>105</v>
      </c>
      <c r="B106" s="1">
        <f t="shared" si="49"/>
        <v>0</v>
      </c>
      <c r="C106" s="1">
        <f t="shared" si="40"/>
        <v>0</v>
      </c>
      <c r="D106" s="1">
        <f t="shared" si="45"/>
        <v>8.855600775193806E-2</v>
      </c>
      <c r="E106">
        <v>59.27</v>
      </c>
      <c r="K106" s="1">
        <f>'Solar Availability and Gener GR'!F106</f>
        <v>0.74160000000000004</v>
      </c>
      <c r="L106" s="1">
        <v>0.66914728682170543</v>
      </c>
      <c r="M106" s="1">
        <f t="shared" si="41"/>
        <v>7.2452713178294603E-2</v>
      </c>
      <c r="N106" s="1" t="str">
        <f t="shared" si="42"/>
        <v>sell the surplus or charge</v>
      </c>
      <c r="O106" s="1">
        <v>0.25</v>
      </c>
      <c r="P106" s="1">
        <f t="shared" ref="P106:P116" si="60">0.25/L106</f>
        <v>0.3736098239110287</v>
      </c>
      <c r="Q106" s="1">
        <f t="shared" ref="Q106:Q116" si="61">K106-P106*L106</f>
        <v>0.49160000000000004</v>
      </c>
      <c r="R106" s="1">
        <f t="shared" ref="R106:R116" si="62">((1/(E106+0.01))*LN(0.25))+(E106*(K106-0.25))</f>
        <v>29.113746467592449</v>
      </c>
      <c r="S106" s="1">
        <f t="shared" ref="S106:S116" si="63">((1/(E106+0.01))*LN(L106))+(E106*(K106-L106))</f>
        <v>4.2874951325570798</v>
      </c>
      <c r="T106" s="1">
        <f t="shared" ref="T106:T116" si="64">(S106+((S106^2)-4*(K106-L106*P106)*LN(L106*P106))^(0.5))/(2*(K106-L106*P106))</f>
        <v>9.0336730706039194</v>
      </c>
      <c r="U106" s="1" t="str">
        <f t="shared" ref="U106:U116" si="65">IF(E106&gt;=T106*1.05,"sell to the Grid","charge")</f>
        <v>sell to the Grid</v>
      </c>
      <c r="W106" s="1">
        <f t="shared" ref="W106:W116" si="66">(Q106*E106)/1000</f>
        <v>2.9137132000000003E-2</v>
      </c>
      <c r="Y106" s="1">
        <f t="shared" si="39"/>
        <v>3.9660359689922479E-2</v>
      </c>
      <c r="AA106" s="1">
        <f t="shared" si="43"/>
        <v>8.8228916184166604</v>
      </c>
      <c r="AD106" s="1">
        <f t="shared" si="44"/>
        <v>0.25</v>
      </c>
    </row>
    <row r="107" spans="1:30" ht="15">
      <c r="A107" s="1">
        <v>106</v>
      </c>
      <c r="B107" s="1">
        <f t="shared" si="49"/>
        <v>0</v>
      </c>
      <c r="C107" s="1">
        <f t="shared" si="40"/>
        <v>0</v>
      </c>
      <c r="D107" s="1">
        <f t="shared" si="45"/>
        <v>8.855600775193806E-2</v>
      </c>
      <c r="E107">
        <v>59.27</v>
      </c>
      <c r="K107" s="1">
        <f>'Solar Availability and Gener GR'!F107</f>
        <v>1.3176000000000001</v>
      </c>
      <c r="L107" s="1">
        <v>0.39891472868217059</v>
      </c>
      <c r="M107" s="1">
        <f t="shared" si="41"/>
        <v>0.91868527131782951</v>
      </c>
      <c r="N107" s="1" t="str">
        <f t="shared" si="42"/>
        <v>sell the surplus or charge</v>
      </c>
      <c r="O107" s="1">
        <v>0.25</v>
      </c>
      <c r="P107" s="1">
        <f t="shared" si="60"/>
        <v>0.62670034978624167</v>
      </c>
      <c r="Q107" s="1">
        <f t="shared" si="61"/>
        <v>1.0676000000000001</v>
      </c>
      <c r="R107" s="1">
        <f t="shared" si="62"/>
        <v>63.253266467592461</v>
      </c>
      <c r="S107" s="1">
        <f t="shared" si="63"/>
        <v>54.43497320378934</v>
      </c>
      <c r="T107" s="1">
        <f t="shared" si="64"/>
        <v>51.013626999921158</v>
      </c>
      <c r="U107" s="1" t="str">
        <f t="shared" si="65"/>
        <v>sell to the Grid</v>
      </c>
      <c r="W107" s="1">
        <f t="shared" si="66"/>
        <v>6.3276652000000017E-2</v>
      </c>
      <c r="Y107" s="1">
        <f t="shared" si="39"/>
        <v>2.364367596899225E-2</v>
      </c>
      <c r="AA107" s="1">
        <f t="shared" si="43"/>
        <v>9.741576889734489</v>
      </c>
      <c r="AD107" s="1">
        <f t="shared" si="44"/>
        <v>0.25</v>
      </c>
    </row>
    <row r="108" spans="1:30" ht="15">
      <c r="A108" s="1">
        <v>107</v>
      </c>
      <c r="B108" s="1">
        <f t="shared" si="49"/>
        <v>0</v>
      </c>
      <c r="C108" s="1">
        <f t="shared" si="40"/>
        <v>0</v>
      </c>
      <c r="D108" s="1">
        <f t="shared" si="45"/>
        <v>8.855600775193806E-2</v>
      </c>
      <c r="E108">
        <v>59.27</v>
      </c>
      <c r="K108" s="1">
        <f>'Solar Availability and Gener GR'!F108</f>
        <v>2.16</v>
      </c>
      <c r="L108" s="1">
        <v>0.39891472868217059</v>
      </c>
      <c r="M108" s="1">
        <f t="shared" si="41"/>
        <v>1.7610852713178295</v>
      </c>
      <c r="N108" s="1" t="str">
        <f t="shared" si="42"/>
        <v>sell the surplus or charge</v>
      </c>
      <c r="O108" s="1">
        <v>0.25</v>
      </c>
      <c r="P108" s="1">
        <f t="shared" si="60"/>
        <v>0.62670034978624167</v>
      </c>
      <c r="Q108" s="1">
        <f t="shared" si="61"/>
        <v>1.9100000000000001</v>
      </c>
      <c r="R108" s="1">
        <f t="shared" si="62"/>
        <v>113.18231446759245</v>
      </c>
      <c r="S108" s="1">
        <f t="shared" si="63"/>
        <v>104.36402120378933</v>
      </c>
      <c r="T108" s="1">
        <f t="shared" si="64"/>
        <v>54.654128829543751</v>
      </c>
      <c r="U108" s="1" t="str">
        <f t="shared" si="65"/>
        <v>sell to the Grid</v>
      </c>
      <c r="W108" s="1">
        <f t="shared" si="66"/>
        <v>0.11320570000000001</v>
      </c>
      <c r="Y108" s="1">
        <f t="shared" si="39"/>
        <v>2.364367596899225E-2</v>
      </c>
      <c r="AA108" s="1">
        <f t="shared" si="43"/>
        <v>11.502662161052319</v>
      </c>
      <c r="AD108" s="1">
        <f t="shared" si="44"/>
        <v>0.25</v>
      </c>
    </row>
    <row r="109" spans="1:30" ht="15">
      <c r="A109" s="1">
        <v>108</v>
      </c>
      <c r="B109" s="1">
        <f t="shared" si="49"/>
        <v>0</v>
      </c>
      <c r="C109" s="1">
        <f t="shared" si="40"/>
        <v>0</v>
      </c>
      <c r="D109" s="1">
        <f t="shared" si="45"/>
        <v>8.855600775193806E-2</v>
      </c>
      <c r="E109">
        <v>59.27</v>
      </c>
      <c r="K109" s="1">
        <f>'Solar Availability and Gener GR'!F109</f>
        <v>2.6568000000000001</v>
      </c>
      <c r="L109" s="1">
        <v>0.39891472868217059</v>
      </c>
      <c r="M109" s="1">
        <f t="shared" si="41"/>
        <v>2.2578852713178295</v>
      </c>
      <c r="N109" s="1" t="str">
        <f t="shared" si="42"/>
        <v>sell the surplus or charge</v>
      </c>
      <c r="O109" s="1">
        <v>0.25</v>
      </c>
      <c r="P109" s="1">
        <f t="shared" si="60"/>
        <v>0.62670034978624167</v>
      </c>
      <c r="Q109" s="1">
        <f t="shared" si="61"/>
        <v>2.4068000000000001</v>
      </c>
      <c r="R109" s="1">
        <f t="shared" si="62"/>
        <v>142.62765046759245</v>
      </c>
      <c r="S109" s="1">
        <f t="shared" si="63"/>
        <v>133.80935720378932</v>
      </c>
      <c r="T109" s="1">
        <f t="shared" si="64"/>
        <v>55.606734060221505</v>
      </c>
      <c r="U109" s="1" t="str">
        <f t="shared" si="65"/>
        <v>sell to the Grid</v>
      </c>
      <c r="W109" s="1">
        <f t="shared" si="66"/>
        <v>0.14265103600000001</v>
      </c>
      <c r="Y109" s="1">
        <f t="shared" si="39"/>
        <v>2.364367596899225E-2</v>
      </c>
      <c r="AA109" s="1">
        <f t="shared" si="43"/>
        <v>13.760547432370149</v>
      </c>
      <c r="AD109" s="1">
        <f t="shared" si="44"/>
        <v>0.25</v>
      </c>
    </row>
    <row r="110" spans="1:30" ht="15">
      <c r="A110" s="1">
        <v>109</v>
      </c>
      <c r="B110" s="1">
        <f t="shared" si="49"/>
        <v>0</v>
      </c>
      <c r="C110" s="1">
        <f t="shared" si="40"/>
        <v>0</v>
      </c>
      <c r="D110" s="1">
        <f t="shared" si="45"/>
        <v>8.855600775193806E-2</v>
      </c>
      <c r="E110">
        <v>59.27</v>
      </c>
      <c r="K110" s="1">
        <f>'Solar Availability and Gener GR'!F110</f>
        <v>2.9232000000000005</v>
      </c>
      <c r="L110" s="1">
        <v>0.39891472868217059</v>
      </c>
      <c r="M110" s="1">
        <f t="shared" si="41"/>
        <v>2.5242852713178299</v>
      </c>
      <c r="N110" s="1" t="str">
        <f t="shared" si="42"/>
        <v>sell the surplus or charge</v>
      </c>
      <c r="O110" s="1">
        <v>0.25</v>
      </c>
      <c r="P110" s="1">
        <f t="shared" si="60"/>
        <v>0.62670034978624167</v>
      </c>
      <c r="Q110" s="1">
        <f t="shared" si="61"/>
        <v>2.6732000000000005</v>
      </c>
      <c r="R110" s="1">
        <f t="shared" si="62"/>
        <v>158.41717846759246</v>
      </c>
      <c r="S110" s="1">
        <f t="shared" si="63"/>
        <v>149.59888520378937</v>
      </c>
      <c r="T110" s="1">
        <f t="shared" si="64"/>
        <v>55.971739099022678</v>
      </c>
      <c r="U110" s="1" t="str">
        <f t="shared" si="65"/>
        <v>sell to the Grid</v>
      </c>
      <c r="W110" s="1">
        <f t="shared" si="66"/>
        <v>0.15844056400000003</v>
      </c>
      <c r="Y110" s="1">
        <f t="shared" si="39"/>
        <v>2.364367596899225E-2</v>
      </c>
      <c r="AA110" s="1">
        <f t="shared" si="43"/>
        <v>16.284832703687979</v>
      </c>
      <c r="AD110" s="1">
        <f t="shared" si="44"/>
        <v>0.25</v>
      </c>
    </row>
    <row r="111" spans="1:30" ht="15">
      <c r="A111" s="1">
        <v>110</v>
      </c>
      <c r="B111" s="1">
        <f t="shared" si="49"/>
        <v>0</v>
      </c>
      <c r="C111" s="1">
        <f t="shared" si="40"/>
        <v>0</v>
      </c>
      <c r="D111" s="1">
        <f t="shared" si="45"/>
        <v>8.855600775193806E-2</v>
      </c>
      <c r="E111">
        <v>59.27</v>
      </c>
      <c r="K111" s="1">
        <f>'Solar Availability and Gener GR'!F111</f>
        <v>2.9807999999999995</v>
      </c>
      <c r="L111" s="1">
        <v>0.39891472868217059</v>
      </c>
      <c r="M111" s="1">
        <f t="shared" si="41"/>
        <v>2.5818852713178289</v>
      </c>
      <c r="N111" s="1" t="str">
        <f t="shared" si="42"/>
        <v>sell the surplus or charge</v>
      </c>
      <c r="O111" s="1">
        <v>0.25</v>
      </c>
      <c r="P111" s="1">
        <f t="shared" si="60"/>
        <v>0.62670034978624167</v>
      </c>
      <c r="Q111" s="1">
        <f t="shared" si="61"/>
        <v>2.7307999999999995</v>
      </c>
      <c r="R111" s="1">
        <f t="shared" si="62"/>
        <v>161.83113046759243</v>
      </c>
      <c r="S111" s="1">
        <f t="shared" si="63"/>
        <v>153.0128372037893</v>
      </c>
      <c r="T111" s="1">
        <f t="shared" si="64"/>
        <v>56.041297135621519</v>
      </c>
      <c r="U111" s="1" t="str">
        <f t="shared" si="65"/>
        <v>sell to the Grid</v>
      </c>
      <c r="W111" s="1">
        <f t="shared" si="66"/>
        <v>0.16185451599999998</v>
      </c>
      <c r="Y111" s="1">
        <f t="shared" si="39"/>
        <v>2.364367596899225E-2</v>
      </c>
      <c r="AA111" s="1">
        <f t="shared" si="43"/>
        <v>18.866717975005809</v>
      </c>
      <c r="AD111" s="1">
        <f t="shared" si="44"/>
        <v>0.25</v>
      </c>
    </row>
    <row r="112" spans="1:30" ht="15">
      <c r="A112" s="1">
        <v>111</v>
      </c>
      <c r="B112" s="1">
        <f t="shared" si="49"/>
        <v>0</v>
      </c>
      <c r="C112" s="1">
        <f t="shared" si="40"/>
        <v>0</v>
      </c>
      <c r="D112" s="1">
        <f t="shared" si="45"/>
        <v>8.855600775193806E-2</v>
      </c>
      <c r="E112">
        <v>59.27</v>
      </c>
      <c r="K112" s="1">
        <f>'Solar Availability and Gener GR'!F112</f>
        <v>2.8080000000000003</v>
      </c>
      <c r="L112" s="1">
        <v>0.39891472868217059</v>
      </c>
      <c r="M112" s="1">
        <f t="shared" si="41"/>
        <v>2.4090852713178297</v>
      </c>
      <c r="N112" s="1" t="str">
        <f t="shared" si="42"/>
        <v>sell the surplus or charge</v>
      </c>
      <c r="O112" s="1">
        <v>0.25</v>
      </c>
      <c r="P112" s="1">
        <f t="shared" si="60"/>
        <v>0.62670034978624167</v>
      </c>
      <c r="Q112" s="1">
        <f t="shared" si="61"/>
        <v>2.5580000000000003</v>
      </c>
      <c r="R112" s="1">
        <f t="shared" si="62"/>
        <v>151.58927446759247</v>
      </c>
      <c r="S112" s="1">
        <f t="shared" si="63"/>
        <v>142.77098120378935</v>
      </c>
      <c r="T112" s="1">
        <f t="shared" si="64"/>
        <v>55.823227072559099</v>
      </c>
      <c r="U112" s="1" t="str">
        <f t="shared" si="65"/>
        <v>sell to the Grid</v>
      </c>
      <c r="W112" s="1">
        <f t="shared" si="66"/>
        <v>0.15161266000000004</v>
      </c>
      <c r="Y112" s="1">
        <f t="shared" si="39"/>
        <v>2.364367596899225E-2</v>
      </c>
      <c r="AA112" s="1">
        <f t="shared" si="43"/>
        <v>21.27580324632364</v>
      </c>
      <c r="AD112" s="1">
        <f t="shared" si="44"/>
        <v>0.25</v>
      </c>
    </row>
    <row r="113" spans="1:30" ht="15">
      <c r="A113" s="1">
        <v>112</v>
      </c>
      <c r="B113" s="1">
        <f t="shared" si="49"/>
        <v>0</v>
      </c>
      <c r="C113" s="1">
        <f t="shared" si="40"/>
        <v>0</v>
      </c>
      <c r="D113" s="1">
        <f t="shared" si="45"/>
        <v>8.855600775193806E-2</v>
      </c>
      <c r="E113">
        <v>59.27</v>
      </c>
      <c r="K113" s="1">
        <f>'Solar Availability and Gener GR'!F113</f>
        <v>2.52</v>
      </c>
      <c r="L113" s="1">
        <v>0.39891472868217059</v>
      </c>
      <c r="M113" s="1">
        <f t="shared" si="41"/>
        <v>2.1210852713178294</v>
      </c>
      <c r="N113" s="1" t="str">
        <f t="shared" si="42"/>
        <v>sell the surplus or charge</v>
      </c>
      <c r="O113" s="1">
        <v>0.25</v>
      </c>
      <c r="P113" s="1">
        <f t="shared" si="60"/>
        <v>0.62670034978624167</v>
      </c>
      <c r="Q113" s="1">
        <f t="shared" si="61"/>
        <v>2.27</v>
      </c>
      <c r="R113" s="1">
        <f t="shared" si="62"/>
        <v>134.51951446759244</v>
      </c>
      <c r="S113" s="1">
        <f t="shared" si="63"/>
        <v>125.70122120378933</v>
      </c>
      <c r="T113" s="1">
        <f t="shared" si="64"/>
        <v>55.386013606498544</v>
      </c>
      <c r="U113" s="1" t="str">
        <f t="shared" si="65"/>
        <v>sell to the Grid</v>
      </c>
      <c r="W113" s="1">
        <f t="shared" si="66"/>
        <v>0.13454289999999999</v>
      </c>
      <c r="Y113" s="1">
        <f t="shared" si="39"/>
        <v>2.364367596899225E-2</v>
      </c>
      <c r="AA113" s="1">
        <f t="shared" si="43"/>
        <v>23.396888517641472</v>
      </c>
      <c r="AD113" s="1">
        <f t="shared" si="44"/>
        <v>0.25</v>
      </c>
    </row>
    <row r="114" spans="1:30" ht="15">
      <c r="A114" s="1">
        <v>113</v>
      </c>
      <c r="B114" s="1">
        <f t="shared" si="49"/>
        <v>0</v>
      </c>
      <c r="C114" s="1">
        <f t="shared" si="40"/>
        <v>0</v>
      </c>
      <c r="D114" s="1">
        <f t="shared" si="45"/>
        <v>8.855600775193806E-2</v>
      </c>
      <c r="E114">
        <v>59.27</v>
      </c>
      <c r="K114" s="1">
        <f>'Solar Availability and Gener GR'!F114</f>
        <v>2.0987999999999998</v>
      </c>
      <c r="L114" s="1">
        <v>0.39891472868217059</v>
      </c>
      <c r="M114" s="1">
        <f t="shared" si="41"/>
        <v>1.6998852713178292</v>
      </c>
      <c r="N114" s="1" t="str">
        <f t="shared" si="42"/>
        <v>sell the surplus or charge</v>
      </c>
      <c r="O114" s="1">
        <v>0.25</v>
      </c>
      <c r="P114" s="1">
        <f t="shared" si="60"/>
        <v>0.62670034978624167</v>
      </c>
      <c r="Q114" s="1">
        <f t="shared" si="61"/>
        <v>1.8487999999999998</v>
      </c>
      <c r="R114" s="1">
        <f t="shared" si="62"/>
        <v>109.55499046759243</v>
      </c>
      <c r="S114" s="1">
        <f t="shared" si="63"/>
        <v>100.73669720378932</v>
      </c>
      <c r="T114" s="1">
        <f t="shared" si="64"/>
        <v>54.501370163401049</v>
      </c>
      <c r="U114" s="1" t="str">
        <f t="shared" si="65"/>
        <v>sell to the Grid</v>
      </c>
      <c r="W114" s="1">
        <f t="shared" si="66"/>
        <v>0.10957837599999999</v>
      </c>
      <c r="Y114" s="1">
        <f t="shared" si="39"/>
        <v>2.364367596899225E-2</v>
      </c>
      <c r="AA114" s="1">
        <f t="shared" si="43"/>
        <v>25.0967737889593</v>
      </c>
      <c r="AD114" s="1">
        <f t="shared" si="44"/>
        <v>0.25</v>
      </c>
    </row>
    <row r="115" spans="1:30" ht="15">
      <c r="A115" s="1">
        <v>114</v>
      </c>
      <c r="B115" s="1">
        <f t="shared" si="49"/>
        <v>0</v>
      </c>
      <c r="C115" s="1">
        <f t="shared" si="40"/>
        <v>0</v>
      </c>
      <c r="D115" s="1">
        <f t="shared" si="45"/>
        <v>8.855600775193806E-2</v>
      </c>
      <c r="E115">
        <v>59.27</v>
      </c>
      <c r="K115" s="1">
        <f>'Solar Availability and Gener GR'!F115</f>
        <v>1.4867999999999999</v>
      </c>
      <c r="L115" s="1">
        <v>0.66914728682170543</v>
      </c>
      <c r="M115" s="1">
        <f t="shared" si="41"/>
        <v>0.81765271317829447</v>
      </c>
      <c r="N115" s="1" t="str">
        <f t="shared" si="42"/>
        <v>sell the surplus or charge</v>
      </c>
      <c r="O115" s="1">
        <v>0.25</v>
      </c>
      <c r="P115" s="1">
        <f t="shared" si="60"/>
        <v>0.3736098239110287</v>
      </c>
      <c r="Q115" s="1">
        <f t="shared" si="61"/>
        <v>1.2367999999999999</v>
      </c>
      <c r="R115" s="1">
        <f t="shared" si="62"/>
        <v>73.281750467592445</v>
      </c>
      <c r="S115" s="1">
        <f t="shared" si="63"/>
        <v>48.455499132557073</v>
      </c>
      <c r="T115" s="1">
        <f t="shared" si="64"/>
        <v>39.206709033832169</v>
      </c>
      <c r="U115" s="1" t="str">
        <f t="shared" si="65"/>
        <v>sell to the Grid</v>
      </c>
      <c r="W115" s="1">
        <f t="shared" si="66"/>
        <v>7.3305136000000007E-2</v>
      </c>
      <c r="Y115" s="1">
        <f t="shared" si="39"/>
        <v>3.9660359689922479E-2</v>
      </c>
      <c r="AA115" s="1">
        <f t="shared" si="43"/>
        <v>25.914426502137594</v>
      </c>
      <c r="AD115" s="1">
        <f t="shared" si="44"/>
        <v>0.25</v>
      </c>
    </row>
    <row r="116" spans="1:30" ht="15">
      <c r="A116" s="1">
        <v>115</v>
      </c>
      <c r="B116" s="1">
        <f t="shared" si="49"/>
        <v>0</v>
      </c>
      <c r="C116" s="1">
        <f t="shared" si="40"/>
        <v>0</v>
      </c>
      <c r="D116" s="1">
        <f t="shared" si="45"/>
        <v>8.855600775193806E-2</v>
      </c>
      <c r="E116">
        <v>59.27</v>
      </c>
      <c r="K116" s="1">
        <f>'Solar Availability and Gener GR'!F116</f>
        <v>0.89279999999999993</v>
      </c>
      <c r="L116" s="1">
        <v>0.66914728682170543</v>
      </c>
      <c r="M116" s="1">
        <f t="shared" si="41"/>
        <v>0.22365271317829449</v>
      </c>
      <c r="N116" s="1" t="str">
        <f t="shared" si="42"/>
        <v>sell the surplus or charge</v>
      </c>
      <c r="O116" s="1">
        <v>0.25</v>
      </c>
      <c r="P116" s="1">
        <f t="shared" si="60"/>
        <v>0.3736098239110287</v>
      </c>
      <c r="Q116" s="1">
        <f t="shared" si="61"/>
        <v>0.64279999999999993</v>
      </c>
      <c r="R116" s="1">
        <f t="shared" si="62"/>
        <v>38.075370467592442</v>
      </c>
      <c r="S116" s="1">
        <f t="shared" si="63"/>
        <v>13.249119132557073</v>
      </c>
      <c r="T116" s="1">
        <f t="shared" si="64"/>
        <v>20.715680123074357</v>
      </c>
      <c r="U116" s="1" t="str">
        <f t="shared" si="65"/>
        <v>sell to the Grid</v>
      </c>
      <c r="W116" s="1">
        <f t="shared" si="66"/>
        <v>3.8098755999999998E-2</v>
      </c>
      <c r="Y116" s="1">
        <f t="shared" si="39"/>
        <v>3.9660359689922479E-2</v>
      </c>
      <c r="AA116" s="1">
        <f t="shared" si="43"/>
        <v>26.138079215315887</v>
      </c>
      <c r="AD116" s="1">
        <f t="shared" si="44"/>
        <v>0.25</v>
      </c>
    </row>
    <row r="117" spans="1:30" ht="15">
      <c r="A117" s="1">
        <v>116</v>
      </c>
      <c r="B117" s="1">
        <f t="shared" si="49"/>
        <v>0</v>
      </c>
      <c r="C117" s="1">
        <f t="shared" si="40"/>
        <v>0</v>
      </c>
      <c r="D117" s="1">
        <f t="shared" si="45"/>
        <v>8.855600775193806E-2</v>
      </c>
      <c r="E117">
        <v>59.27</v>
      </c>
      <c r="K117" s="1">
        <f>'Solar Availability and Gener GR'!F117</f>
        <v>0.31679999999999997</v>
      </c>
      <c r="L117" s="1">
        <v>0.66914728682170543</v>
      </c>
      <c r="M117" s="1">
        <f t="shared" si="41"/>
        <v>-0.35234728682170546</v>
      </c>
      <c r="N117" s="1" t="str">
        <f t="shared" si="42"/>
        <v>Buy from Grid</v>
      </c>
      <c r="V117" s="1" t="str">
        <f t="shared" ref="V117:V129" si="67">IF(D117+M117&gt;0,"discharge","buy from the Grid")</f>
        <v>buy from the Grid</v>
      </c>
      <c r="X117" s="1">
        <f t="shared" ref="X117:X129" si="68">(M117*E117)/1000</f>
        <v>-2.0883623689922484E-2</v>
      </c>
      <c r="Y117" s="1">
        <f t="shared" si="39"/>
        <v>3.9660359689922479E-2</v>
      </c>
      <c r="AA117" s="1">
        <f t="shared" si="43"/>
        <v>25.785731928494183</v>
      </c>
      <c r="AC117" s="1">
        <f t="shared" ref="AC117:AC129" si="69">L117</f>
        <v>0.66914728682170543</v>
      </c>
      <c r="AD117" s="1">
        <f t="shared" si="44"/>
        <v>0.66914728682170543</v>
      </c>
    </row>
    <row r="118" spans="1:30" ht="15">
      <c r="A118" s="1">
        <v>117</v>
      </c>
      <c r="B118" s="1">
        <f t="shared" si="49"/>
        <v>0</v>
      </c>
      <c r="C118" s="1">
        <f t="shared" si="40"/>
        <v>0</v>
      </c>
      <c r="D118" s="1">
        <f t="shared" si="45"/>
        <v>8.855600775193806E-2</v>
      </c>
      <c r="E118">
        <v>59.27</v>
      </c>
      <c r="K118" s="1">
        <f>'Solar Availability and Gener GR'!F118</f>
        <v>2.1599999999999998E-2</v>
      </c>
      <c r="L118" s="1">
        <v>0.66914728682170543</v>
      </c>
      <c r="M118" s="1">
        <f t="shared" si="41"/>
        <v>-0.64754728682170548</v>
      </c>
      <c r="N118" s="1" t="str">
        <f t="shared" si="42"/>
        <v>Buy from Grid</v>
      </c>
      <c r="V118" s="1" t="str">
        <f t="shared" si="67"/>
        <v>buy from the Grid</v>
      </c>
      <c r="X118" s="1">
        <f t="shared" si="68"/>
        <v>-3.8380127689922487E-2</v>
      </c>
      <c r="Y118" s="1">
        <f t="shared" si="39"/>
        <v>3.9660359689922479E-2</v>
      </c>
      <c r="AA118" s="1">
        <f t="shared" si="43"/>
        <v>25.138184641672478</v>
      </c>
      <c r="AC118" s="1">
        <f t="shared" si="69"/>
        <v>0.66914728682170543</v>
      </c>
      <c r="AD118" s="1">
        <f t="shared" si="44"/>
        <v>0.66914728682170543</v>
      </c>
    </row>
    <row r="119" spans="1:30" ht="15">
      <c r="A119" s="1">
        <v>118</v>
      </c>
      <c r="B119" s="1">
        <f t="shared" si="49"/>
        <v>0</v>
      </c>
      <c r="C119" s="1">
        <f t="shared" si="40"/>
        <v>0</v>
      </c>
      <c r="D119" s="1">
        <f t="shared" si="45"/>
        <v>8.855600775193806E-2</v>
      </c>
      <c r="E119">
        <v>59.27</v>
      </c>
      <c r="K119" s="1">
        <f>'Solar Availability and Gener GR'!F119</f>
        <v>0</v>
      </c>
      <c r="L119" s="1">
        <v>0.39891472868217059</v>
      </c>
      <c r="M119" s="1">
        <f t="shared" si="41"/>
        <v>-0.39891472868217059</v>
      </c>
      <c r="N119" s="1" t="str">
        <f t="shared" si="42"/>
        <v>Buy from Grid</v>
      </c>
      <c r="V119" s="1" t="str">
        <f t="shared" si="67"/>
        <v>buy from the Grid</v>
      </c>
      <c r="X119" s="1">
        <f t="shared" si="68"/>
        <v>-2.364367596899225E-2</v>
      </c>
      <c r="Y119" s="1">
        <f t="shared" si="39"/>
        <v>2.364367596899225E-2</v>
      </c>
      <c r="AA119" s="1">
        <f t="shared" si="43"/>
        <v>24.739269912990306</v>
      </c>
      <c r="AC119" s="1">
        <f t="shared" si="69"/>
        <v>0.39891472868217059</v>
      </c>
      <c r="AD119" s="1">
        <f t="shared" si="44"/>
        <v>0.39891472868217059</v>
      </c>
    </row>
    <row r="120" spans="1:30" ht="15">
      <c r="A120" s="1">
        <v>119</v>
      </c>
      <c r="B120" s="1">
        <f t="shared" si="49"/>
        <v>0</v>
      </c>
      <c r="C120" s="1">
        <f t="shared" si="40"/>
        <v>0</v>
      </c>
      <c r="D120" s="1">
        <f t="shared" si="45"/>
        <v>8.855600775193806E-2</v>
      </c>
      <c r="E120">
        <v>59.27</v>
      </c>
      <c r="K120" s="1">
        <f>'Solar Availability and Gener GR'!F120</f>
        <v>0</v>
      </c>
      <c r="L120" s="1">
        <v>0.39891472868217059</v>
      </c>
      <c r="M120" s="1">
        <f t="shared" si="41"/>
        <v>-0.39891472868217059</v>
      </c>
      <c r="N120" s="1" t="str">
        <f t="shared" si="42"/>
        <v>Buy from Grid</v>
      </c>
      <c r="V120" s="1" t="str">
        <f t="shared" si="67"/>
        <v>buy from the Grid</v>
      </c>
      <c r="X120" s="1">
        <f t="shared" si="68"/>
        <v>-2.364367596899225E-2</v>
      </c>
      <c r="Y120" s="1">
        <f t="shared" si="39"/>
        <v>2.364367596899225E-2</v>
      </c>
      <c r="AA120" s="1">
        <f t="shared" si="43"/>
        <v>24.340355184308134</v>
      </c>
      <c r="AC120" s="1">
        <f t="shared" si="69"/>
        <v>0.39891472868217059</v>
      </c>
      <c r="AD120" s="1">
        <f t="shared" si="44"/>
        <v>0.39891472868217059</v>
      </c>
    </row>
    <row r="121" spans="1:30" ht="15">
      <c r="A121" s="1">
        <v>120</v>
      </c>
      <c r="B121" s="1">
        <f t="shared" si="49"/>
        <v>0</v>
      </c>
      <c r="C121" s="1">
        <f t="shared" si="40"/>
        <v>0</v>
      </c>
      <c r="D121" s="1">
        <f t="shared" si="45"/>
        <v>8.855600775193806E-2</v>
      </c>
      <c r="E121">
        <v>59.27</v>
      </c>
      <c r="K121" s="1">
        <f>'Solar Availability and Gener GR'!F121</f>
        <v>0</v>
      </c>
      <c r="L121" s="1">
        <v>0.29596899224806206</v>
      </c>
      <c r="M121" s="1">
        <f t="shared" si="41"/>
        <v>-0.29596899224806206</v>
      </c>
      <c r="N121" s="1" t="str">
        <f t="shared" si="42"/>
        <v>Buy from Grid</v>
      </c>
      <c r="V121" s="1" t="str">
        <f t="shared" si="67"/>
        <v>buy from the Grid</v>
      </c>
      <c r="X121" s="1">
        <f t="shared" si="68"/>
        <v>-1.754208217054264E-2</v>
      </c>
      <c r="Y121" s="1">
        <f t="shared" si="39"/>
        <v>1.754208217054264E-2</v>
      </c>
      <c r="AA121" s="1">
        <f t="shared" si="43"/>
        <v>24.04438619206007</v>
      </c>
      <c r="AC121" s="1">
        <f t="shared" si="69"/>
        <v>0.29596899224806206</v>
      </c>
      <c r="AD121" s="1">
        <f t="shared" si="44"/>
        <v>0.29596899224806206</v>
      </c>
    </row>
    <row r="122" spans="1:30" ht="15">
      <c r="A122" s="1">
        <v>121</v>
      </c>
      <c r="B122" s="1">
        <f t="shared" si="49"/>
        <v>0</v>
      </c>
      <c r="C122" s="1">
        <f t="shared" si="40"/>
        <v>0</v>
      </c>
      <c r="D122" s="1">
        <f t="shared" si="45"/>
        <v>8.855600775193806E-2</v>
      </c>
      <c r="E122">
        <v>59.27</v>
      </c>
      <c r="K122" s="1">
        <f>'Solar Availability and Gener GR'!F122</f>
        <v>0</v>
      </c>
      <c r="L122" s="1">
        <v>0.29596899224806206</v>
      </c>
      <c r="M122" s="1">
        <f t="shared" si="41"/>
        <v>-0.29596899224806206</v>
      </c>
      <c r="N122" s="1" t="str">
        <f t="shared" si="42"/>
        <v>Buy from Grid</v>
      </c>
      <c r="V122" s="1" t="str">
        <f t="shared" si="67"/>
        <v>buy from the Grid</v>
      </c>
      <c r="X122" s="1">
        <f t="shared" si="68"/>
        <v>-1.754208217054264E-2</v>
      </c>
      <c r="Y122" s="1">
        <f t="shared" si="39"/>
        <v>1.754208217054264E-2</v>
      </c>
      <c r="AA122" s="1">
        <f t="shared" si="43"/>
        <v>23.748417199812007</v>
      </c>
      <c r="AC122" s="1">
        <f t="shared" si="69"/>
        <v>0.29596899224806206</v>
      </c>
      <c r="AD122" s="1">
        <f t="shared" si="44"/>
        <v>0.29596899224806206</v>
      </c>
    </row>
    <row r="123" spans="1:30" ht="15">
      <c r="A123" s="1">
        <v>122</v>
      </c>
      <c r="B123" s="1">
        <f t="shared" si="49"/>
        <v>0</v>
      </c>
      <c r="C123" s="1">
        <f t="shared" si="40"/>
        <v>0</v>
      </c>
      <c r="D123" s="1">
        <f t="shared" si="45"/>
        <v>8.855600775193806E-2</v>
      </c>
      <c r="E123">
        <v>59.27</v>
      </c>
      <c r="K123" s="1">
        <f>'Solar Availability and Gener GR'!F123</f>
        <v>0</v>
      </c>
      <c r="L123" s="1">
        <v>0.30883720930232561</v>
      </c>
      <c r="M123" s="1">
        <f t="shared" si="41"/>
        <v>-0.30883720930232561</v>
      </c>
      <c r="N123" s="1" t="str">
        <f t="shared" si="42"/>
        <v>Buy from Grid</v>
      </c>
      <c r="V123" s="1" t="str">
        <f t="shared" si="67"/>
        <v>buy from the Grid</v>
      </c>
      <c r="X123" s="1">
        <f t="shared" si="68"/>
        <v>-1.830478139534884E-2</v>
      </c>
      <c r="Y123" s="1">
        <f t="shared" si="39"/>
        <v>1.830478139534884E-2</v>
      </c>
      <c r="AA123" s="1">
        <f t="shared" si="43"/>
        <v>23.439579990509682</v>
      </c>
      <c r="AC123" s="1">
        <f t="shared" si="69"/>
        <v>0.30883720930232561</v>
      </c>
      <c r="AD123" s="1">
        <f t="shared" si="44"/>
        <v>0.30883720930232561</v>
      </c>
    </row>
    <row r="124" spans="1:30" ht="15">
      <c r="A124" s="1">
        <v>123</v>
      </c>
      <c r="B124" s="1">
        <f t="shared" si="49"/>
        <v>0</v>
      </c>
      <c r="C124" s="1">
        <f t="shared" si="40"/>
        <v>0</v>
      </c>
      <c r="D124" s="1">
        <f t="shared" si="45"/>
        <v>8.855600775193806E-2</v>
      </c>
      <c r="E124">
        <v>59.27</v>
      </c>
      <c r="K124" s="1">
        <f>'Solar Availability and Gener GR'!F124</f>
        <v>0</v>
      </c>
      <c r="L124" s="1">
        <v>0.30883720930232561</v>
      </c>
      <c r="M124" s="1">
        <f t="shared" si="41"/>
        <v>-0.30883720930232561</v>
      </c>
      <c r="N124" s="1" t="str">
        <f t="shared" si="42"/>
        <v>Buy from Grid</v>
      </c>
      <c r="V124" s="1" t="str">
        <f t="shared" si="67"/>
        <v>buy from the Grid</v>
      </c>
      <c r="X124" s="1">
        <f t="shared" si="68"/>
        <v>-1.830478139534884E-2</v>
      </c>
      <c r="Y124" s="1">
        <f t="shared" si="39"/>
        <v>1.830478139534884E-2</v>
      </c>
      <c r="AA124" s="1">
        <f t="shared" si="43"/>
        <v>23.130742781207356</v>
      </c>
      <c r="AC124" s="1">
        <f t="shared" si="69"/>
        <v>0.30883720930232561</v>
      </c>
      <c r="AD124" s="1">
        <f t="shared" si="44"/>
        <v>0.30883720930232561</v>
      </c>
    </row>
    <row r="125" spans="1:30" ht="15">
      <c r="A125" s="1">
        <v>124</v>
      </c>
      <c r="B125" s="1">
        <f t="shared" si="49"/>
        <v>0</v>
      </c>
      <c r="C125" s="1">
        <f t="shared" si="40"/>
        <v>0</v>
      </c>
      <c r="D125" s="1">
        <f t="shared" si="45"/>
        <v>8.855600775193806E-2</v>
      </c>
      <c r="E125">
        <v>59.27</v>
      </c>
      <c r="K125" s="1">
        <f>'Solar Availability and Gener GR'!F125</f>
        <v>0</v>
      </c>
      <c r="L125" s="1">
        <v>0.30883720930232561</v>
      </c>
      <c r="M125" s="1">
        <f t="shared" si="41"/>
        <v>-0.30883720930232561</v>
      </c>
      <c r="N125" s="1" t="str">
        <f t="shared" si="42"/>
        <v>Buy from Grid</v>
      </c>
      <c r="V125" s="1" t="str">
        <f t="shared" si="67"/>
        <v>buy from the Grid</v>
      </c>
      <c r="X125" s="1">
        <f t="shared" si="68"/>
        <v>-1.830478139534884E-2</v>
      </c>
      <c r="Y125" s="1">
        <f t="shared" si="39"/>
        <v>1.830478139534884E-2</v>
      </c>
      <c r="AA125" s="1">
        <f t="shared" si="43"/>
        <v>22.821905571905031</v>
      </c>
      <c r="AC125" s="1">
        <f t="shared" si="69"/>
        <v>0.30883720930232561</v>
      </c>
      <c r="AD125" s="1">
        <f t="shared" si="44"/>
        <v>0.30883720930232561</v>
      </c>
    </row>
    <row r="126" spans="1:30" ht="15">
      <c r="A126" s="1">
        <v>125</v>
      </c>
      <c r="B126" s="1">
        <f t="shared" si="49"/>
        <v>0</v>
      </c>
      <c r="C126" s="1">
        <f t="shared" si="40"/>
        <v>0</v>
      </c>
      <c r="D126" s="1">
        <f t="shared" si="45"/>
        <v>8.855600775193806E-2</v>
      </c>
      <c r="E126">
        <v>59.27</v>
      </c>
      <c r="K126" s="1">
        <f>'Solar Availability and Gener GR'!F126</f>
        <v>0</v>
      </c>
      <c r="L126" s="1">
        <v>0.39891472868217059</v>
      </c>
      <c r="M126" s="1">
        <f t="shared" si="41"/>
        <v>-0.39891472868217059</v>
      </c>
      <c r="N126" s="1" t="str">
        <f t="shared" si="42"/>
        <v>Buy from Grid</v>
      </c>
      <c r="V126" s="1" t="str">
        <f t="shared" si="67"/>
        <v>buy from the Grid</v>
      </c>
      <c r="X126" s="1">
        <f t="shared" si="68"/>
        <v>-2.364367596899225E-2</v>
      </c>
      <c r="Y126" s="1">
        <f t="shared" si="39"/>
        <v>2.364367596899225E-2</v>
      </c>
      <c r="AA126" s="1">
        <f t="shared" si="43"/>
        <v>22.422990843222859</v>
      </c>
      <c r="AC126" s="1">
        <f t="shared" si="69"/>
        <v>0.39891472868217059</v>
      </c>
      <c r="AD126" s="1">
        <f t="shared" si="44"/>
        <v>0.39891472868217059</v>
      </c>
    </row>
    <row r="127" spans="1:30" ht="15">
      <c r="A127" s="1">
        <v>126</v>
      </c>
      <c r="B127" s="1">
        <f t="shared" si="49"/>
        <v>0</v>
      </c>
      <c r="C127" s="1">
        <f t="shared" si="40"/>
        <v>0</v>
      </c>
      <c r="D127" s="1">
        <f t="shared" si="45"/>
        <v>8.855600775193806E-2</v>
      </c>
      <c r="E127">
        <v>59.27</v>
      </c>
      <c r="K127" s="1">
        <f>'Solar Availability and Gener GR'!F127</f>
        <v>0</v>
      </c>
      <c r="L127" s="1">
        <v>0.65627906976744199</v>
      </c>
      <c r="M127" s="1">
        <f t="shared" si="41"/>
        <v>-0.65627906976744199</v>
      </c>
      <c r="N127" s="1" t="str">
        <f t="shared" si="42"/>
        <v>Buy from Grid</v>
      </c>
      <c r="V127" s="1" t="str">
        <f t="shared" si="67"/>
        <v>buy from the Grid</v>
      </c>
      <c r="X127" s="1">
        <f t="shared" si="68"/>
        <v>-3.8897660465116286E-2</v>
      </c>
      <c r="Y127" s="1">
        <f t="shared" si="39"/>
        <v>3.8897660465116286E-2</v>
      </c>
      <c r="AA127" s="1">
        <f t="shared" si="43"/>
        <v>21.766711773455416</v>
      </c>
      <c r="AC127" s="1">
        <f t="shared" si="69"/>
        <v>0.65627906976744199</v>
      </c>
      <c r="AD127" s="1">
        <f t="shared" si="44"/>
        <v>0.65627906976744199</v>
      </c>
    </row>
    <row r="128" spans="1:30" ht="15">
      <c r="A128" s="1">
        <v>127</v>
      </c>
      <c r="B128" s="1">
        <f t="shared" si="49"/>
        <v>0</v>
      </c>
      <c r="C128" s="1">
        <f t="shared" si="40"/>
        <v>0</v>
      </c>
      <c r="D128" s="1">
        <f t="shared" si="45"/>
        <v>8.855600775193806E-2</v>
      </c>
      <c r="E128">
        <v>59.27</v>
      </c>
      <c r="K128" s="1">
        <f>'Solar Availability and Gener GR'!F128</f>
        <v>7.4098637941778636E-2</v>
      </c>
      <c r="L128" s="1">
        <v>0.66914728682170543</v>
      </c>
      <c r="M128" s="1">
        <f t="shared" si="41"/>
        <v>-0.59504864887992681</v>
      </c>
      <c r="N128" s="1" t="str">
        <f t="shared" si="42"/>
        <v>Buy from Grid</v>
      </c>
      <c r="V128" s="1" t="str">
        <f t="shared" si="67"/>
        <v>buy from the Grid</v>
      </c>
      <c r="X128" s="1">
        <f t="shared" si="68"/>
        <v>-3.5268533419113263E-2</v>
      </c>
      <c r="Y128" s="1">
        <f t="shared" si="39"/>
        <v>3.9660359689922479E-2</v>
      </c>
      <c r="AA128" s="1">
        <f t="shared" si="43"/>
        <v>21.171663124575488</v>
      </c>
      <c r="AC128" s="1">
        <f t="shared" si="69"/>
        <v>0.66914728682170543</v>
      </c>
      <c r="AD128" s="1">
        <f t="shared" si="44"/>
        <v>0.66914728682170543</v>
      </c>
    </row>
    <row r="129" spans="1:30" ht="15">
      <c r="A129" s="1">
        <v>128</v>
      </c>
      <c r="B129" s="1">
        <f t="shared" si="49"/>
        <v>0</v>
      </c>
      <c r="C129" s="1">
        <f t="shared" si="40"/>
        <v>0</v>
      </c>
      <c r="D129" s="1">
        <f t="shared" si="45"/>
        <v>8.855600775193806E-2</v>
      </c>
      <c r="E129">
        <v>59.27</v>
      </c>
      <c r="K129" s="1">
        <f>'Solar Availability and Gener GR'!F129</f>
        <v>0.39921659396421116</v>
      </c>
      <c r="L129" s="1">
        <v>0.65627906976744199</v>
      </c>
      <c r="M129" s="1">
        <f t="shared" si="41"/>
        <v>-0.25706247580323083</v>
      </c>
      <c r="N129" s="1" t="str">
        <f t="shared" si="42"/>
        <v>Buy from Grid</v>
      </c>
      <c r="V129" s="1" t="str">
        <f t="shared" si="67"/>
        <v>buy from the Grid</v>
      </c>
      <c r="X129" s="1">
        <f t="shared" si="68"/>
        <v>-1.5236092940857492E-2</v>
      </c>
      <c r="Y129" s="1">
        <f t="shared" si="39"/>
        <v>3.8897660465116286E-2</v>
      </c>
      <c r="AA129" s="1">
        <f t="shared" si="43"/>
        <v>20.914600648772257</v>
      </c>
      <c r="AC129" s="1">
        <f t="shared" si="69"/>
        <v>0.65627906976744199</v>
      </c>
      <c r="AD129" s="1">
        <f t="shared" si="44"/>
        <v>0.65627906976744199</v>
      </c>
    </row>
    <row r="130" spans="1:30" ht="15">
      <c r="A130" s="1">
        <v>129</v>
      </c>
      <c r="B130" s="1">
        <f t="shared" si="49"/>
        <v>0</v>
      </c>
      <c r="C130" s="1">
        <f t="shared" si="40"/>
        <v>0</v>
      </c>
      <c r="D130" s="1">
        <f t="shared" si="45"/>
        <v>8.855600775193806E-2</v>
      </c>
      <c r="E130">
        <v>59.27</v>
      </c>
      <c r="K130" s="1">
        <f>'Solar Availability and Gener GR'!F130</f>
        <v>0.82006587732573366</v>
      </c>
      <c r="L130" s="1">
        <v>0.39891472868217059</v>
      </c>
      <c r="M130" s="1">
        <f t="shared" si="41"/>
        <v>0.42115114864356307</v>
      </c>
      <c r="N130" s="1" t="str">
        <f t="shared" si="42"/>
        <v>sell the surplus or charge</v>
      </c>
      <c r="O130" s="1">
        <v>0.25</v>
      </c>
      <c r="P130" s="1">
        <f t="shared" ref="P130:P140" si="70">0.25/L130</f>
        <v>0.62670034978624167</v>
      </c>
      <c r="Q130" s="1">
        <f t="shared" ref="Q130:Q140" si="71">K130-P130*L130</f>
        <v>0.57006587732573366</v>
      </c>
      <c r="R130" s="1">
        <f t="shared" ref="R130:R140" si="72">((1/(E130+0.01))*LN(0.25))+(E130*(K130-0.25))</f>
        <v>33.764419016688684</v>
      </c>
      <c r="S130" s="1">
        <f t="shared" ref="S130:S140" si="73">((1/(E130+0.01))*LN(L130))+(E130*(K130-L130))</f>
        <v>24.94612575288556</v>
      </c>
      <c r="T130" s="1">
        <f t="shared" ref="T130:T140" si="74">(S130+((S130^2)-4*(K130-L130*P130)*LN(L130*P130))^(0.5))/(2*(K130-L130*P130))</f>
        <v>43.815576498690056</v>
      </c>
      <c r="U130" s="1" t="str">
        <f t="shared" ref="U130:U140" si="75">IF(E130&gt;=T130*1.05,"sell to the Grid","charge")</f>
        <v>sell to the Grid</v>
      </c>
      <c r="W130" s="1">
        <f t="shared" ref="W130:W140" si="76">(Q130*E130)/1000</f>
        <v>3.3787804549096238E-2</v>
      </c>
      <c r="Y130" s="1">
        <f t="shared" ref="Y130:Y193" si="77">(L130*E130)/1000</f>
        <v>2.364367596899225E-2</v>
      </c>
      <c r="AA130" s="1">
        <f t="shared" si="43"/>
        <v>21.335751797415821</v>
      </c>
      <c r="AD130" s="1">
        <f t="shared" si="44"/>
        <v>0.25</v>
      </c>
    </row>
    <row r="131" spans="1:30" ht="15">
      <c r="A131" s="1">
        <v>130</v>
      </c>
      <c r="B131" s="1">
        <f t="shared" si="49"/>
        <v>0</v>
      </c>
      <c r="C131" s="1">
        <f t="shared" ref="C131:C194" si="78">IF(V130="discharge",M130,0)</f>
        <v>0</v>
      </c>
      <c r="D131" s="1">
        <f t="shared" si="45"/>
        <v>8.855600775193806E-2</v>
      </c>
      <c r="E131">
        <v>59.27</v>
      </c>
      <c r="K131" s="1">
        <f>'Solar Availability and Gener GR'!F131</f>
        <v>1.4132288791952279</v>
      </c>
      <c r="L131" s="1">
        <v>0.39891472868217059</v>
      </c>
      <c r="M131" s="1">
        <f t="shared" ref="M131:M194" si="79">K131-L131</f>
        <v>1.0143141505130573</v>
      </c>
      <c r="N131" s="1" t="str">
        <f t="shared" ref="N131:N194" si="80">IF(M131&lt;0,"Buy from Grid","sell the surplus or charge")</f>
        <v>sell the surplus or charge</v>
      </c>
      <c r="O131" s="1">
        <v>0.25</v>
      </c>
      <c r="P131" s="1">
        <f t="shared" si="70"/>
        <v>0.62670034978624167</v>
      </c>
      <c r="Q131" s="1">
        <f t="shared" si="71"/>
        <v>1.1632288791952279</v>
      </c>
      <c r="R131" s="1">
        <f t="shared" si="72"/>
        <v>68.921190137493596</v>
      </c>
      <c r="S131" s="1">
        <f t="shared" si="73"/>
        <v>60.10289687369049</v>
      </c>
      <c r="T131" s="1">
        <f t="shared" si="74"/>
        <v>51.692075621589304</v>
      </c>
      <c r="U131" s="1" t="str">
        <f t="shared" si="75"/>
        <v>sell to the Grid</v>
      </c>
      <c r="W131" s="1">
        <f t="shared" si="76"/>
        <v>6.8944575669901156E-2</v>
      </c>
      <c r="Y131" s="1">
        <f t="shared" si="77"/>
        <v>2.364367596899225E-2</v>
      </c>
      <c r="AA131" s="1">
        <f t="shared" ref="AA131:AA194" si="81">M131+AA130</f>
        <v>22.350065947928879</v>
      </c>
      <c r="AD131" s="1">
        <f t="shared" ref="AD131:AD194" si="82">AC131+O131</f>
        <v>0.25</v>
      </c>
    </row>
    <row r="132" spans="1:30" ht="15">
      <c r="A132" s="1">
        <v>131</v>
      </c>
      <c r="B132" s="1">
        <f t="shared" si="49"/>
        <v>0</v>
      </c>
      <c r="C132" s="1">
        <f t="shared" si="78"/>
        <v>0</v>
      </c>
      <c r="D132" s="1">
        <f t="shared" ref="D132:D195" si="83">(D131)+(B132*0.8)+(C132/0.8)</f>
        <v>8.855600775193806E-2</v>
      </c>
      <c r="E132">
        <v>59.27</v>
      </c>
      <c r="K132" s="1">
        <f>'Solar Availability and Gener GR'!F132</f>
        <v>2.4277485978812412</v>
      </c>
      <c r="L132" s="1">
        <v>0.39891472868217059</v>
      </c>
      <c r="M132" s="1">
        <f t="shared" si="79"/>
        <v>2.0288338691990706</v>
      </c>
      <c r="N132" s="1" t="str">
        <f t="shared" si="80"/>
        <v>sell the surplus or charge</v>
      </c>
      <c r="O132" s="1">
        <v>0.25</v>
      </c>
      <c r="P132" s="1">
        <f t="shared" si="70"/>
        <v>0.62670034978624167</v>
      </c>
      <c r="Q132" s="1">
        <f t="shared" si="71"/>
        <v>2.1777485978812412</v>
      </c>
      <c r="R132" s="1">
        <f t="shared" si="72"/>
        <v>129.05177386401363</v>
      </c>
      <c r="S132" s="1">
        <f t="shared" si="73"/>
        <v>120.2334806002105</v>
      </c>
      <c r="T132" s="1">
        <f t="shared" si="74"/>
        <v>55.221518663396019</v>
      </c>
      <c r="U132" s="1" t="str">
        <f t="shared" si="75"/>
        <v>sell to the Grid</v>
      </c>
      <c r="W132" s="1">
        <f t="shared" si="76"/>
        <v>0.1290751593964212</v>
      </c>
      <c r="Y132" s="1">
        <f t="shared" si="77"/>
        <v>2.364367596899225E-2</v>
      </c>
      <c r="AA132" s="1">
        <f t="shared" si="81"/>
        <v>24.378899817127952</v>
      </c>
      <c r="AD132" s="1">
        <f t="shared" si="82"/>
        <v>0.25</v>
      </c>
    </row>
    <row r="133" spans="1:30" ht="15">
      <c r="A133" s="1">
        <v>132</v>
      </c>
      <c r="B133" s="1">
        <f t="shared" si="49"/>
        <v>0</v>
      </c>
      <c r="C133" s="1">
        <f t="shared" si="78"/>
        <v>0</v>
      </c>
      <c r="D133" s="1">
        <f t="shared" si="83"/>
        <v>8.855600775193806E-2</v>
      </c>
      <c r="E133">
        <v>59.27</v>
      </c>
      <c r="K133" s="1">
        <f>'Solar Availability and Gener GR'!F133</f>
        <v>2.9251936259236153</v>
      </c>
      <c r="L133" s="1">
        <v>0.39891472868217059</v>
      </c>
      <c r="M133" s="1">
        <f t="shared" si="79"/>
        <v>2.5262788972414447</v>
      </c>
      <c r="N133" s="1" t="str">
        <f t="shared" si="80"/>
        <v>sell the surplus or charge</v>
      </c>
      <c r="O133" s="1">
        <v>0.25</v>
      </c>
      <c r="P133" s="1">
        <f t="shared" si="70"/>
        <v>0.62670034978624167</v>
      </c>
      <c r="Q133" s="1">
        <f t="shared" si="71"/>
        <v>2.6751936259236153</v>
      </c>
      <c r="R133" s="1">
        <f t="shared" si="72"/>
        <v>158.53534067608513</v>
      </c>
      <c r="S133" s="1">
        <f t="shared" si="73"/>
        <v>149.717047412282</v>
      </c>
      <c r="T133" s="1">
        <f t="shared" si="74"/>
        <v>55.974196644877878</v>
      </c>
      <c r="U133" s="1" t="str">
        <f t="shared" si="75"/>
        <v>sell to the Grid</v>
      </c>
      <c r="W133" s="1">
        <f t="shared" si="76"/>
        <v>0.15855872620849268</v>
      </c>
      <c r="Y133" s="1">
        <f t="shared" si="77"/>
        <v>2.364367596899225E-2</v>
      </c>
      <c r="AA133" s="1">
        <f t="shared" si="81"/>
        <v>26.905178714369395</v>
      </c>
      <c r="AD133" s="1">
        <f t="shared" si="82"/>
        <v>0.25</v>
      </c>
    </row>
    <row r="134" spans="1:30" ht="15">
      <c r="A134" s="1">
        <v>133</v>
      </c>
      <c r="B134" s="1">
        <f t="shared" si="49"/>
        <v>2.9428647734354128</v>
      </c>
      <c r="C134" s="1">
        <f t="shared" si="78"/>
        <v>0</v>
      </c>
      <c r="D134" s="1">
        <f t="shared" si="83"/>
        <v>2.4428478265002687</v>
      </c>
      <c r="E134">
        <v>59.27</v>
      </c>
      <c r="K134" s="1">
        <f>'Solar Availability and Gener GR'!F134</f>
        <v>3.1928647734354128</v>
      </c>
      <c r="L134" s="1">
        <v>0.38604651162790704</v>
      </c>
      <c r="M134" s="1">
        <f t="shared" si="79"/>
        <v>2.8068182618075057</v>
      </c>
      <c r="N134" s="1" t="str">
        <f t="shared" si="80"/>
        <v>sell the surplus or charge</v>
      </c>
      <c r="O134" s="1">
        <v>0.25</v>
      </c>
      <c r="P134" s="1">
        <f t="shared" si="70"/>
        <v>0.64759036144578308</v>
      </c>
      <c r="Q134" s="1">
        <f t="shared" si="71"/>
        <v>2.9428647734354128</v>
      </c>
      <c r="R134" s="1">
        <f t="shared" si="72"/>
        <v>174.40020958910935</v>
      </c>
      <c r="S134" s="1">
        <f t="shared" si="73"/>
        <v>166.34406241544946</v>
      </c>
      <c r="T134" s="1">
        <f t="shared" si="74"/>
        <v>56.532867509092235</v>
      </c>
      <c r="U134" s="1" t="str">
        <f t="shared" si="75"/>
        <v>charge</v>
      </c>
      <c r="W134" s="1">
        <f t="shared" si="76"/>
        <v>0.17442359512151692</v>
      </c>
      <c r="Y134" s="1">
        <f t="shared" si="77"/>
        <v>2.288097674418605E-2</v>
      </c>
      <c r="AA134" s="1">
        <f t="shared" si="81"/>
        <v>29.711996976176902</v>
      </c>
      <c r="AD134" s="1">
        <f t="shared" si="82"/>
        <v>0.25</v>
      </c>
    </row>
    <row r="135" spans="1:30" ht="15">
      <c r="A135" s="1">
        <v>134</v>
      </c>
      <c r="B135" s="1">
        <f t="shared" si="49"/>
        <v>0</v>
      </c>
      <c r="C135" s="1">
        <f t="shared" si="78"/>
        <v>0</v>
      </c>
      <c r="D135" s="1">
        <f t="shared" si="83"/>
        <v>2.4428478265002687</v>
      </c>
      <c r="E135">
        <v>59.27</v>
      </c>
      <c r="K135" s="1">
        <f>'Solar Availability and Gener GR'!F135</f>
        <v>3.1924241075402815</v>
      </c>
      <c r="L135" s="1">
        <v>0.39891472868217059</v>
      </c>
      <c r="M135" s="1">
        <f t="shared" si="79"/>
        <v>2.7935093788581109</v>
      </c>
      <c r="N135" s="1" t="str">
        <f t="shared" si="80"/>
        <v>sell the surplus or charge</v>
      </c>
      <c r="O135" s="1">
        <v>0.25</v>
      </c>
      <c r="P135" s="1">
        <f t="shared" si="70"/>
        <v>0.62670034978624167</v>
      </c>
      <c r="Q135" s="1">
        <f t="shared" si="71"/>
        <v>2.9424241075402815</v>
      </c>
      <c r="R135" s="1">
        <f t="shared" si="72"/>
        <v>174.37409132150492</v>
      </c>
      <c r="S135" s="1">
        <f t="shared" si="73"/>
        <v>165.55579805770182</v>
      </c>
      <c r="T135" s="1">
        <f t="shared" si="74"/>
        <v>56.273476207918179</v>
      </c>
      <c r="U135" s="1" t="str">
        <f t="shared" si="75"/>
        <v>sell to the Grid</v>
      </c>
      <c r="W135" s="1">
        <f t="shared" si="76"/>
        <v>0.17439747685391249</v>
      </c>
      <c r="Y135" s="1">
        <f t="shared" si="77"/>
        <v>2.364367596899225E-2</v>
      </c>
      <c r="AA135" s="1">
        <f t="shared" si="81"/>
        <v>32.50550635503501</v>
      </c>
      <c r="AD135" s="1">
        <f t="shared" si="82"/>
        <v>0.25</v>
      </c>
    </row>
    <row r="136" spans="1:30" ht="15">
      <c r="A136" s="1">
        <v>135</v>
      </c>
      <c r="B136" s="1">
        <f t="shared" si="49"/>
        <v>0</v>
      </c>
      <c r="C136" s="1">
        <f t="shared" si="78"/>
        <v>0</v>
      </c>
      <c r="D136" s="1">
        <f t="shared" si="83"/>
        <v>2.4428478265002687</v>
      </c>
      <c r="E136">
        <v>59.27</v>
      </c>
      <c r="K136" s="1">
        <f>'Solar Availability and Gener GR'!F136</f>
        <v>3.0579809489895817</v>
      </c>
      <c r="L136" s="1">
        <v>0.39891472868217059</v>
      </c>
      <c r="M136" s="1">
        <f t="shared" si="79"/>
        <v>2.6590662203074111</v>
      </c>
      <c r="N136" s="1" t="str">
        <f t="shared" si="80"/>
        <v>sell the surplus or charge</v>
      </c>
      <c r="O136" s="1">
        <v>0.25</v>
      </c>
      <c r="P136" s="1">
        <f t="shared" si="70"/>
        <v>0.62670034978624167</v>
      </c>
      <c r="Q136" s="1">
        <f t="shared" si="71"/>
        <v>2.8079809489895817</v>
      </c>
      <c r="R136" s="1">
        <f t="shared" si="72"/>
        <v>166.40564531420495</v>
      </c>
      <c r="S136" s="1">
        <f t="shared" si="73"/>
        <v>157.58735205040185</v>
      </c>
      <c r="T136" s="1">
        <f t="shared" si="74"/>
        <v>56.130028238502895</v>
      </c>
      <c r="U136" s="1" t="str">
        <f t="shared" si="75"/>
        <v>sell to the Grid</v>
      </c>
      <c r="W136" s="1">
        <f t="shared" si="76"/>
        <v>0.16642903084661251</v>
      </c>
      <c r="Y136" s="1">
        <f t="shared" si="77"/>
        <v>2.364367596899225E-2</v>
      </c>
      <c r="AA136" s="1">
        <f t="shared" si="81"/>
        <v>35.164572575342419</v>
      </c>
      <c r="AD136" s="1">
        <f t="shared" si="82"/>
        <v>0.25</v>
      </c>
    </row>
    <row r="137" spans="1:30" ht="15">
      <c r="A137" s="1">
        <v>136</v>
      </c>
      <c r="B137" s="1">
        <f t="shared" si="49"/>
        <v>0</v>
      </c>
      <c r="C137" s="1">
        <f t="shared" si="78"/>
        <v>0</v>
      </c>
      <c r="D137" s="1">
        <f t="shared" si="83"/>
        <v>2.4428478265002687</v>
      </c>
      <c r="E137">
        <v>59.27</v>
      </c>
      <c r="K137" s="1">
        <f>'Solar Availability and Gener GR'!F137</f>
        <v>2.7894952372473929</v>
      </c>
      <c r="L137" s="1">
        <v>0.39891472868217059</v>
      </c>
      <c r="M137" s="1">
        <f t="shared" si="79"/>
        <v>2.3905805085652223</v>
      </c>
      <c r="N137" s="1" t="str">
        <f t="shared" si="80"/>
        <v>sell the surplus or charge</v>
      </c>
      <c r="O137" s="1">
        <v>0.25</v>
      </c>
      <c r="P137" s="1">
        <f t="shared" si="70"/>
        <v>0.62670034978624167</v>
      </c>
      <c r="Q137" s="1">
        <f t="shared" si="71"/>
        <v>2.5394952372473929</v>
      </c>
      <c r="R137" s="1">
        <f t="shared" si="72"/>
        <v>150.49249717924542</v>
      </c>
      <c r="S137" s="1">
        <f t="shared" si="73"/>
        <v>141.67420391544232</v>
      </c>
      <c r="T137" s="1">
        <f t="shared" si="74"/>
        <v>55.798115570807987</v>
      </c>
      <c r="U137" s="1" t="str">
        <f t="shared" si="75"/>
        <v>sell to the Grid</v>
      </c>
      <c r="W137" s="1">
        <f t="shared" si="76"/>
        <v>0.15051588271165298</v>
      </c>
      <c r="Y137" s="1">
        <f t="shared" si="77"/>
        <v>2.364367596899225E-2</v>
      </c>
      <c r="AA137" s="1">
        <f t="shared" si="81"/>
        <v>37.555153083907641</v>
      </c>
      <c r="AD137" s="1">
        <f t="shared" si="82"/>
        <v>0.25</v>
      </c>
    </row>
    <row r="138" spans="1:30" ht="15">
      <c r="A138" s="1">
        <v>137</v>
      </c>
      <c r="B138" s="1">
        <f t="shared" si="49"/>
        <v>0</v>
      </c>
      <c r="C138" s="1">
        <f t="shared" si="78"/>
        <v>0</v>
      </c>
      <c r="D138" s="1">
        <f t="shared" si="83"/>
        <v>2.4428478265002687</v>
      </c>
      <c r="E138">
        <v>59.27</v>
      </c>
      <c r="K138" s="1">
        <f>'Solar Availability and Gener GR'!F138</f>
        <v>2.3678046826315309</v>
      </c>
      <c r="L138" s="1">
        <v>0.66914728682170543</v>
      </c>
      <c r="M138" s="1">
        <f t="shared" si="79"/>
        <v>1.6986573958098254</v>
      </c>
      <c r="N138" s="1" t="str">
        <f t="shared" si="80"/>
        <v>sell the surplus or charge</v>
      </c>
      <c r="O138" s="1">
        <v>0.25</v>
      </c>
      <c r="P138" s="1">
        <f t="shared" si="70"/>
        <v>0.3736098239110287</v>
      </c>
      <c r="Q138" s="1">
        <f t="shared" si="71"/>
        <v>2.1178046826315309</v>
      </c>
      <c r="R138" s="1">
        <f t="shared" si="72"/>
        <v>125.49889800716328</v>
      </c>
      <c r="S138" s="1">
        <f t="shared" si="73"/>
        <v>100.67264667212791</v>
      </c>
      <c r="T138" s="1">
        <f t="shared" si="74"/>
        <v>47.550088966653043</v>
      </c>
      <c r="U138" s="1" t="str">
        <f t="shared" si="75"/>
        <v>sell to the Grid</v>
      </c>
      <c r="W138" s="1">
        <f t="shared" si="76"/>
        <v>0.12552228353957084</v>
      </c>
      <c r="Y138" s="1">
        <f t="shared" si="77"/>
        <v>3.9660359689922479E-2</v>
      </c>
      <c r="AA138" s="1">
        <f t="shared" si="81"/>
        <v>39.253810479717465</v>
      </c>
      <c r="AD138" s="1">
        <f t="shared" si="82"/>
        <v>0.25</v>
      </c>
    </row>
    <row r="139" spans="1:30" ht="15">
      <c r="A139" s="1">
        <v>138</v>
      </c>
      <c r="B139" s="1">
        <f t="shared" si="49"/>
        <v>0</v>
      </c>
      <c r="C139" s="1">
        <f t="shared" si="78"/>
        <v>0</v>
      </c>
      <c r="D139" s="1">
        <f t="shared" si="83"/>
        <v>2.4428478265002687</v>
      </c>
      <c r="E139">
        <v>59.27</v>
      </c>
      <c r="K139" s="1">
        <f>'Solar Availability and Gener GR'!F139</f>
        <v>1.7929226386539647</v>
      </c>
      <c r="L139" s="1">
        <v>0.65627906976744199</v>
      </c>
      <c r="M139" s="1">
        <f t="shared" si="79"/>
        <v>1.1366435688865226</v>
      </c>
      <c r="N139" s="1" t="str">
        <f t="shared" si="80"/>
        <v>sell the surplus or charge</v>
      </c>
      <c r="O139" s="1">
        <v>0.25</v>
      </c>
      <c r="P139" s="1">
        <f t="shared" si="70"/>
        <v>0.38093550673281351</v>
      </c>
      <c r="Q139" s="1">
        <f t="shared" si="71"/>
        <v>1.5429226386539647</v>
      </c>
      <c r="R139" s="1">
        <f t="shared" si="72"/>
        <v>91.42563926061294</v>
      </c>
      <c r="S139" s="1">
        <f t="shared" si="73"/>
        <v>67.361759584832868</v>
      </c>
      <c r="T139" s="1">
        <f t="shared" si="74"/>
        <v>43.679116532910804</v>
      </c>
      <c r="U139" s="1" t="str">
        <f t="shared" si="75"/>
        <v>sell to the Grid</v>
      </c>
      <c r="W139" s="1">
        <f t="shared" si="76"/>
        <v>9.14490247930205E-2</v>
      </c>
      <c r="Y139" s="1">
        <f t="shared" si="77"/>
        <v>3.8897660465116286E-2</v>
      </c>
      <c r="AA139" s="1">
        <f t="shared" si="81"/>
        <v>40.390454048603985</v>
      </c>
      <c r="AD139" s="1">
        <f t="shared" si="82"/>
        <v>0.25</v>
      </c>
    </row>
    <row r="140" spans="1:30" ht="15">
      <c r="A140" s="1">
        <v>139</v>
      </c>
      <c r="B140" s="1">
        <f t="shared" si="49"/>
        <v>0</v>
      </c>
      <c r="C140" s="1">
        <f t="shared" si="78"/>
        <v>0</v>
      </c>
      <c r="D140" s="1">
        <f t="shared" si="83"/>
        <v>2.4428478265002687</v>
      </c>
      <c r="E140">
        <v>59.27</v>
      </c>
      <c r="K140" s="1">
        <f>'Solar Availability and Gener GR'!F140</f>
        <v>1.1222825603133602</v>
      </c>
      <c r="L140" s="1">
        <v>0.66914728682170543</v>
      </c>
      <c r="M140" s="1">
        <f t="shared" si="79"/>
        <v>0.45313527349165472</v>
      </c>
      <c r="N140" s="1" t="str">
        <f t="shared" si="80"/>
        <v>sell the surplus or charge</v>
      </c>
      <c r="O140" s="1">
        <v>0.25</v>
      </c>
      <c r="P140" s="1">
        <f t="shared" si="70"/>
        <v>0.3736098239110287</v>
      </c>
      <c r="Q140" s="1">
        <f t="shared" si="71"/>
        <v>0.87228256031336016</v>
      </c>
      <c r="R140" s="1">
        <f t="shared" si="72"/>
        <v>51.676801817365309</v>
      </c>
      <c r="S140" s="1">
        <f t="shared" si="73"/>
        <v>26.850550482329936</v>
      </c>
      <c r="T140" s="1">
        <f t="shared" si="74"/>
        <v>30.833484908653574</v>
      </c>
      <c r="U140" s="1" t="str">
        <f t="shared" si="75"/>
        <v>sell to the Grid</v>
      </c>
      <c r="W140" s="1">
        <f t="shared" si="76"/>
        <v>5.1700187349772858E-2</v>
      </c>
      <c r="Y140" s="1">
        <f t="shared" si="77"/>
        <v>3.9660359689922479E-2</v>
      </c>
      <c r="AA140" s="1">
        <f t="shared" si="81"/>
        <v>40.843589322095639</v>
      </c>
      <c r="AD140" s="1">
        <f t="shared" si="82"/>
        <v>0.25</v>
      </c>
    </row>
    <row r="141" spans="1:30" ht="15">
      <c r="A141" s="1">
        <v>140</v>
      </c>
      <c r="B141" s="1">
        <f t="shared" si="49"/>
        <v>0</v>
      </c>
      <c r="C141" s="1">
        <f t="shared" si="78"/>
        <v>0</v>
      </c>
      <c r="D141" s="1">
        <f t="shared" si="83"/>
        <v>2.4428478265002687</v>
      </c>
      <c r="E141">
        <v>59.27</v>
      </c>
      <c r="K141" s="1">
        <f>'Solar Availability and Gener GR'!F141</f>
        <v>0.45164248197275875</v>
      </c>
      <c r="L141" s="1">
        <v>0.65627906976744199</v>
      </c>
      <c r="M141" s="1">
        <f t="shared" si="79"/>
        <v>-0.20463658779468324</v>
      </c>
      <c r="N141" s="1" t="str">
        <f t="shared" si="80"/>
        <v>Buy from Grid</v>
      </c>
      <c r="V141" s="1" t="str">
        <f t="shared" ref="V141:V153" si="84">IF(D141+M141&gt;0,"discharge","buy from the Grid")</f>
        <v>discharge</v>
      </c>
      <c r="Y141" s="1">
        <f t="shared" si="77"/>
        <v>3.8897660465116286E-2</v>
      </c>
      <c r="AA141" s="1">
        <f t="shared" si="81"/>
        <v>40.638952734300958</v>
      </c>
      <c r="AD141" s="1">
        <f t="shared" si="82"/>
        <v>0</v>
      </c>
    </row>
    <row r="142" spans="1:30" ht="15">
      <c r="A142" s="1">
        <v>141</v>
      </c>
      <c r="B142" s="1">
        <f t="shared" si="49"/>
        <v>0</v>
      </c>
      <c r="C142" s="1">
        <f t="shared" si="78"/>
        <v>-0.20463658779468324</v>
      </c>
      <c r="D142" s="1">
        <f t="shared" si="83"/>
        <v>2.1870520917569145</v>
      </c>
      <c r="E142">
        <v>59.27</v>
      </c>
      <c r="K142" s="1">
        <f>'Solar Availability and Gener GR'!F142</f>
        <v>4.91142170390814E-2</v>
      </c>
      <c r="L142" s="1">
        <v>0.39891472868217059</v>
      </c>
      <c r="M142" s="1">
        <f t="shared" si="79"/>
        <v>-0.34980051164308917</v>
      </c>
      <c r="N142" s="1" t="str">
        <f t="shared" si="80"/>
        <v>Buy from Grid</v>
      </c>
      <c r="V142" s="1" t="str">
        <f t="shared" si="84"/>
        <v>discharge</v>
      </c>
      <c r="Y142" s="1">
        <f t="shared" si="77"/>
        <v>2.364367596899225E-2</v>
      </c>
      <c r="AA142" s="1">
        <f t="shared" si="81"/>
        <v>40.289152222657869</v>
      </c>
      <c r="AD142" s="1">
        <f t="shared" si="82"/>
        <v>0</v>
      </c>
    </row>
    <row r="143" spans="1:30" ht="15">
      <c r="A143" s="1">
        <v>142</v>
      </c>
      <c r="B143" s="1">
        <f t="shared" si="49"/>
        <v>0</v>
      </c>
      <c r="C143" s="1">
        <f t="shared" si="78"/>
        <v>-0.34980051164308917</v>
      </c>
      <c r="D143" s="1">
        <f t="shared" si="83"/>
        <v>1.7498014522030529</v>
      </c>
      <c r="E143">
        <v>59.27</v>
      </c>
      <c r="K143" s="1">
        <f>'Solar Availability and Gener GR'!F143</f>
        <v>0</v>
      </c>
      <c r="L143" s="1">
        <v>0.39891472868217059</v>
      </c>
      <c r="M143" s="1">
        <f t="shared" si="79"/>
        <v>-0.39891472868217059</v>
      </c>
      <c r="N143" s="1" t="str">
        <f t="shared" si="80"/>
        <v>Buy from Grid</v>
      </c>
      <c r="V143" s="1" t="str">
        <f t="shared" si="84"/>
        <v>discharge</v>
      </c>
      <c r="Y143" s="1">
        <f t="shared" si="77"/>
        <v>2.364367596899225E-2</v>
      </c>
      <c r="AA143" s="1">
        <f t="shared" si="81"/>
        <v>39.890237493975697</v>
      </c>
      <c r="AD143" s="1">
        <f t="shared" si="82"/>
        <v>0</v>
      </c>
    </row>
    <row r="144" spans="1:30" ht="15">
      <c r="A144" s="1">
        <v>143</v>
      </c>
      <c r="B144" s="1">
        <f t="shared" ref="B144:B207" si="85">IF(U144="charge",Q144,0)</f>
        <v>0</v>
      </c>
      <c r="C144" s="1">
        <f t="shared" si="78"/>
        <v>-0.39891472868217059</v>
      </c>
      <c r="D144" s="1">
        <f t="shared" si="83"/>
        <v>1.2511580413503398</v>
      </c>
      <c r="E144">
        <v>59.27</v>
      </c>
      <c r="K144" s="1">
        <f>'Solar Availability and Gener GR'!F144</f>
        <v>0</v>
      </c>
      <c r="L144" s="1">
        <v>0.39891472868217059</v>
      </c>
      <c r="M144" s="1">
        <f t="shared" si="79"/>
        <v>-0.39891472868217059</v>
      </c>
      <c r="N144" s="1" t="str">
        <f t="shared" si="80"/>
        <v>Buy from Grid</v>
      </c>
      <c r="V144" s="1" t="str">
        <f t="shared" si="84"/>
        <v>discharge</v>
      </c>
      <c r="Y144" s="1">
        <f t="shared" si="77"/>
        <v>2.364367596899225E-2</v>
      </c>
      <c r="AA144" s="1">
        <f t="shared" si="81"/>
        <v>39.491322765293525</v>
      </c>
      <c r="AD144" s="1">
        <f t="shared" si="82"/>
        <v>0</v>
      </c>
    </row>
    <row r="145" spans="1:30" ht="15">
      <c r="A145" s="1">
        <v>144</v>
      </c>
      <c r="B145" s="1">
        <f t="shared" si="85"/>
        <v>0</v>
      </c>
      <c r="C145" s="1">
        <f t="shared" si="78"/>
        <v>-0.39891472868217059</v>
      </c>
      <c r="D145" s="1">
        <f t="shared" si="83"/>
        <v>0.75251463049762657</v>
      </c>
      <c r="E145">
        <v>59.27</v>
      </c>
      <c r="K145" s="1">
        <f>'Solar Availability and Gener GR'!F145</f>
        <v>0</v>
      </c>
      <c r="L145" s="1">
        <v>0.29596899224806206</v>
      </c>
      <c r="M145" s="1">
        <f t="shared" si="79"/>
        <v>-0.29596899224806206</v>
      </c>
      <c r="N145" s="1" t="str">
        <f t="shared" si="80"/>
        <v>Buy from Grid</v>
      </c>
      <c r="V145" s="1" t="str">
        <f t="shared" si="84"/>
        <v>discharge</v>
      </c>
      <c r="Y145" s="1">
        <f t="shared" si="77"/>
        <v>1.754208217054264E-2</v>
      </c>
      <c r="AA145" s="1">
        <f t="shared" si="81"/>
        <v>39.195353773045461</v>
      </c>
      <c r="AD145" s="1">
        <f t="shared" si="82"/>
        <v>0</v>
      </c>
    </row>
    <row r="146" spans="1:30" ht="15">
      <c r="A146" s="1">
        <v>145</v>
      </c>
      <c r="B146" s="1">
        <f t="shared" si="85"/>
        <v>0</v>
      </c>
      <c r="C146" s="1">
        <f t="shared" si="78"/>
        <v>-0.29596899224806206</v>
      </c>
      <c r="D146" s="1">
        <f t="shared" si="83"/>
        <v>0.38255339018754903</v>
      </c>
      <c r="E146">
        <v>59.27</v>
      </c>
      <c r="K146" s="1">
        <f>'Solar Availability and Gener GR'!F146</f>
        <v>0</v>
      </c>
      <c r="L146" s="1">
        <v>0.29596899224806206</v>
      </c>
      <c r="M146" s="1">
        <f t="shared" si="79"/>
        <v>-0.29596899224806206</v>
      </c>
      <c r="N146" s="1" t="str">
        <f t="shared" si="80"/>
        <v>Buy from Grid</v>
      </c>
      <c r="V146" s="1" t="str">
        <f t="shared" si="84"/>
        <v>discharge</v>
      </c>
      <c r="Y146" s="1">
        <f t="shared" si="77"/>
        <v>1.754208217054264E-2</v>
      </c>
      <c r="AA146" s="1">
        <f t="shared" si="81"/>
        <v>38.899384780797398</v>
      </c>
      <c r="AD146" s="1">
        <f t="shared" si="82"/>
        <v>0</v>
      </c>
    </row>
    <row r="147" spans="1:30" ht="15">
      <c r="A147" s="1">
        <v>146</v>
      </c>
      <c r="B147" s="1">
        <f t="shared" si="85"/>
        <v>0</v>
      </c>
      <c r="C147" s="1">
        <f t="shared" si="78"/>
        <v>-0.29596899224806206</v>
      </c>
      <c r="D147" s="1">
        <f t="shared" si="83"/>
        <v>1.2592149877471481E-2</v>
      </c>
      <c r="E147">
        <v>59.27</v>
      </c>
      <c r="K147" s="1">
        <f>'Solar Availability and Gener GR'!F147</f>
        <v>0</v>
      </c>
      <c r="L147" s="1">
        <v>0.29596899224806206</v>
      </c>
      <c r="M147" s="1">
        <f t="shared" si="79"/>
        <v>-0.29596899224806206</v>
      </c>
      <c r="N147" s="1" t="str">
        <f t="shared" si="80"/>
        <v>Buy from Grid</v>
      </c>
      <c r="V147" s="1" t="str">
        <f t="shared" si="84"/>
        <v>buy from the Grid</v>
      </c>
      <c r="X147" s="1">
        <f t="shared" ref="X147:X153" si="86">(M147*E147)/1000</f>
        <v>-1.754208217054264E-2</v>
      </c>
      <c r="Y147" s="1">
        <f t="shared" si="77"/>
        <v>1.754208217054264E-2</v>
      </c>
      <c r="AA147" s="1">
        <f t="shared" si="81"/>
        <v>38.603415788549334</v>
      </c>
      <c r="AC147" s="1">
        <f t="shared" ref="AC147:AC153" si="87">L147</f>
        <v>0.29596899224806206</v>
      </c>
      <c r="AD147" s="1">
        <f t="shared" si="82"/>
        <v>0.29596899224806206</v>
      </c>
    </row>
    <row r="148" spans="1:30" ht="15">
      <c r="A148" s="1">
        <v>147</v>
      </c>
      <c r="B148" s="1">
        <f t="shared" si="85"/>
        <v>0</v>
      </c>
      <c r="C148" s="1">
        <f t="shared" si="78"/>
        <v>0</v>
      </c>
      <c r="D148" s="1">
        <f t="shared" si="83"/>
        <v>1.2592149877471481E-2</v>
      </c>
      <c r="E148">
        <v>59.27</v>
      </c>
      <c r="K148" s="1">
        <f>'Solar Availability and Gener GR'!F148</f>
        <v>0</v>
      </c>
      <c r="L148" s="1">
        <v>0.30883720930232561</v>
      </c>
      <c r="M148" s="1">
        <f t="shared" si="79"/>
        <v>-0.30883720930232561</v>
      </c>
      <c r="N148" s="1" t="str">
        <f t="shared" si="80"/>
        <v>Buy from Grid</v>
      </c>
      <c r="V148" s="1" t="str">
        <f t="shared" si="84"/>
        <v>buy from the Grid</v>
      </c>
      <c r="X148" s="1">
        <f t="shared" si="86"/>
        <v>-1.830478139534884E-2</v>
      </c>
      <c r="Y148" s="1">
        <f t="shared" si="77"/>
        <v>1.830478139534884E-2</v>
      </c>
      <c r="AA148" s="1">
        <f t="shared" si="81"/>
        <v>38.294578579247009</v>
      </c>
      <c r="AC148" s="1">
        <f t="shared" si="87"/>
        <v>0.30883720930232561</v>
      </c>
      <c r="AD148" s="1">
        <f t="shared" si="82"/>
        <v>0.30883720930232561</v>
      </c>
    </row>
    <row r="149" spans="1:30" ht="15">
      <c r="A149" s="1">
        <v>148</v>
      </c>
      <c r="B149" s="1">
        <f t="shared" si="85"/>
        <v>0</v>
      </c>
      <c r="C149" s="1">
        <f t="shared" si="78"/>
        <v>0</v>
      </c>
      <c r="D149" s="1">
        <f t="shared" si="83"/>
        <v>1.2592149877471481E-2</v>
      </c>
      <c r="E149">
        <v>59.27</v>
      </c>
      <c r="K149" s="1">
        <f>'Solar Availability and Gener GR'!F149</f>
        <v>0</v>
      </c>
      <c r="L149" s="1">
        <v>0.29596899224806206</v>
      </c>
      <c r="M149" s="1">
        <f t="shared" si="79"/>
        <v>-0.29596899224806206</v>
      </c>
      <c r="N149" s="1" t="str">
        <f t="shared" si="80"/>
        <v>Buy from Grid</v>
      </c>
      <c r="V149" s="1" t="str">
        <f t="shared" si="84"/>
        <v>buy from the Grid</v>
      </c>
      <c r="X149" s="1">
        <f t="shared" si="86"/>
        <v>-1.754208217054264E-2</v>
      </c>
      <c r="Y149" s="1">
        <f t="shared" si="77"/>
        <v>1.754208217054264E-2</v>
      </c>
      <c r="AA149" s="1">
        <f t="shared" si="81"/>
        <v>37.998609586998946</v>
      </c>
      <c r="AC149" s="1">
        <f t="shared" si="87"/>
        <v>0.29596899224806206</v>
      </c>
      <c r="AD149" s="1">
        <f t="shared" si="82"/>
        <v>0.29596899224806206</v>
      </c>
    </row>
    <row r="150" spans="1:30" ht="15">
      <c r="A150" s="1">
        <v>149</v>
      </c>
      <c r="B150" s="1">
        <f t="shared" si="85"/>
        <v>0</v>
      </c>
      <c r="C150" s="1">
        <f t="shared" si="78"/>
        <v>0</v>
      </c>
      <c r="D150" s="1">
        <f t="shared" si="83"/>
        <v>1.2592149877471481E-2</v>
      </c>
      <c r="E150">
        <v>59.27</v>
      </c>
      <c r="K150" s="1">
        <f>'Solar Availability and Gener GR'!F150</f>
        <v>0</v>
      </c>
      <c r="L150" s="1">
        <v>0.39891472868217059</v>
      </c>
      <c r="M150" s="1">
        <f t="shared" si="79"/>
        <v>-0.39891472868217059</v>
      </c>
      <c r="N150" s="1" t="str">
        <f t="shared" si="80"/>
        <v>Buy from Grid</v>
      </c>
      <c r="V150" s="1" t="str">
        <f t="shared" si="84"/>
        <v>buy from the Grid</v>
      </c>
      <c r="X150" s="1">
        <f t="shared" si="86"/>
        <v>-2.364367596899225E-2</v>
      </c>
      <c r="Y150" s="1">
        <f t="shared" si="77"/>
        <v>2.364367596899225E-2</v>
      </c>
      <c r="AA150" s="1">
        <f t="shared" si="81"/>
        <v>37.599694858316774</v>
      </c>
      <c r="AC150" s="1">
        <f t="shared" si="87"/>
        <v>0.39891472868217059</v>
      </c>
      <c r="AD150" s="1">
        <f t="shared" si="82"/>
        <v>0.39891472868217059</v>
      </c>
    </row>
    <row r="151" spans="1:30" ht="15">
      <c r="A151" s="1">
        <v>150</v>
      </c>
      <c r="B151" s="1">
        <f t="shared" si="85"/>
        <v>0</v>
      </c>
      <c r="C151" s="1">
        <f t="shared" si="78"/>
        <v>0</v>
      </c>
      <c r="D151" s="1">
        <f t="shared" si="83"/>
        <v>1.2592149877471481E-2</v>
      </c>
      <c r="E151">
        <v>59.27</v>
      </c>
      <c r="K151" s="1">
        <f>'Solar Availability and Gener GR'!F151</f>
        <v>0</v>
      </c>
      <c r="L151" s="1">
        <v>0.66914728682170543</v>
      </c>
      <c r="M151" s="1">
        <f t="shared" si="79"/>
        <v>-0.66914728682170543</v>
      </c>
      <c r="N151" s="1" t="str">
        <f t="shared" si="80"/>
        <v>Buy from Grid</v>
      </c>
      <c r="V151" s="1" t="str">
        <f t="shared" si="84"/>
        <v>buy from the Grid</v>
      </c>
      <c r="X151" s="1">
        <f t="shared" si="86"/>
        <v>-3.9660359689922479E-2</v>
      </c>
      <c r="Y151" s="1">
        <f t="shared" si="77"/>
        <v>3.9660359689922479E-2</v>
      </c>
      <c r="AA151" s="1">
        <f t="shared" si="81"/>
        <v>36.930547571495069</v>
      </c>
      <c r="AC151" s="1">
        <f t="shared" si="87"/>
        <v>0.66914728682170543</v>
      </c>
      <c r="AD151" s="1">
        <f t="shared" si="82"/>
        <v>0.66914728682170543</v>
      </c>
    </row>
    <row r="152" spans="1:30" ht="15">
      <c r="A152" s="1">
        <v>151</v>
      </c>
      <c r="B152" s="1">
        <f t="shared" si="85"/>
        <v>0</v>
      </c>
      <c r="C152" s="1">
        <f t="shared" si="78"/>
        <v>0</v>
      </c>
      <c r="D152" s="1">
        <f t="shared" si="83"/>
        <v>1.2592149877471481E-2</v>
      </c>
      <c r="E152">
        <v>59.27</v>
      </c>
      <c r="K152" s="1">
        <f>'Solar Availability and Gener GR'!F152</f>
        <v>5.3999999999999999E-2</v>
      </c>
      <c r="L152" s="1">
        <v>0.66914728682170543</v>
      </c>
      <c r="M152" s="1">
        <f t="shared" si="79"/>
        <v>-0.61514728682170539</v>
      </c>
      <c r="N152" s="1" t="str">
        <f t="shared" si="80"/>
        <v>Buy from Grid</v>
      </c>
      <c r="V152" s="1" t="str">
        <f t="shared" si="84"/>
        <v>buy from the Grid</v>
      </c>
      <c r="X152" s="1">
        <f t="shared" si="86"/>
        <v>-3.6459779689922478E-2</v>
      </c>
      <c r="Y152" s="1">
        <f t="shared" si="77"/>
        <v>3.9660359689922479E-2</v>
      </c>
      <c r="AA152" s="1">
        <f t="shared" si="81"/>
        <v>36.315400284673366</v>
      </c>
      <c r="AC152" s="1">
        <f t="shared" si="87"/>
        <v>0.66914728682170543</v>
      </c>
      <c r="AD152" s="1">
        <f t="shared" si="82"/>
        <v>0.66914728682170543</v>
      </c>
    </row>
    <row r="153" spans="1:30" ht="15">
      <c r="A153" s="1">
        <v>152</v>
      </c>
      <c r="B153" s="1">
        <f t="shared" si="85"/>
        <v>0</v>
      </c>
      <c r="C153" s="1">
        <f t="shared" si="78"/>
        <v>0</v>
      </c>
      <c r="D153" s="1">
        <f t="shared" si="83"/>
        <v>1.2592149877471481E-2</v>
      </c>
      <c r="E153">
        <v>59.27</v>
      </c>
      <c r="K153" s="1">
        <f>'Solar Availability and Gener GR'!F153</f>
        <v>0.33119999999999994</v>
      </c>
      <c r="L153" s="1">
        <v>0.66914728682170543</v>
      </c>
      <c r="M153" s="1">
        <f t="shared" si="79"/>
        <v>-0.33794728682170549</v>
      </c>
      <c r="N153" s="1" t="str">
        <f t="shared" si="80"/>
        <v>Buy from Grid</v>
      </c>
      <c r="V153" s="1" t="str">
        <f t="shared" si="84"/>
        <v>buy from the Grid</v>
      </c>
      <c r="X153" s="1">
        <f t="shared" si="86"/>
        <v>-2.0030135689922485E-2</v>
      </c>
      <c r="Y153" s="1">
        <f t="shared" si="77"/>
        <v>3.9660359689922479E-2</v>
      </c>
      <c r="AA153" s="1">
        <f t="shared" si="81"/>
        <v>35.977452997851664</v>
      </c>
      <c r="AC153" s="1">
        <f t="shared" si="87"/>
        <v>0.66914728682170543</v>
      </c>
      <c r="AD153" s="1">
        <f t="shared" si="82"/>
        <v>0.66914728682170543</v>
      </c>
    </row>
    <row r="154" spans="1:30" ht="15">
      <c r="A154" s="1">
        <v>153</v>
      </c>
      <c r="B154" s="1">
        <f t="shared" si="85"/>
        <v>0</v>
      </c>
      <c r="C154" s="1">
        <f t="shared" si="78"/>
        <v>0</v>
      </c>
      <c r="D154" s="1">
        <f t="shared" si="83"/>
        <v>1.2592149877471481E-2</v>
      </c>
      <c r="E154">
        <v>59.27</v>
      </c>
      <c r="K154" s="1">
        <f>'Solar Availability and Gener GR'!F154</f>
        <v>0.68602332413424605</v>
      </c>
      <c r="L154" s="1">
        <v>0.39891472868217059</v>
      </c>
      <c r="M154" s="1">
        <f t="shared" si="79"/>
        <v>0.28710859545207545</v>
      </c>
      <c r="N154" s="1" t="str">
        <f t="shared" si="80"/>
        <v>sell the surplus or charge</v>
      </c>
      <c r="O154" s="1">
        <v>0.25</v>
      </c>
      <c r="P154" s="1">
        <f t="shared" ref="P154:P165" si="88">0.25/L154</f>
        <v>0.62670034978624167</v>
      </c>
      <c r="Q154" s="1">
        <f t="shared" ref="Q154:Q165" si="89">K154-P154*L154</f>
        <v>0.43602332413424605</v>
      </c>
      <c r="R154" s="1">
        <f t="shared" ref="R154:R165" si="90">((1/(E154+0.01))*LN(0.25))+(E154*(K154-0.25))</f>
        <v>25.819716889029209</v>
      </c>
      <c r="S154" s="1">
        <f t="shared" ref="S154:S165" si="91">((1/(E154+0.01))*LN(L154))+(E154*(K154-L154))</f>
        <v>17.001423625226089</v>
      </c>
      <c r="T154" s="1">
        <f t="shared" ref="T154:T165" si="92">(S154+((S154^2)-4*(K154-L154*P154)*LN(L154*P154))^(0.5))/(2*(K154-L154*P154))</f>
        <v>39.073375070494656</v>
      </c>
      <c r="U154" s="1" t="str">
        <f t="shared" ref="U154:U165" si="93">IF(E154&gt;=T154*1.05,"sell to the Grid","charge")</f>
        <v>sell to the Grid</v>
      </c>
      <c r="W154" s="1">
        <f t="shared" ref="W154:W165" si="94">(Q154*E154)/1000</f>
        <v>2.5843102421436764E-2</v>
      </c>
      <c r="Y154" s="1">
        <f t="shared" si="77"/>
        <v>2.364367596899225E-2</v>
      </c>
      <c r="AA154" s="1">
        <f t="shared" si="81"/>
        <v>36.264561593303739</v>
      </c>
      <c r="AD154" s="1">
        <f t="shared" si="82"/>
        <v>0.25</v>
      </c>
    </row>
    <row r="155" spans="1:30" ht="15">
      <c r="A155" s="1">
        <v>154</v>
      </c>
      <c r="B155" s="1">
        <f t="shared" si="85"/>
        <v>0</v>
      </c>
      <c r="C155" s="1">
        <f t="shared" si="78"/>
        <v>0</v>
      </c>
      <c r="D155" s="1">
        <f t="shared" si="83"/>
        <v>1.2592149877471481E-2</v>
      </c>
      <c r="E155">
        <v>59.27</v>
      </c>
      <c r="K155" s="1">
        <f>'Solar Availability and Gener GR'!F155</f>
        <v>1.2600640968574714</v>
      </c>
      <c r="L155" s="1">
        <v>0.39891472868217059</v>
      </c>
      <c r="M155" s="1">
        <f t="shared" si="79"/>
        <v>0.86114936817530086</v>
      </c>
      <c r="N155" s="1" t="str">
        <f t="shared" si="80"/>
        <v>sell the surplus or charge</v>
      </c>
      <c r="O155" s="1">
        <v>0.25</v>
      </c>
      <c r="P155" s="1">
        <f t="shared" si="88"/>
        <v>0.62670034978624167</v>
      </c>
      <c r="Q155" s="1">
        <f t="shared" si="89"/>
        <v>1.0100640968574714</v>
      </c>
      <c r="R155" s="1">
        <f t="shared" si="90"/>
        <v>59.843113488334787</v>
      </c>
      <c r="S155" s="1">
        <f t="shared" si="91"/>
        <v>51.024820224531666</v>
      </c>
      <c r="T155" s="1">
        <f t="shared" si="92"/>
        <v>50.543572523384405</v>
      </c>
      <c r="U155" s="1" t="str">
        <f t="shared" si="93"/>
        <v>sell to the Grid</v>
      </c>
      <c r="W155" s="1">
        <f t="shared" si="94"/>
        <v>5.9866499020742342E-2</v>
      </c>
      <c r="Y155" s="1">
        <f t="shared" si="77"/>
        <v>2.364367596899225E-2</v>
      </c>
      <c r="AA155" s="1">
        <f t="shared" si="81"/>
        <v>37.125710961479037</v>
      </c>
      <c r="AD155" s="1">
        <f t="shared" si="82"/>
        <v>0.25</v>
      </c>
    </row>
    <row r="156" spans="1:30" ht="15">
      <c r="A156" s="1">
        <v>155</v>
      </c>
      <c r="B156" s="1">
        <f t="shared" si="85"/>
        <v>0</v>
      </c>
      <c r="C156" s="1">
        <f t="shared" si="78"/>
        <v>0</v>
      </c>
      <c r="D156" s="1">
        <f t="shared" si="83"/>
        <v>1.2592149877471481E-2</v>
      </c>
      <c r="E156">
        <v>59.27</v>
      </c>
      <c r="K156" s="1">
        <f>'Solar Availability and Gener GR'!F156</f>
        <v>2.2266981216059798</v>
      </c>
      <c r="L156" s="1">
        <v>0.39891472868217059</v>
      </c>
      <c r="M156" s="1">
        <f t="shared" si="79"/>
        <v>1.8277833929238092</v>
      </c>
      <c r="N156" s="1" t="str">
        <f t="shared" si="80"/>
        <v>sell the surplus or charge</v>
      </c>
      <c r="O156" s="1">
        <v>0.25</v>
      </c>
      <c r="P156" s="1">
        <f t="shared" si="88"/>
        <v>0.62670034978624167</v>
      </c>
      <c r="Q156" s="1">
        <f t="shared" si="89"/>
        <v>1.9766981216059798</v>
      </c>
      <c r="R156" s="1">
        <f t="shared" si="90"/>
        <v>117.13551213517887</v>
      </c>
      <c r="S156" s="1">
        <f t="shared" si="91"/>
        <v>108.31721887137574</v>
      </c>
      <c r="T156" s="1">
        <f t="shared" si="92"/>
        <v>54.809841971808794</v>
      </c>
      <c r="U156" s="1" t="str">
        <f t="shared" si="93"/>
        <v>sell to the Grid</v>
      </c>
      <c r="W156" s="1">
        <f t="shared" si="94"/>
        <v>0.11715889766758643</v>
      </c>
      <c r="Y156" s="1">
        <f t="shared" si="77"/>
        <v>2.364367596899225E-2</v>
      </c>
      <c r="AA156" s="1">
        <f t="shared" si="81"/>
        <v>38.953494354402849</v>
      </c>
      <c r="AD156" s="1">
        <f t="shared" si="82"/>
        <v>0.25</v>
      </c>
    </row>
    <row r="157" spans="1:30" ht="15">
      <c r="A157" s="1">
        <v>156</v>
      </c>
      <c r="B157" s="1">
        <f t="shared" si="85"/>
        <v>0</v>
      </c>
      <c r="C157" s="1">
        <f t="shared" si="78"/>
        <v>0</v>
      </c>
      <c r="D157" s="1">
        <f t="shared" si="83"/>
        <v>1.2592149877471481E-2</v>
      </c>
      <c r="E157">
        <v>59.27</v>
      </c>
      <c r="K157" s="1">
        <f>'Solar Availability and Gener GR'!F157</f>
        <v>2.9060179827294559</v>
      </c>
      <c r="L157" s="1">
        <v>0.39891472868217059</v>
      </c>
      <c r="M157" s="1">
        <f t="shared" si="79"/>
        <v>2.5071032540472853</v>
      </c>
      <c r="N157" s="1" t="str">
        <f t="shared" si="80"/>
        <v>sell the surplus or charge</v>
      </c>
      <c r="O157" s="1">
        <v>0.25</v>
      </c>
      <c r="P157" s="1">
        <f t="shared" si="88"/>
        <v>0.62670034978624167</v>
      </c>
      <c r="Q157" s="1">
        <f t="shared" si="89"/>
        <v>2.6560179827294559</v>
      </c>
      <c r="R157" s="1">
        <f t="shared" si="90"/>
        <v>157.39880030396731</v>
      </c>
      <c r="S157" s="1">
        <f t="shared" si="91"/>
        <v>148.58050704016418</v>
      </c>
      <c r="T157" s="1">
        <f t="shared" si="92"/>
        <v>55.950405910581559</v>
      </c>
      <c r="U157" s="1" t="str">
        <f t="shared" si="93"/>
        <v>sell to the Grid</v>
      </c>
      <c r="W157" s="1">
        <f t="shared" si="94"/>
        <v>0.15742218583637488</v>
      </c>
      <c r="Y157" s="1">
        <f t="shared" si="77"/>
        <v>2.364367596899225E-2</v>
      </c>
      <c r="AA157" s="1">
        <f t="shared" si="81"/>
        <v>41.460597608450136</v>
      </c>
      <c r="AD157" s="1">
        <f t="shared" si="82"/>
        <v>0.25</v>
      </c>
    </row>
    <row r="158" spans="1:30" ht="15">
      <c r="A158" s="1">
        <v>157</v>
      </c>
      <c r="B158" s="1">
        <f t="shared" si="85"/>
        <v>0</v>
      </c>
      <c r="C158" s="1">
        <f t="shared" si="78"/>
        <v>0</v>
      </c>
      <c r="D158" s="1">
        <f t="shared" si="83"/>
        <v>1.2592149877471481E-2</v>
      </c>
      <c r="E158">
        <v>59.27</v>
      </c>
      <c r="K158" s="1">
        <f>'Solar Availability and Gener GR'!F158</f>
        <v>3.173729190777173</v>
      </c>
      <c r="L158" s="1">
        <v>0.39891472868217059</v>
      </c>
      <c r="M158" s="1">
        <f t="shared" si="79"/>
        <v>2.7748144620950024</v>
      </c>
      <c r="N158" s="1" t="str">
        <f t="shared" si="80"/>
        <v>sell the surplus or charge</v>
      </c>
      <c r="O158" s="1">
        <v>0.25</v>
      </c>
      <c r="P158" s="1">
        <f t="shared" si="88"/>
        <v>0.62670034978624167</v>
      </c>
      <c r="Q158" s="1">
        <f t="shared" si="89"/>
        <v>2.923729190777173</v>
      </c>
      <c r="R158" s="1">
        <f t="shared" si="90"/>
        <v>173.26604360495548</v>
      </c>
      <c r="S158" s="1">
        <f t="shared" si="91"/>
        <v>164.44775034115239</v>
      </c>
      <c r="T158" s="1">
        <f t="shared" si="92"/>
        <v>56.254318697171058</v>
      </c>
      <c r="U158" s="1" t="str">
        <f t="shared" si="93"/>
        <v>sell to the Grid</v>
      </c>
      <c r="W158" s="1">
        <f t="shared" si="94"/>
        <v>0.17328942913736303</v>
      </c>
      <c r="Y158" s="1">
        <f t="shared" si="77"/>
        <v>2.364367596899225E-2</v>
      </c>
      <c r="AA158" s="1">
        <f t="shared" si="81"/>
        <v>44.235412070545138</v>
      </c>
      <c r="AD158" s="1">
        <f t="shared" si="82"/>
        <v>0.25</v>
      </c>
    </row>
    <row r="159" spans="1:30" ht="15">
      <c r="A159" s="1">
        <v>158</v>
      </c>
      <c r="B159" s="1">
        <f t="shared" si="85"/>
        <v>0</v>
      </c>
      <c r="C159" s="1">
        <f t="shared" si="78"/>
        <v>0</v>
      </c>
      <c r="D159" s="1">
        <f t="shared" si="83"/>
        <v>1.2592149877471481E-2</v>
      </c>
      <c r="E159">
        <v>59.27</v>
      </c>
      <c r="K159" s="1">
        <f>'Solar Availability and Gener GR'!F159</f>
        <v>3.2690465592450799</v>
      </c>
      <c r="L159" s="1">
        <v>0.39891472868217059</v>
      </c>
      <c r="M159" s="1">
        <f t="shared" si="79"/>
        <v>2.8701318305629093</v>
      </c>
      <c r="N159" s="1" t="str">
        <f t="shared" si="80"/>
        <v>sell the surplus or charge</v>
      </c>
      <c r="O159" s="1">
        <v>0.25</v>
      </c>
      <c r="P159" s="1">
        <f t="shared" si="88"/>
        <v>0.62670034978624167</v>
      </c>
      <c r="Q159" s="1">
        <f t="shared" si="89"/>
        <v>3.0190465592450799</v>
      </c>
      <c r="R159" s="1">
        <f t="shared" si="90"/>
        <v>178.91550403404833</v>
      </c>
      <c r="S159" s="1">
        <f t="shared" si="91"/>
        <v>170.09721077024523</v>
      </c>
      <c r="T159" s="1">
        <f t="shared" si="92"/>
        <v>56.349516027726523</v>
      </c>
      <c r="U159" s="1" t="str">
        <f t="shared" si="93"/>
        <v>sell to the Grid</v>
      </c>
      <c r="W159" s="1">
        <f t="shared" si="94"/>
        <v>0.17893888956645587</v>
      </c>
      <c r="Y159" s="1">
        <f t="shared" si="77"/>
        <v>2.364367596899225E-2</v>
      </c>
      <c r="AA159" s="1">
        <f t="shared" si="81"/>
        <v>47.105543901108049</v>
      </c>
      <c r="AD159" s="1">
        <f t="shared" si="82"/>
        <v>0.25</v>
      </c>
    </row>
    <row r="160" spans="1:30" ht="15">
      <c r="A160" s="1">
        <v>159</v>
      </c>
      <c r="B160" s="1">
        <f t="shared" si="85"/>
        <v>0</v>
      </c>
      <c r="C160" s="1">
        <f t="shared" si="78"/>
        <v>0</v>
      </c>
      <c r="D160" s="1">
        <f t="shared" si="83"/>
        <v>1.2592149877471481E-2</v>
      </c>
      <c r="E160">
        <v>59.27</v>
      </c>
      <c r="K160" s="1">
        <f>'Solar Availability and Gener GR'!F160</f>
        <v>3.1728745660108606</v>
      </c>
      <c r="L160" s="1">
        <v>0.39891472868217059</v>
      </c>
      <c r="M160" s="1">
        <f t="shared" si="79"/>
        <v>2.77395983732869</v>
      </c>
      <c r="N160" s="1" t="str">
        <f t="shared" si="80"/>
        <v>sell the surplus or charge</v>
      </c>
      <c r="O160" s="1">
        <v>0.25</v>
      </c>
      <c r="P160" s="1">
        <f t="shared" si="88"/>
        <v>0.62670034978624167</v>
      </c>
      <c r="Q160" s="1">
        <f t="shared" si="89"/>
        <v>2.9228745660108606</v>
      </c>
      <c r="R160" s="1">
        <f t="shared" si="90"/>
        <v>173.21538999505617</v>
      </c>
      <c r="S160" s="1">
        <f t="shared" si="91"/>
        <v>164.39709673125304</v>
      </c>
      <c r="T160" s="1">
        <f t="shared" si="92"/>
        <v>56.253437068606701</v>
      </c>
      <c r="U160" s="1" t="str">
        <f t="shared" si="93"/>
        <v>sell to the Grid</v>
      </c>
      <c r="W160" s="1">
        <f t="shared" si="94"/>
        <v>0.17323877552746372</v>
      </c>
      <c r="Y160" s="1">
        <f t="shared" si="77"/>
        <v>2.364367596899225E-2</v>
      </c>
      <c r="AA160" s="1">
        <f t="shared" si="81"/>
        <v>49.879503738436739</v>
      </c>
      <c r="AD160" s="1">
        <f t="shared" si="82"/>
        <v>0.25</v>
      </c>
    </row>
    <row r="161" spans="1:30" ht="15">
      <c r="A161" s="1">
        <v>160</v>
      </c>
      <c r="B161" s="1">
        <f t="shared" si="85"/>
        <v>0</v>
      </c>
      <c r="C161" s="1">
        <f t="shared" si="78"/>
        <v>0</v>
      </c>
      <c r="D161" s="1">
        <f t="shared" si="83"/>
        <v>1.2592149877471481E-2</v>
      </c>
      <c r="E161">
        <v>59.27</v>
      </c>
      <c r="K161" s="1">
        <f>'Solar Availability and Gener GR'!F161</f>
        <v>2.9426733730971213</v>
      </c>
      <c r="L161" s="1">
        <v>0.66914728682170543</v>
      </c>
      <c r="M161" s="1">
        <f t="shared" si="79"/>
        <v>2.2735260862754156</v>
      </c>
      <c r="N161" s="1" t="str">
        <f t="shared" si="80"/>
        <v>sell the surplus or charge</v>
      </c>
      <c r="O161" s="1">
        <v>0.25</v>
      </c>
      <c r="P161" s="1">
        <f t="shared" si="88"/>
        <v>0.3736098239110287</v>
      </c>
      <c r="Q161" s="1">
        <f t="shared" si="89"/>
        <v>2.6926733730971213</v>
      </c>
      <c r="R161" s="1">
        <f t="shared" si="90"/>
        <v>159.57136529105884</v>
      </c>
      <c r="S161" s="1">
        <f t="shared" si="91"/>
        <v>134.74511395602346</v>
      </c>
      <c r="T161" s="1">
        <f t="shared" si="92"/>
        <v>50.051674504948707</v>
      </c>
      <c r="U161" s="1" t="str">
        <f t="shared" si="93"/>
        <v>sell to the Grid</v>
      </c>
      <c r="W161" s="1">
        <f t="shared" si="94"/>
        <v>0.15959475082346639</v>
      </c>
      <c r="Y161" s="1">
        <f t="shared" si="77"/>
        <v>3.9660359689922479E-2</v>
      </c>
      <c r="AA161" s="1">
        <f t="shared" si="81"/>
        <v>52.153029824712156</v>
      </c>
      <c r="AD161" s="1">
        <f t="shared" si="82"/>
        <v>0.25</v>
      </c>
    </row>
    <row r="162" spans="1:30" ht="15">
      <c r="A162" s="1">
        <v>161</v>
      </c>
      <c r="B162" s="1">
        <f t="shared" si="85"/>
        <v>0</v>
      </c>
      <c r="C162" s="1">
        <f t="shared" si="78"/>
        <v>0</v>
      </c>
      <c r="D162" s="1">
        <f t="shared" si="83"/>
        <v>1.2592149877471481E-2</v>
      </c>
      <c r="E162">
        <v>59.27</v>
      </c>
      <c r="K162" s="1">
        <f>'Solar Availability and Gener GR'!F162</f>
        <v>2.5114083503961528</v>
      </c>
      <c r="L162" s="1">
        <v>0.66914728682170543</v>
      </c>
      <c r="M162" s="1">
        <f t="shared" si="79"/>
        <v>1.8422610635744474</v>
      </c>
      <c r="N162" s="1" t="str">
        <f t="shared" si="80"/>
        <v>sell the surplus or charge</v>
      </c>
      <c r="O162" s="1">
        <v>0.25</v>
      </c>
      <c r="P162" s="1">
        <f t="shared" si="88"/>
        <v>0.3736098239110287</v>
      </c>
      <c r="Q162" s="1">
        <f t="shared" si="89"/>
        <v>2.2614083503961528</v>
      </c>
      <c r="R162" s="1">
        <f t="shared" si="90"/>
        <v>134.01028739557242</v>
      </c>
      <c r="S162" s="1">
        <f t="shared" si="91"/>
        <v>109.18403606053705</v>
      </c>
      <c r="T162" s="1">
        <f t="shared" si="92"/>
        <v>48.294126657225078</v>
      </c>
      <c r="U162" s="1" t="str">
        <f t="shared" si="93"/>
        <v>sell to the Grid</v>
      </c>
      <c r="W162" s="1">
        <f t="shared" si="94"/>
        <v>0.13403367292797999</v>
      </c>
      <c r="Y162" s="1">
        <f t="shared" si="77"/>
        <v>3.9660359689922479E-2</v>
      </c>
      <c r="AA162" s="1">
        <f t="shared" si="81"/>
        <v>53.995290888286604</v>
      </c>
      <c r="AD162" s="1">
        <f t="shared" si="82"/>
        <v>0.25</v>
      </c>
    </row>
    <row r="163" spans="1:30" ht="15">
      <c r="A163" s="1">
        <v>162</v>
      </c>
      <c r="B163" s="1">
        <f t="shared" si="85"/>
        <v>0</v>
      </c>
      <c r="C163" s="1">
        <f t="shared" si="78"/>
        <v>0</v>
      </c>
      <c r="D163" s="1">
        <f t="shared" si="83"/>
        <v>1.2592149877471481E-2</v>
      </c>
      <c r="E163">
        <v>59.27</v>
      </c>
      <c r="K163" s="1">
        <f>'Solar Availability and Gener GR'!F163</f>
        <v>1.8790794979079473</v>
      </c>
      <c r="L163" s="1">
        <v>0.66914728682170543</v>
      </c>
      <c r="M163" s="1">
        <f t="shared" si="79"/>
        <v>1.2099322110862418</v>
      </c>
      <c r="N163" s="1" t="str">
        <f t="shared" si="80"/>
        <v>sell the surplus or charge</v>
      </c>
      <c r="O163" s="1">
        <v>0.25</v>
      </c>
      <c r="P163" s="1">
        <f t="shared" si="88"/>
        <v>0.3736098239110287</v>
      </c>
      <c r="Q163" s="1">
        <f t="shared" si="89"/>
        <v>1.6290794979079473</v>
      </c>
      <c r="R163" s="1">
        <f t="shared" si="90"/>
        <v>96.532156308596484</v>
      </c>
      <c r="S163" s="1">
        <f t="shared" si="91"/>
        <v>71.705904973561104</v>
      </c>
      <c r="T163" s="1">
        <f t="shared" si="92"/>
        <v>44.035534380890958</v>
      </c>
      <c r="U163" s="1" t="str">
        <f t="shared" si="93"/>
        <v>sell to the Grid</v>
      </c>
      <c r="W163" s="1">
        <f t="shared" si="94"/>
        <v>9.6555541841004039E-2</v>
      </c>
      <c r="Y163" s="1">
        <f t="shared" si="77"/>
        <v>3.9660359689922479E-2</v>
      </c>
      <c r="AA163" s="1">
        <f t="shared" si="81"/>
        <v>55.205223099372844</v>
      </c>
      <c r="AD163" s="1">
        <f t="shared" si="82"/>
        <v>0.25</v>
      </c>
    </row>
    <row r="164" spans="1:30" ht="15">
      <c r="A164" s="1">
        <v>163</v>
      </c>
      <c r="B164" s="1">
        <f t="shared" si="85"/>
        <v>0</v>
      </c>
      <c r="C164" s="1">
        <f t="shared" si="78"/>
        <v>0</v>
      </c>
      <c r="D164" s="1">
        <f t="shared" si="83"/>
        <v>1.2592149877471481E-2</v>
      </c>
      <c r="E164">
        <v>59.27</v>
      </c>
      <c r="K164" s="1">
        <f>'Solar Availability and Gener GR'!F164</f>
        <v>1.2276017092495295</v>
      </c>
      <c r="L164" s="1">
        <v>0.65627906976744199</v>
      </c>
      <c r="M164" s="1">
        <f t="shared" si="79"/>
        <v>0.5713226394820875</v>
      </c>
      <c r="N164" s="1" t="str">
        <f t="shared" si="80"/>
        <v>sell the surplus or charge</v>
      </c>
      <c r="O164" s="1">
        <v>0.25</v>
      </c>
      <c r="P164" s="1">
        <f t="shared" si="88"/>
        <v>0.38093550673281351</v>
      </c>
      <c r="Q164" s="1">
        <f t="shared" si="89"/>
        <v>0.97760170924952949</v>
      </c>
      <c r="R164" s="1">
        <f t="shared" si="90"/>
        <v>57.919067774812063</v>
      </c>
      <c r="S164" s="1">
        <f t="shared" si="91"/>
        <v>33.855188099031992</v>
      </c>
      <c r="T164" s="1">
        <f t="shared" si="92"/>
        <v>34.671759638599369</v>
      </c>
      <c r="U164" s="1" t="str">
        <f t="shared" si="93"/>
        <v>sell to the Grid</v>
      </c>
      <c r="W164" s="1">
        <f t="shared" si="94"/>
        <v>5.7942453307219616E-2</v>
      </c>
      <c r="Y164" s="1">
        <f t="shared" si="77"/>
        <v>3.8897660465116286E-2</v>
      </c>
      <c r="AA164" s="1">
        <f t="shared" si="81"/>
        <v>55.776545738854935</v>
      </c>
      <c r="AD164" s="1">
        <f t="shared" si="82"/>
        <v>0.25</v>
      </c>
    </row>
    <row r="165" spans="1:30" ht="15">
      <c r="A165" s="1">
        <v>164</v>
      </c>
      <c r="B165" s="1">
        <f t="shared" si="85"/>
        <v>0</v>
      </c>
      <c r="C165" s="1">
        <f t="shared" si="78"/>
        <v>0</v>
      </c>
      <c r="D165" s="1">
        <f t="shared" si="83"/>
        <v>1.2592149877471481E-2</v>
      </c>
      <c r="E165">
        <v>59.27</v>
      </c>
      <c r="K165" s="1">
        <f>'Solar Availability and Gener GR'!F165</f>
        <v>0.48992700080121115</v>
      </c>
      <c r="L165" s="1">
        <v>0.39891472868217059</v>
      </c>
      <c r="M165" s="1">
        <f t="shared" si="79"/>
        <v>9.101227211904056E-2</v>
      </c>
      <c r="N165" s="1" t="str">
        <f t="shared" si="80"/>
        <v>sell the surplus or charge</v>
      </c>
      <c r="O165" s="1">
        <v>0.25</v>
      </c>
      <c r="P165" s="1">
        <f t="shared" si="88"/>
        <v>0.62670034978624167</v>
      </c>
      <c r="Q165" s="1">
        <f t="shared" si="89"/>
        <v>0.23992700080121115</v>
      </c>
      <c r="R165" s="1">
        <f t="shared" si="90"/>
        <v>14.19708780508023</v>
      </c>
      <c r="S165" s="1">
        <f t="shared" si="91"/>
        <v>5.3787945412771121</v>
      </c>
      <c r="T165" s="1">
        <f t="shared" si="92"/>
        <v>22.673299284008422</v>
      </c>
      <c r="U165" s="1" t="str">
        <f t="shared" si="93"/>
        <v>sell to the Grid</v>
      </c>
      <c r="W165" s="1">
        <f t="shared" si="94"/>
        <v>1.4220473337487785E-2</v>
      </c>
      <c r="Y165" s="1">
        <f t="shared" si="77"/>
        <v>2.364367596899225E-2</v>
      </c>
      <c r="AA165" s="1">
        <f t="shared" si="81"/>
        <v>55.867558010973973</v>
      </c>
      <c r="AD165" s="1">
        <f t="shared" si="82"/>
        <v>0.25</v>
      </c>
    </row>
    <row r="166" spans="1:30" ht="15">
      <c r="A166" s="1">
        <v>165</v>
      </c>
      <c r="B166" s="1">
        <f t="shared" si="85"/>
        <v>0</v>
      </c>
      <c r="C166" s="1">
        <f t="shared" si="78"/>
        <v>0</v>
      </c>
      <c r="D166" s="1">
        <f t="shared" si="83"/>
        <v>1.2592149877471481E-2</v>
      </c>
      <c r="E166">
        <v>59.27</v>
      </c>
      <c r="K166" s="1">
        <f>'Solar Availability and Gener GR'!F166</f>
        <v>6.8263153209294117E-2</v>
      </c>
      <c r="L166" s="1">
        <v>0.39891472868217059</v>
      </c>
      <c r="M166" s="1">
        <f t="shared" si="79"/>
        <v>-0.33065157547287649</v>
      </c>
      <c r="N166" s="1" t="str">
        <f t="shared" si="80"/>
        <v>Buy from Grid</v>
      </c>
      <c r="V166" s="1" t="str">
        <f t="shared" ref="V166:V177" si="95">IF(D166+M166&gt;0,"discharge","buy from the Grid")</f>
        <v>buy from the Grid</v>
      </c>
      <c r="X166" s="1">
        <f t="shared" ref="X166:X177" si="96">(M166*E166)/1000</f>
        <v>-1.9597718878277392E-2</v>
      </c>
      <c r="Y166" s="1">
        <f t="shared" si="77"/>
        <v>2.364367596899225E-2</v>
      </c>
      <c r="AA166" s="1">
        <f t="shared" si="81"/>
        <v>55.536906435501095</v>
      </c>
      <c r="AC166" s="1">
        <f t="shared" ref="AC166:AC177" si="97">L166</f>
        <v>0.39891472868217059</v>
      </c>
      <c r="AD166" s="1">
        <f t="shared" si="82"/>
        <v>0.39891472868217059</v>
      </c>
    </row>
    <row r="167" spans="1:30" ht="15">
      <c r="A167" s="1">
        <v>166</v>
      </c>
      <c r="B167" s="1">
        <f t="shared" si="85"/>
        <v>0</v>
      </c>
      <c r="C167" s="1">
        <f t="shared" si="78"/>
        <v>0</v>
      </c>
      <c r="D167" s="1">
        <f t="shared" si="83"/>
        <v>1.2592149877471481E-2</v>
      </c>
      <c r="E167">
        <v>59.27</v>
      </c>
      <c r="K167" s="1">
        <f>'Solar Availability and Gener GR'!F167</f>
        <v>0</v>
      </c>
      <c r="L167" s="1">
        <v>0.39891472868217059</v>
      </c>
      <c r="M167" s="1">
        <f t="shared" si="79"/>
        <v>-0.39891472868217059</v>
      </c>
      <c r="N167" s="1" t="str">
        <f t="shared" si="80"/>
        <v>Buy from Grid</v>
      </c>
      <c r="V167" s="1" t="str">
        <f t="shared" si="95"/>
        <v>buy from the Grid</v>
      </c>
      <c r="X167" s="1">
        <f t="shared" si="96"/>
        <v>-2.364367596899225E-2</v>
      </c>
      <c r="Y167" s="1">
        <f t="shared" si="77"/>
        <v>2.364367596899225E-2</v>
      </c>
      <c r="AA167" s="1">
        <f t="shared" si="81"/>
        <v>55.137991706818923</v>
      </c>
      <c r="AC167" s="1">
        <f t="shared" si="97"/>
        <v>0.39891472868217059</v>
      </c>
      <c r="AD167" s="1">
        <f t="shared" si="82"/>
        <v>0.39891472868217059</v>
      </c>
    </row>
    <row r="168" spans="1:30" ht="15">
      <c r="A168" s="1">
        <v>167</v>
      </c>
      <c r="B168" s="1">
        <f t="shared" si="85"/>
        <v>0</v>
      </c>
      <c r="C168" s="1">
        <f t="shared" si="78"/>
        <v>0</v>
      </c>
      <c r="D168" s="1">
        <f t="shared" si="83"/>
        <v>1.2592149877471481E-2</v>
      </c>
      <c r="E168">
        <v>59.27</v>
      </c>
      <c r="K168" s="1">
        <f>'Solar Availability and Gener GR'!F168</f>
        <v>0</v>
      </c>
      <c r="L168" s="1">
        <v>0.29596899224806206</v>
      </c>
      <c r="M168" s="1">
        <f t="shared" si="79"/>
        <v>-0.29596899224806206</v>
      </c>
      <c r="N168" s="1" t="str">
        <f t="shared" si="80"/>
        <v>Buy from Grid</v>
      </c>
      <c r="V168" s="1" t="str">
        <f t="shared" si="95"/>
        <v>buy from the Grid</v>
      </c>
      <c r="X168" s="1">
        <f t="shared" si="96"/>
        <v>-1.754208217054264E-2</v>
      </c>
      <c r="Y168" s="1">
        <f t="shared" si="77"/>
        <v>1.754208217054264E-2</v>
      </c>
      <c r="AA168" s="1">
        <f t="shared" si="81"/>
        <v>54.842022714570859</v>
      </c>
      <c r="AC168" s="1">
        <f t="shared" si="97"/>
        <v>0.29596899224806206</v>
      </c>
      <c r="AD168" s="1">
        <f t="shared" si="82"/>
        <v>0.29596899224806206</v>
      </c>
    </row>
    <row r="169" spans="1:30" ht="15">
      <c r="A169" s="1">
        <v>168</v>
      </c>
      <c r="B169" s="1">
        <f t="shared" si="85"/>
        <v>0</v>
      </c>
      <c r="C169" s="1">
        <f t="shared" si="78"/>
        <v>0</v>
      </c>
      <c r="D169" s="1">
        <f t="shared" si="83"/>
        <v>1.2592149877471481E-2</v>
      </c>
      <c r="E169">
        <v>59.27</v>
      </c>
      <c r="K169" s="1">
        <f>'Solar Availability and Gener GR'!F169</f>
        <v>0</v>
      </c>
      <c r="L169" s="1">
        <v>0.29596899224806206</v>
      </c>
      <c r="M169" s="1">
        <f t="shared" si="79"/>
        <v>-0.29596899224806206</v>
      </c>
      <c r="N169" s="1" t="str">
        <f t="shared" si="80"/>
        <v>Buy from Grid</v>
      </c>
      <c r="V169" s="1" t="str">
        <f t="shared" si="95"/>
        <v>buy from the Grid</v>
      </c>
      <c r="X169" s="1">
        <f t="shared" si="96"/>
        <v>-1.754208217054264E-2</v>
      </c>
      <c r="Y169" s="1">
        <f t="shared" si="77"/>
        <v>1.754208217054264E-2</v>
      </c>
      <c r="AA169" s="1">
        <f t="shared" si="81"/>
        <v>54.546053722322796</v>
      </c>
      <c r="AC169" s="1">
        <f t="shared" si="97"/>
        <v>0.29596899224806206</v>
      </c>
      <c r="AD169" s="1">
        <f t="shared" si="82"/>
        <v>0.29596899224806206</v>
      </c>
    </row>
    <row r="170" spans="1:30" ht="15">
      <c r="A170" s="1">
        <v>169</v>
      </c>
      <c r="B170" s="1">
        <f t="shared" si="85"/>
        <v>0</v>
      </c>
      <c r="C170" s="1">
        <f t="shared" si="78"/>
        <v>0</v>
      </c>
      <c r="D170" s="1">
        <f t="shared" si="83"/>
        <v>1.2592149877471481E-2</v>
      </c>
      <c r="E170">
        <v>59.27</v>
      </c>
      <c r="K170" s="1">
        <f>'Solar Availability and Gener GR'!F170</f>
        <v>0</v>
      </c>
      <c r="L170" s="1">
        <v>0.29596899224806206</v>
      </c>
      <c r="M170" s="1">
        <f t="shared" si="79"/>
        <v>-0.29596899224806206</v>
      </c>
      <c r="N170" s="1" t="str">
        <f t="shared" si="80"/>
        <v>Buy from Grid</v>
      </c>
      <c r="V170" s="1" t="str">
        <f t="shared" si="95"/>
        <v>buy from the Grid</v>
      </c>
      <c r="X170" s="1">
        <f t="shared" si="96"/>
        <v>-1.754208217054264E-2</v>
      </c>
      <c r="Y170" s="1">
        <f t="shared" si="77"/>
        <v>1.754208217054264E-2</v>
      </c>
      <c r="AA170" s="1">
        <f t="shared" si="81"/>
        <v>54.250084730074732</v>
      </c>
      <c r="AC170" s="1">
        <f t="shared" si="97"/>
        <v>0.29596899224806206</v>
      </c>
      <c r="AD170" s="1">
        <f t="shared" si="82"/>
        <v>0.29596899224806206</v>
      </c>
    </row>
    <row r="171" spans="1:30" ht="15">
      <c r="A171" s="1">
        <v>170</v>
      </c>
      <c r="B171" s="1">
        <f t="shared" si="85"/>
        <v>0</v>
      </c>
      <c r="C171" s="1">
        <f t="shared" si="78"/>
        <v>0</v>
      </c>
      <c r="D171" s="1">
        <f t="shared" si="83"/>
        <v>1.2592149877471481E-2</v>
      </c>
      <c r="E171">
        <v>59.27</v>
      </c>
      <c r="K171" s="1">
        <f>'Solar Availability and Gener GR'!F171</f>
        <v>0</v>
      </c>
      <c r="L171" s="1">
        <v>0.29596899224806206</v>
      </c>
      <c r="M171" s="1">
        <f t="shared" si="79"/>
        <v>-0.29596899224806206</v>
      </c>
      <c r="N171" s="1" t="str">
        <f t="shared" si="80"/>
        <v>Buy from Grid</v>
      </c>
      <c r="V171" s="1" t="str">
        <f t="shared" si="95"/>
        <v>buy from the Grid</v>
      </c>
      <c r="X171" s="1">
        <f t="shared" si="96"/>
        <v>-1.754208217054264E-2</v>
      </c>
      <c r="Y171" s="1">
        <f t="shared" si="77"/>
        <v>1.754208217054264E-2</v>
      </c>
      <c r="AA171" s="1">
        <f t="shared" si="81"/>
        <v>53.954115737826669</v>
      </c>
      <c r="AC171" s="1">
        <f t="shared" si="97"/>
        <v>0.29596899224806206</v>
      </c>
      <c r="AD171" s="1">
        <f t="shared" si="82"/>
        <v>0.29596899224806206</v>
      </c>
    </row>
    <row r="172" spans="1:30" ht="15">
      <c r="A172" s="1">
        <v>171</v>
      </c>
      <c r="B172" s="1">
        <f t="shared" si="85"/>
        <v>0</v>
      </c>
      <c r="C172" s="1">
        <f t="shared" si="78"/>
        <v>0</v>
      </c>
      <c r="D172" s="1">
        <f t="shared" si="83"/>
        <v>1.2592149877471481E-2</v>
      </c>
      <c r="E172">
        <v>59.27</v>
      </c>
      <c r="K172" s="1">
        <f>'Solar Availability and Gener GR'!F172</f>
        <v>0</v>
      </c>
      <c r="L172" s="1">
        <v>0.39891472868217059</v>
      </c>
      <c r="M172" s="1">
        <f t="shared" si="79"/>
        <v>-0.39891472868217059</v>
      </c>
      <c r="N172" s="1" t="str">
        <f t="shared" si="80"/>
        <v>Buy from Grid</v>
      </c>
      <c r="V172" s="1" t="str">
        <f t="shared" si="95"/>
        <v>buy from the Grid</v>
      </c>
      <c r="X172" s="1">
        <f t="shared" si="96"/>
        <v>-2.364367596899225E-2</v>
      </c>
      <c r="Y172" s="1">
        <f t="shared" si="77"/>
        <v>2.364367596899225E-2</v>
      </c>
      <c r="AA172" s="1">
        <f t="shared" si="81"/>
        <v>53.555201009144497</v>
      </c>
      <c r="AC172" s="1">
        <f t="shared" si="97"/>
        <v>0.39891472868217059</v>
      </c>
      <c r="AD172" s="1">
        <f t="shared" si="82"/>
        <v>0.39891472868217059</v>
      </c>
    </row>
    <row r="173" spans="1:30" ht="15">
      <c r="A173" s="1">
        <v>172</v>
      </c>
      <c r="B173" s="1">
        <f t="shared" si="85"/>
        <v>0</v>
      </c>
      <c r="C173" s="1">
        <f t="shared" si="78"/>
        <v>0</v>
      </c>
      <c r="D173" s="1">
        <f t="shared" si="83"/>
        <v>1.2592149877471481E-2</v>
      </c>
      <c r="E173">
        <v>59.27</v>
      </c>
      <c r="K173" s="1">
        <f>'Solar Availability and Gener GR'!F173</f>
        <v>0</v>
      </c>
      <c r="L173" s="1">
        <v>0.66914728682170543</v>
      </c>
      <c r="M173" s="1">
        <f t="shared" si="79"/>
        <v>-0.66914728682170543</v>
      </c>
      <c r="N173" s="1" t="str">
        <f t="shared" si="80"/>
        <v>Buy from Grid</v>
      </c>
      <c r="V173" s="1" t="str">
        <f t="shared" si="95"/>
        <v>buy from the Grid</v>
      </c>
      <c r="X173" s="1">
        <f t="shared" si="96"/>
        <v>-3.9660359689922479E-2</v>
      </c>
      <c r="Y173" s="1">
        <f t="shared" si="77"/>
        <v>3.9660359689922479E-2</v>
      </c>
      <c r="AA173" s="1">
        <f t="shared" si="81"/>
        <v>52.886053722322792</v>
      </c>
      <c r="AC173" s="1">
        <f t="shared" si="97"/>
        <v>0.66914728682170543</v>
      </c>
      <c r="AD173" s="1">
        <f t="shared" si="82"/>
        <v>0.66914728682170543</v>
      </c>
    </row>
    <row r="174" spans="1:30" ht="15">
      <c r="A174" s="1">
        <v>173</v>
      </c>
      <c r="B174" s="1">
        <f t="shared" si="85"/>
        <v>0</v>
      </c>
      <c r="C174" s="1">
        <f t="shared" si="78"/>
        <v>0</v>
      </c>
      <c r="D174" s="1">
        <f t="shared" si="83"/>
        <v>1.2592149877471481E-2</v>
      </c>
      <c r="E174">
        <v>59.27</v>
      </c>
      <c r="K174" s="1">
        <f>'Solar Availability and Gener GR'!F174</f>
        <v>0</v>
      </c>
      <c r="L174" s="1">
        <v>0.66914728682170543</v>
      </c>
      <c r="M174" s="1">
        <f t="shared" si="79"/>
        <v>-0.66914728682170543</v>
      </c>
      <c r="N174" s="1" t="str">
        <f t="shared" si="80"/>
        <v>Buy from Grid</v>
      </c>
      <c r="V174" s="1" t="str">
        <f t="shared" si="95"/>
        <v>buy from the Grid</v>
      </c>
      <c r="X174" s="1">
        <f t="shared" si="96"/>
        <v>-3.9660359689922479E-2</v>
      </c>
      <c r="Y174" s="1">
        <f t="shared" si="77"/>
        <v>3.9660359689922479E-2</v>
      </c>
      <c r="AA174" s="1">
        <f t="shared" si="81"/>
        <v>52.216906435501087</v>
      </c>
      <c r="AC174" s="1">
        <f t="shared" si="97"/>
        <v>0.66914728682170543</v>
      </c>
      <c r="AD174" s="1">
        <f t="shared" si="82"/>
        <v>0.66914728682170543</v>
      </c>
    </row>
    <row r="175" spans="1:30" ht="15">
      <c r="A175" s="1">
        <v>174</v>
      </c>
      <c r="B175" s="1">
        <f t="shared" si="85"/>
        <v>0</v>
      </c>
      <c r="C175" s="1">
        <f t="shared" si="78"/>
        <v>0</v>
      </c>
      <c r="D175" s="1">
        <f t="shared" si="83"/>
        <v>1.2592149877471481E-2</v>
      </c>
      <c r="E175">
        <v>59.27</v>
      </c>
      <c r="K175" s="1">
        <f>'Solar Availability and Gener GR'!F175</f>
        <v>0</v>
      </c>
      <c r="L175" s="1">
        <v>0.65627906976744199</v>
      </c>
      <c r="M175" s="1">
        <f t="shared" si="79"/>
        <v>-0.65627906976744199</v>
      </c>
      <c r="N175" s="1" t="str">
        <f t="shared" si="80"/>
        <v>Buy from Grid</v>
      </c>
      <c r="V175" s="1" t="str">
        <f t="shared" si="95"/>
        <v>buy from the Grid</v>
      </c>
      <c r="X175" s="1">
        <f t="shared" si="96"/>
        <v>-3.8897660465116286E-2</v>
      </c>
      <c r="Y175" s="1">
        <f t="shared" si="77"/>
        <v>3.8897660465116286E-2</v>
      </c>
      <c r="AA175" s="1">
        <f t="shared" si="81"/>
        <v>51.560627365733644</v>
      </c>
      <c r="AC175" s="1">
        <f t="shared" si="97"/>
        <v>0.65627906976744199</v>
      </c>
      <c r="AD175" s="1">
        <f t="shared" si="82"/>
        <v>0.65627906976744199</v>
      </c>
    </row>
    <row r="176" spans="1:30" ht="15">
      <c r="A176" s="1">
        <v>175</v>
      </c>
      <c r="B176" s="1">
        <f t="shared" si="85"/>
        <v>0</v>
      </c>
      <c r="C176" s="1">
        <f t="shared" si="78"/>
        <v>0</v>
      </c>
      <c r="D176" s="1">
        <f t="shared" si="83"/>
        <v>1.2592149877471481E-2</v>
      </c>
      <c r="E176">
        <v>59.27</v>
      </c>
      <c r="K176" s="1">
        <f>'Solar Availability and Gener GR'!F176</f>
        <v>1.6611768895219918E-2</v>
      </c>
      <c r="L176" s="1">
        <v>0.39891472868217059</v>
      </c>
      <c r="M176" s="1">
        <f t="shared" si="79"/>
        <v>-0.38230295978695067</v>
      </c>
      <c r="N176" s="1" t="str">
        <f t="shared" si="80"/>
        <v>Buy from Grid</v>
      </c>
      <c r="V176" s="1" t="str">
        <f t="shared" si="95"/>
        <v>buy from the Grid</v>
      </c>
      <c r="X176" s="1">
        <f t="shared" si="96"/>
        <v>-2.2659096426572569E-2</v>
      </c>
      <c r="Y176" s="1">
        <f t="shared" si="77"/>
        <v>2.364367596899225E-2</v>
      </c>
      <c r="AA176" s="1">
        <f t="shared" si="81"/>
        <v>51.178324405946697</v>
      </c>
      <c r="AC176" s="1">
        <f t="shared" si="97"/>
        <v>0.39891472868217059</v>
      </c>
      <c r="AD176" s="1">
        <f t="shared" si="82"/>
        <v>0.39891472868217059</v>
      </c>
    </row>
    <row r="177" spans="1:30" ht="15">
      <c r="A177" s="1">
        <v>176</v>
      </c>
      <c r="B177" s="1">
        <f t="shared" si="85"/>
        <v>0</v>
      </c>
      <c r="C177" s="1">
        <f t="shared" si="78"/>
        <v>0</v>
      </c>
      <c r="D177" s="1">
        <f t="shared" si="83"/>
        <v>1.2592149877471481E-2</v>
      </c>
      <c r="E177">
        <v>59.27</v>
      </c>
      <c r="K177" s="1">
        <f>'Solar Availability and Gener GR'!F177</f>
        <v>0.18857829609187202</v>
      </c>
      <c r="L177" s="1">
        <v>0.39891472868217059</v>
      </c>
      <c r="M177" s="1">
        <f t="shared" si="79"/>
        <v>-0.21033643259029858</v>
      </c>
      <c r="N177" s="1" t="str">
        <f t="shared" si="80"/>
        <v>Buy from Grid</v>
      </c>
      <c r="V177" s="1" t="str">
        <f t="shared" si="95"/>
        <v>buy from the Grid</v>
      </c>
      <c r="X177" s="1">
        <f t="shared" si="96"/>
        <v>-1.2466640359626996E-2</v>
      </c>
      <c r="Y177" s="1">
        <f t="shared" si="77"/>
        <v>2.364367596899225E-2</v>
      </c>
      <c r="AA177" s="1">
        <f t="shared" si="81"/>
        <v>50.967987973356401</v>
      </c>
      <c r="AC177" s="1">
        <f t="shared" si="97"/>
        <v>0.39891472868217059</v>
      </c>
      <c r="AD177" s="1">
        <f t="shared" si="82"/>
        <v>0.39891472868217059</v>
      </c>
    </row>
    <row r="178" spans="1:30" ht="15">
      <c r="A178" s="1">
        <v>177</v>
      </c>
      <c r="B178" s="1">
        <f t="shared" si="85"/>
        <v>0</v>
      </c>
      <c r="C178" s="1">
        <f t="shared" si="78"/>
        <v>0</v>
      </c>
      <c r="D178" s="1">
        <f t="shared" si="83"/>
        <v>1.2592149877471481E-2</v>
      </c>
      <c r="E178">
        <v>59.27</v>
      </c>
      <c r="K178" s="1">
        <f>'Solar Availability and Gener GR'!F178</f>
        <v>0.47539837977387839</v>
      </c>
      <c r="L178" s="1">
        <v>0.39891472868217059</v>
      </c>
      <c r="M178" s="1">
        <f t="shared" si="79"/>
        <v>7.6483651091707794E-2</v>
      </c>
      <c r="N178" s="1" t="str">
        <f t="shared" si="80"/>
        <v>sell the surplus or charge</v>
      </c>
      <c r="O178" s="1">
        <v>0.25</v>
      </c>
      <c r="P178" s="1">
        <f t="shared" ref="P178:P189" si="98">0.25/L178</f>
        <v>0.62670034978624167</v>
      </c>
      <c r="Q178" s="1">
        <f t="shared" ref="Q178:Q189" si="99">K178-P178*L178</f>
        <v>0.22539837977387839</v>
      </c>
      <c r="R178" s="1">
        <f t="shared" ref="R178:R189" si="100">((1/(E178+0.01))*LN(0.25))+(E178*(K178-0.25))</f>
        <v>13.335976436790217</v>
      </c>
      <c r="S178" s="1">
        <f t="shared" ref="S178:S189" si="101">((1/(E178+0.01))*LN(L178))+(E178*(K178-L178))</f>
        <v>4.5176831729870992</v>
      </c>
      <c r="T178" s="1">
        <f t="shared" ref="T178:T189" si="102">(S178+((S178^2)-4*(K178-L178*P178)*LN(L178*P178))^(0.5))/(2*(K178-L178*P178))</f>
        <v>20.345404163366876</v>
      </c>
      <c r="U178" s="1" t="str">
        <f t="shared" ref="U178:U189" si="103">IF(E178&gt;=T178*1.05,"sell to the Grid","charge")</f>
        <v>sell to the Grid</v>
      </c>
      <c r="W178" s="1">
        <f t="shared" ref="W178:W189" si="104">(Q178*E178)/1000</f>
        <v>1.3359361969197773E-2</v>
      </c>
      <c r="Y178" s="1">
        <f t="shared" si="77"/>
        <v>2.364367596899225E-2</v>
      </c>
      <c r="AA178" s="1">
        <f t="shared" si="81"/>
        <v>51.044471624448107</v>
      </c>
      <c r="AD178" s="1">
        <f t="shared" si="82"/>
        <v>0.25</v>
      </c>
    </row>
    <row r="179" spans="1:30" ht="15">
      <c r="A179" s="1">
        <v>178</v>
      </c>
      <c r="B179" s="1">
        <f t="shared" si="85"/>
        <v>0</v>
      </c>
      <c r="C179" s="1">
        <f t="shared" si="78"/>
        <v>0</v>
      </c>
      <c r="D179" s="1">
        <f t="shared" si="83"/>
        <v>1.2592149877471481E-2</v>
      </c>
      <c r="E179">
        <v>59.27</v>
      </c>
      <c r="K179" s="1">
        <f>'Solar Availability and Gener GR'!F179</f>
        <v>0.86753761239205807</v>
      </c>
      <c r="L179" s="1">
        <v>0.39891472868217059</v>
      </c>
      <c r="M179" s="1">
        <f t="shared" si="79"/>
        <v>0.46862288370988747</v>
      </c>
      <c r="N179" s="1" t="str">
        <f t="shared" si="80"/>
        <v>sell the surplus or charge</v>
      </c>
      <c r="O179" s="1">
        <v>0.25</v>
      </c>
      <c r="P179" s="1">
        <f t="shared" si="98"/>
        <v>0.62670034978624167</v>
      </c>
      <c r="Q179" s="1">
        <f t="shared" si="99"/>
        <v>0.61753761239205807</v>
      </c>
      <c r="R179" s="1">
        <f t="shared" si="100"/>
        <v>36.578068754069733</v>
      </c>
      <c r="S179" s="1">
        <f t="shared" si="101"/>
        <v>27.759775490266609</v>
      </c>
      <c r="T179" s="1">
        <f t="shared" si="102"/>
        <v>45.002247531800236</v>
      </c>
      <c r="U179" s="1" t="str">
        <f t="shared" si="103"/>
        <v>sell to the Grid</v>
      </c>
      <c r="W179" s="1">
        <f t="shared" si="104"/>
        <v>3.6601454286477285E-2</v>
      </c>
      <c r="Y179" s="1">
        <f t="shared" si="77"/>
        <v>2.364367596899225E-2</v>
      </c>
      <c r="AA179" s="1">
        <f t="shared" si="81"/>
        <v>51.513094508157998</v>
      </c>
      <c r="AD179" s="1">
        <f t="shared" si="82"/>
        <v>0.25</v>
      </c>
    </row>
    <row r="180" spans="1:30" ht="15">
      <c r="A180" s="1">
        <v>179</v>
      </c>
      <c r="B180" s="1">
        <f t="shared" si="85"/>
        <v>0</v>
      </c>
      <c r="C180" s="1">
        <f t="shared" si="78"/>
        <v>0</v>
      </c>
      <c r="D180" s="1">
        <f t="shared" si="83"/>
        <v>1.2592149877471481E-2</v>
      </c>
      <c r="E180">
        <v>59.27</v>
      </c>
      <c r="K180" s="1">
        <f>'Solar Availability and Gener GR'!F180</f>
        <v>1.8437193982017253</v>
      </c>
      <c r="L180" s="1">
        <v>0.39891472868217059</v>
      </c>
      <c r="M180" s="1">
        <f t="shared" si="79"/>
        <v>1.4448046695195547</v>
      </c>
      <c r="N180" s="1" t="str">
        <f t="shared" si="80"/>
        <v>sell the surplus or charge</v>
      </c>
      <c r="O180" s="1">
        <v>0.25</v>
      </c>
      <c r="P180" s="1">
        <f t="shared" si="98"/>
        <v>0.62670034978624167</v>
      </c>
      <c r="Q180" s="1">
        <f t="shared" si="99"/>
        <v>1.5937193982017253</v>
      </c>
      <c r="R180" s="1">
        <f t="shared" si="100"/>
        <v>94.436363199008696</v>
      </c>
      <c r="S180" s="1">
        <f t="shared" si="101"/>
        <v>85.618069935205583</v>
      </c>
      <c r="T180" s="1">
        <f t="shared" si="102"/>
        <v>53.738360178917098</v>
      </c>
      <c r="U180" s="1" t="str">
        <f t="shared" si="103"/>
        <v>sell to the Grid</v>
      </c>
      <c r="W180" s="1">
        <f t="shared" si="104"/>
        <v>9.4459748731416257E-2</v>
      </c>
      <c r="Y180" s="1">
        <f t="shared" si="77"/>
        <v>2.364367596899225E-2</v>
      </c>
      <c r="AA180" s="1">
        <f t="shared" si="81"/>
        <v>52.957899177677554</v>
      </c>
      <c r="AD180" s="1">
        <f t="shared" si="82"/>
        <v>0.25</v>
      </c>
    </row>
    <row r="181" spans="1:30" ht="15">
      <c r="A181" s="1">
        <v>180</v>
      </c>
      <c r="B181" s="1">
        <f t="shared" si="85"/>
        <v>0</v>
      </c>
      <c r="C181" s="1">
        <f t="shared" si="78"/>
        <v>0</v>
      </c>
      <c r="D181" s="1">
        <f t="shared" si="83"/>
        <v>1.2592149877471481E-2</v>
      </c>
      <c r="E181">
        <v>59.27</v>
      </c>
      <c r="K181" s="1">
        <f>'Solar Availability and Gener GR'!F181</f>
        <v>2.7145820350752228</v>
      </c>
      <c r="L181" s="1">
        <v>0.39891472868217059</v>
      </c>
      <c r="M181" s="1">
        <f t="shared" si="79"/>
        <v>2.3156673063930522</v>
      </c>
      <c r="N181" s="1" t="str">
        <f t="shared" si="80"/>
        <v>sell the surplus or charge</v>
      </c>
      <c r="O181" s="1">
        <v>0.25</v>
      </c>
      <c r="P181" s="1">
        <f t="shared" si="98"/>
        <v>0.62670034978624167</v>
      </c>
      <c r="Q181" s="1">
        <f t="shared" si="99"/>
        <v>2.4645820350752228</v>
      </c>
      <c r="R181" s="1">
        <f t="shared" si="100"/>
        <v>146.0523916865009</v>
      </c>
      <c r="S181" s="1">
        <f t="shared" si="101"/>
        <v>137.23409842269777</v>
      </c>
      <c r="T181" s="1">
        <f t="shared" si="102"/>
        <v>55.692603598838232</v>
      </c>
      <c r="U181" s="1" t="str">
        <f t="shared" si="103"/>
        <v>sell to the Grid</v>
      </c>
      <c r="W181" s="1">
        <f t="shared" si="104"/>
        <v>0.14607577721890846</v>
      </c>
      <c r="Y181" s="1">
        <f t="shared" si="77"/>
        <v>2.364367596899225E-2</v>
      </c>
      <c r="AA181" s="1">
        <f t="shared" si="81"/>
        <v>55.273566484070606</v>
      </c>
      <c r="AD181" s="1">
        <f t="shared" si="82"/>
        <v>0.25</v>
      </c>
    </row>
    <row r="182" spans="1:30" ht="15">
      <c r="A182" s="1">
        <v>181</v>
      </c>
      <c r="B182" s="1">
        <f t="shared" si="85"/>
        <v>0</v>
      </c>
      <c r="C182" s="1">
        <f t="shared" si="78"/>
        <v>0</v>
      </c>
      <c r="D182" s="1">
        <f t="shared" si="83"/>
        <v>1.2592149877471481E-2</v>
      </c>
      <c r="E182">
        <v>59.27</v>
      </c>
      <c r="K182" s="1">
        <f>'Solar Availability and Gener GR'!F182</f>
        <v>3.0205377014154697</v>
      </c>
      <c r="L182" s="1">
        <v>0.39891472868217059</v>
      </c>
      <c r="M182" s="1">
        <f t="shared" si="79"/>
        <v>2.6216229727332991</v>
      </c>
      <c r="N182" s="1" t="str">
        <f t="shared" si="80"/>
        <v>sell the surplus or charge</v>
      </c>
      <c r="O182" s="1">
        <v>0.25</v>
      </c>
      <c r="P182" s="1">
        <f t="shared" si="98"/>
        <v>0.62670034978624167</v>
      </c>
      <c r="Q182" s="1">
        <f t="shared" si="99"/>
        <v>2.7705377014154697</v>
      </c>
      <c r="R182" s="1">
        <f t="shared" si="100"/>
        <v>164.18638403048735</v>
      </c>
      <c r="S182" s="1">
        <f t="shared" si="101"/>
        <v>155.36809076668422</v>
      </c>
      <c r="T182" s="1">
        <f t="shared" si="102"/>
        <v>56.087598909197453</v>
      </c>
      <c r="U182" s="1" t="str">
        <f t="shared" si="103"/>
        <v>sell to the Grid</v>
      </c>
      <c r="W182" s="1">
        <f t="shared" si="104"/>
        <v>0.1642097695628949</v>
      </c>
      <c r="Y182" s="1">
        <f t="shared" si="77"/>
        <v>2.364367596899225E-2</v>
      </c>
      <c r="AA182" s="1">
        <f t="shared" si="81"/>
        <v>57.895189456803905</v>
      </c>
      <c r="AD182" s="1">
        <f t="shared" si="82"/>
        <v>0.25</v>
      </c>
    </row>
    <row r="183" spans="1:30" ht="15">
      <c r="A183" s="1">
        <v>182</v>
      </c>
      <c r="B183" s="1">
        <f t="shared" si="85"/>
        <v>0</v>
      </c>
      <c r="C183" s="1">
        <f t="shared" si="78"/>
        <v>0</v>
      </c>
      <c r="D183" s="1">
        <f t="shared" si="83"/>
        <v>1.2592149877471481E-2</v>
      </c>
      <c r="E183">
        <v>59.27</v>
      </c>
      <c r="K183" s="1">
        <f>'Solar Availability and Gener GR'!F183</f>
        <v>3.1158417163714054</v>
      </c>
      <c r="L183" s="1">
        <v>0.39891472868217059</v>
      </c>
      <c r="M183" s="1">
        <f t="shared" si="79"/>
        <v>2.7169269876892348</v>
      </c>
      <c r="N183" s="1" t="str">
        <f t="shared" si="80"/>
        <v>sell the surplus or charge</v>
      </c>
      <c r="O183" s="1">
        <v>0.25</v>
      </c>
      <c r="P183" s="1">
        <f t="shared" si="98"/>
        <v>0.62670034978624167</v>
      </c>
      <c r="Q183" s="1">
        <f t="shared" si="99"/>
        <v>2.8658417163714054</v>
      </c>
      <c r="R183" s="1">
        <f t="shared" si="100"/>
        <v>169.83505299692564</v>
      </c>
      <c r="S183" s="1">
        <f t="shared" si="101"/>
        <v>161.01675973312254</v>
      </c>
      <c r="T183" s="1">
        <f t="shared" si="102"/>
        <v>56.193413915253622</v>
      </c>
      <c r="U183" s="1" t="str">
        <f t="shared" si="103"/>
        <v>sell to the Grid</v>
      </c>
      <c r="W183" s="1">
        <f t="shared" si="104"/>
        <v>0.16985843852933319</v>
      </c>
      <c r="Y183" s="1">
        <f t="shared" si="77"/>
        <v>2.364367596899225E-2</v>
      </c>
      <c r="AA183" s="1">
        <f t="shared" si="81"/>
        <v>60.61211644449314</v>
      </c>
      <c r="AD183" s="1">
        <f t="shared" si="82"/>
        <v>0.25</v>
      </c>
    </row>
    <row r="184" spans="1:30" ht="15">
      <c r="A184" s="1">
        <v>183</v>
      </c>
      <c r="B184" s="1">
        <f t="shared" si="85"/>
        <v>0</v>
      </c>
      <c r="C184" s="1">
        <f t="shared" si="78"/>
        <v>0</v>
      </c>
      <c r="D184" s="1">
        <f t="shared" si="83"/>
        <v>1.2592149877471481E-2</v>
      </c>
      <c r="E184">
        <v>59.27</v>
      </c>
      <c r="K184" s="1">
        <f>'Solar Availability and Gener GR'!F184</f>
        <v>3.0101086085640518</v>
      </c>
      <c r="L184" s="1">
        <v>0.39891472868217059</v>
      </c>
      <c r="M184" s="1">
        <f t="shared" si="79"/>
        <v>2.6111938798818812</v>
      </c>
      <c r="N184" s="1" t="str">
        <f t="shared" si="80"/>
        <v>sell the surplus or charge</v>
      </c>
      <c r="O184" s="1">
        <v>0.25</v>
      </c>
      <c r="P184" s="1">
        <f t="shared" si="98"/>
        <v>0.62670034978624167</v>
      </c>
      <c r="Q184" s="1">
        <f t="shared" si="99"/>
        <v>2.7601086085640518</v>
      </c>
      <c r="R184" s="1">
        <f t="shared" si="100"/>
        <v>163.5682516971838</v>
      </c>
      <c r="S184" s="1">
        <f t="shared" si="101"/>
        <v>154.74995843338067</v>
      </c>
      <c r="T184" s="1">
        <f t="shared" si="102"/>
        <v>56.075576100734189</v>
      </c>
      <c r="U184" s="1" t="str">
        <f t="shared" si="103"/>
        <v>sell to the Grid</v>
      </c>
      <c r="W184" s="1">
        <f t="shared" si="104"/>
        <v>0.16359163722959136</v>
      </c>
      <c r="Y184" s="1">
        <f t="shared" si="77"/>
        <v>2.364367596899225E-2</v>
      </c>
      <c r="AA184" s="1">
        <f t="shared" si="81"/>
        <v>63.223310324375021</v>
      </c>
      <c r="AD184" s="1">
        <f t="shared" si="82"/>
        <v>0.25</v>
      </c>
    </row>
    <row r="185" spans="1:30" ht="15">
      <c r="A185" s="1">
        <v>184</v>
      </c>
      <c r="B185" s="1">
        <f t="shared" si="85"/>
        <v>0</v>
      </c>
      <c r="C185" s="1">
        <f t="shared" si="78"/>
        <v>0</v>
      </c>
      <c r="D185" s="1">
        <f t="shared" si="83"/>
        <v>1.2592149877471481E-2</v>
      </c>
      <c r="E185">
        <v>59.27</v>
      </c>
      <c r="K185" s="1">
        <f>'Solar Availability and Gener GR'!F185</f>
        <v>2.732048428736757</v>
      </c>
      <c r="L185" s="1">
        <v>0.65627906976744199</v>
      </c>
      <c r="M185" s="1">
        <f t="shared" si="79"/>
        <v>2.0757693589693149</v>
      </c>
      <c r="N185" s="1" t="str">
        <f t="shared" si="80"/>
        <v>sell the surplus or charge</v>
      </c>
      <c r="O185" s="1">
        <v>0.25</v>
      </c>
      <c r="P185" s="1">
        <f t="shared" si="98"/>
        <v>0.38093550673281351</v>
      </c>
      <c r="Q185" s="1">
        <f t="shared" si="99"/>
        <v>2.482048428736757</v>
      </c>
      <c r="R185" s="1">
        <f t="shared" si="100"/>
        <v>147.08762483882003</v>
      </c>
      <c r="S185" s="1">
        <f t="shared" si="101"/>
        <v>123.02374516303996</v>
      </c>
      <c r="T185" s="1">
        <f t="shared" si="102"/>
        <v>49.576674802687911</v>
      </c>
      <c r="U185" s="1" t="str">
        <f t="shared" si="103"/>
        <v>sell to the Grid</v>
      </c>
      <c r="W185" s="1">
        <f t="shared" si="104"/>
        <v>0.14711101037122759</v>
      </c>
      <c r="Y185" s="1">
        <f t="shared" si="77"/>
        <v>3.8897660465116286E-2</v>
      </c>
      <c r="AA185" s="1">
        <f t="shared" si="81"/>
        <v>65.299079683344331</v>
      </c>
      <c r="AD185" s="1">
        <f t="shared" si="82"/>
        <v>0.25</v>
      </c>
    </row>
    <row r="186" spans="1:30" ht="15">
      <c r="A186" s="1">
        <v>185</v>
      </c>
      <c r="B186" s="1">
        <f t="shared" si="85"/>
        <v>0</v>
      </c>
      <c r="C186" s="1">
        <f t="shared" si="78"/>
        <v>0</v>
      </c>
      <c r="D186" s="1">
        <f t="shared" si="83"/>
        <v>1.2592149877471481E-2</v>
      </c>
      <c r="E186">
        <v>59.27</v>
      </c>
      <c r="K186" s="1">
        <f>'Solar Availability and Gener GR'!F186</f>
        <v>2.2528977120982803</v>
      </c>
      <c r="L186" s="1">
        <v>0.66914728682170543</v>
      </c>
      <c r="M186" s="1">
        <f t="shared" si="79"/>
        <v>1.5837504252765748</v>
      </c>
      <c r="N186" s="1" t="str">
        <f t="shared" si="80"/>
        <v>sell the surplus or charge</v>
      </c>
      <c r="O186" s="1">
        <v>0.25</v>
      </c>
      <c r="P186" s="1">
        <f t="shared" si="98"/>
        <v>0.3736098239110287</v>
      </c>
      <c r="Q186" s="1">
        <f t="shared" si="99"/>
        <v>2.0028977120982803</v>
      </c>
      <c r="R186" s="1">
        <f t="shared" si="100"/>
        <v>118.68836186365752</v>
      </c>
      <c r="S186" s="1">
        <f t="shared" si="101"/>
        <v>93.862110528622154</v>
      </c>
      <c r="T186" s="1">
        <f t="shared" si="102"/>
        <v>46.877922121374368</v>
      </c>
      <c r="U186" s="1" t="str">
        <f t="shared" si="103"/>
        <v>sell to the Grid</v>
      </c>
      <c r="W186" s="1">
        <f t="shared" si="104"/>
        <v>0.11871174739606508</v>
      </c>
      <c r="Y186" s="1">
        <f t="shared" si="77"/>
        <v>3.9660359689922479E-2</v>
      </c>
      <c r="AA186" s="1">
        <f t="shared" si="81"/>
        <v>66.882830108620908</v>
      </c>
      <c r="AD186" s="1">
        <f t="shared" si="82"/>
        <v>0.25</v>
      </c>
    </row>
    <row r="187" spans="1:30" ht="15">
      <c r="A187" s="1">
        <v>186</v>
      </c>
      <c r="B187" s="1">
        <f t="shared" si="85"/>
        <v>0</v>
      </c>
      <c r="C187" s="1">
        <f t="shared" si="78"/>
        <v>0</v>
      </c>
      <c r="D187" s="1">
        <f t="shared" si="83"/>
        <v>1.2592149877471481E-2</v>
      </c>
      <c r="E187">
        <v>59.27</v>
      </c>
      <c r="K187" s="1">
        <f>'Solar Availability and Gener GR'!F187</f>
        <v>1.6588800854624735</v>
      </c>
      <c r="L187" s="1">
        <v>0.65627906976744199</v>
      </c>
      <c r="M187" s="1">
        <f t="shared" si="79"/>
        <v>1.0026010156950314</v>
      </c>
      <c r="N187" s="1" t="str">
        <f t="shared" si="80"/>
        <v>sell the surplus or charge</v>
      </c>
      <c r="O187" s="1">
        <v>0.25</v>
      </c>
      <c r="P187" s="1">
        <f t="shared" si="98"/>
        <v>0.38093550673281351</v>
      </c>
      <c r="Q187" s="1">
        <f t="shared" si="99"/>
        <v>1.4088800854624735</v>
      </c>
      <c r="R187" s="1">
        <f t="shared" si="100"/>
        <v>83.480937132953244</v>
      </c>
      <c r="S187" s="1">
        <f t="shared" si="101"/>
        <v>59.417057457173172</v>
      </c>
      <c r="T187" s="1">
        <f t="shared" si="102"/>
        <v>42.196572523254211</v>
      </c>
      <c r="U187" s="1" t="str">
        <f t="shared" si="103"/>
        <v>sell to the Grid</v>
      </c>
      <c r="W187" s="1">
        <f t="shared" si="104"/>
        <v>8.35043226653608E-2</v>
      </c>
      <c r="Y187" s="1">
        <f t="shared" si="77"/>
        <v>3.8897660465116286E-2</v>
      </c>
      <c r="AA187" s="1">
        <f t="shared" si="81"/>
        <v>67.885431124315943</v>
      </c>
      <c r="AD187" s="1">
        <f t="shared" si="82"/>
        <v>0.25</v>
      </c>
    </row>
    <row r="188" spans="1:30" ht="15">
      <c r="A188" s="1">
        <v>187</v>
      </c>
      <c r="B188" s="1">
        <f t="shared" si="85"/>
        <v>0</v>
      </c>
      <c r="C188" s="1">
        <f t="shared" si="78"/>
        <v>0</v>
      </c>
      <c r="D188" s="1">
        <f t="shared" si="83"/>
        <v>1.2592149877471481E-2</v>
      </c>
      <c r="E188">
        <v>59.27</v>
      </c>
      <c r="K188" s="1">
        <f>'Solar Availability and Gener GR'!F188</f>
        <v>1.6588800854624735</v>
      </c>
      <c r="L188" s="1">
        <v>0.66914728682170543</v>
      </c>
      <c r="M188" s="1">
        <f t="shared" si="79"/>
        <v>0.98973279864076802</v>
      </c>
      <c r="N188" s="1" t="str">
        <f t="shared" si="80"/>
        <v>sell the surplus or charge</v>
      </c>
      <c r="O188" s="1">
        <v>0.25</v>
      </c>
      <c r="P188" s="1">
        <f t="shared" si="98"/>
        <v>0.3736098239110287</v>
      </c>
      <c r="Q188" s="1">
        <f t="shared" si="99"/>
        <v>1.4088800854624735</v>
      </c>
      <c r="R188" s="1">
        <f t="shared" si="100"/>
        <v>83.480937132953244</v>
      </c>
      <c r="S188" s="1">
        <f t="shared" si="101"/>
        <v>58.654685797917885</v>
      </c>
      <c r="T188" s="1">
        <f t="shared" si="102"/>
        <v>41.655756357393898</v>
      </c>
      <c r="U188" s="1" t="str">
        <f t="shared" si="103"/>
        <v>sell to the Grid</v>
      </c>
      <c r="W188" s="1">
        <f t="shared" si="104"/>
        <v>8.35043226653608E-2</v>
      </c>
      <c r="Y188" s="1">
        <f t="shared" si="77"/>
        <v>3.9660359689922479E-2</v>
      </c>
      <c r="AA188" s="1">
        <f t="shared" si="81"/>
        <v>68.875163922956716</v>
      </c>
      <c r="AD188" s="1">
        <f t="shared" si="82"/>
        <v>0.25</v>
      </c>
    </row>
    <row r="189" spans="1:30" ht="15">
      <c r="A189" s="1">
        <v>188</v>
      </c>
      <c r="B189" s="1">
        <f t="shared" si="85"/>
        <v>0</v>
      </c>
      <c r="C189" s="1">
        <f t="shared" si="78"/>
        <v>0</v>
      </c>
      <c r="D189" s="1">
        <f t="shared" si="83"/>
        <v>1.2592149877471481E-2</v>
      </c>
      <c r="E189">
        <v>59.27</v>
      </c>
      <c r="K189" s="1">
        <f>'Solar Availability and Gener GR'!F189</f>
        <v>0.89248197275883356</v>
      </c>
      <c r="L189" s="1">
        <v>0.39891472868217059</v>
      </c>
      <c r="M189" s="1">
        <f t="shared" si="79"/>
        <v>0.49356724407666297</v>
      </c>
      <c r="N189" s="1" t="str">
        <f t="shared" si="80"/>
        <v>sell the surplus or charge</v>
      </c>
      <c r="O189" s="1">
        <v>0.25</v>
      </c>
      <c r="P189" s="1">
        <f t="shared" si="98"/>
        <v>0.62670034978624167</v>
      </c>
      <c r="Q189" s="1">
        <f t="shared" si="99"/>
        <v>0.64248197275883356</v>
      </c>
      <c r="R189" s="1">
        <f t="shared" si="100"/>
        <v>38.056520993008512</v>
      </c>
      <c r="S189" s="1">
        <f t="shared" si="101"/>
        <v>29.238227729205391</v>
      </c>
      <c r="T189" s="1">
        <f t="shared" si="102"/>
        <v>45.555610562286077</v>
      </c>
      <c r="U189" s="1" t="str">
        <f t="shared" si="103"/>
        <v>sell to the Grid</v>
      </c>
      <c r="W189" s="1">
        <f t="shared" si="104"/>
        <v>3.8079906525416062E-2</v>
      </c>
      <c r="Y189" s="1">
        <f t="shared" si="77"/>
        <v>2.364367596899225E-2</v>
      </c>
      <c r="AA189" s="1">
        <f t="shared" si="81"/>
        <v>69.368731167033374</v>
      </c>
      <c r="AC189" s="1">
        <f t="shared" ref="AC189:AC202" si="105">L189</f>
        <v>0.39891472868217059</v>
      </c>
      <c r="AD189" s="1">
        <f t="shared" si="82"/>
        <v>0.64891472868217059</v>
      </c>
    </row>
    <row r="190" spans="1:30" ht="15">
      <c r="A190" s="1">
        <v>189</v>
      </c>
      <c r="B190" s="1">
        <f t="shared" si="85"/>
        <v>0</v>
      </c>
      <c r="C190" s="1">
        <f t="shared" si="78"/>
        <v>0</v>
      </c>
      <c r="D190" s="1">
        <f t="shared" si="83"/>
        <v>1.2592149877471481E-2</v>
      </c>
      <c r="E190">
        <v>59.27</v>
      </c>
      <c r="K190" s="1">
        <f>'Solar Availability and Gener GR'!F190</f>
        <v>0.26016647378260532</v>
      </c>
      <c r="L190" s="1">
        <v>0.39891472868217059</v>
      </c>
      <c r="M190" s="1">
        <f t="shared" si="79"/>
        <v>-0.13874825489956527</v>
      </c>
      <c r="N190" s="1" t="str">
        <f t="shared" si="80"/>
        <v>Buy from Grid</v>
      </c>
      <c r="V190" s="1" t="str">
        <f t="shared" ref="V190:V202" si="106">IF(D190+M190&gt;0,"discharge","buy from the Grid")</f>
        <v>buy from the Grid</v>
      </c>
      <c r="X190" s="1">
        <f t="shared" ref="X190:X202" si="107">(M190*E190)/1000</f>
        <v>-8.2236090678972345E-3</v>
      </c>
      <c r="Y190" s="1">
        <f t="shared" si="77"/>
        <v>2.364367596899225E-2</v>
      </c>
      <c r="AA190" s="1">
        <f t="shared" si="81"/>
        <v>69.229982912133806</v>
      </c>
      <c r="AC190" s="1">
        <f t="shared" si="105"/>
        <v>0.39891472868217059</v>
      </c>
      <c r="AD190" s="1">
        <f t="shared" si="82"/>
        <v>0.39891472868217059</v>
      </c>
    </row>
    <row r="191" spans="1:30" ht="15">
      <c r="A191" s="1">
        <v>190</v>
      </c>
      <c r="B191" s="1">
        <f t="shared" si="85"/>
        <v>0</v>
      </c>
      <c r="C191" s="1">
        <f t="shared" si="78"/>
        <v>0</v>
      </c>
      <c r="D191" s="1">
        <f t="shared" si="83"/>
        <v>1.2592149877471481E-2</v>
      </c>
      <c r="E191">
        <v>59.27</v>
      </c>
      <c r="K191" s="1">
        <f>'Solar Availability and Gener GR'!F191</f>
        <v>1.0856405234577132E-2</v>
      </c>
      <c r="L191" s="1">
        <v>0.39891472868217059</v>
      </c>
      <c r="M191" s="1">
        <f t="shared" si="79"/>
        <v>-0.38805832344759345</v>
      </c>
      <c r="N191" s="1" t="str">
        <f t="shared" si="80"/>
        <v>Buy from Grid</v>
      </c>
      <c r="V191" s="1" t="str">
        <f t="shared" si="106"/>
        <v>buy from the Grid</v>
      </c>
      <c r="X191" s="1">
        <f t="shared" si="107"/>
        <v>-2.3000216830738864E-2</v>
      </c>
      <c r="Y191" s="1">
        <f t="shared" si="77"/>
        <v>2.364367596899225E-2</v>
      </c>
      <c r="AA191" s="1">
        <f t="shared" si="81"/>
        <v>68.841924588686211</v>
      </c>
      <c r="AC191" s="1">
        <f t="shared" si="105"/>
        <v>0.39891472868217059</v>
      </c>
      <c r="AD191" s="1">
        <f t="shared" si="82"/>
        <v>0.39891472868217059</v>
      </c>
    </row>
    <row r="192" spans="1:30" ht="15">
      <c r="A192" s="1">
        <v>191</v>
      </c>
      <c r="B192" s="1">
        <f t="shared" si="85"/>
        <v>0</v>
      </c>
      <c r="C192" s="1">
        <f t="shared" si="78"/>
        <v>0</v>
      </c>
      <c r="D192" s="1">
        <f t="shared" si="83"/>
        <v>1.2592149877471481E-2</v>
      </c>
      <c r="E192">
        <v>59.27</v>
      </c>
      <c r="K192" s="1">
        <f>'Solar Availability and Gener GR'!F192</f>
        <v>0</v>
      </c>
      <c r="L192" s="1">
        <v>0.29596899224806206</v>
      </c>
      <c r="M192" s="1">
        <f t="shared" si="79"/>
        <v>-0.29596899224806206</v>
      </c>
      <c r="N192" s="1" t="str">
        <f t="shared" si="80"/>
        <v>Buy from Grid</v>
      </c>
      <c r="V192" s="1" t="str">
        <f t="shared" si="106"/>
        <v>buy from the Grid</v>
      </c>
      <c r="X192" s="1">
        <f t="shared" si="107"/>
        <v>-1.754208217054264E-2</v>
      </c>
      <c r="Y192" s="1">
        <f t="shared" si="77"/>
        <v>1.754208217054264E-2</v>
      </c>
      <c r="AA192" s="1">
        <f t="shared" si="81"/>
        <v>68.545955596438148</v>
      </c>
      <c r="AC192" s="1">
        <f t="shared" si="105"/>
        <v>0.29596899224806206</v>
      </c>
      <c r="AD192" s="1">
        <f t="shared" si="82"/>
        <v>0.29596899224806206</v>
      </c>
    </row>
    <row r="193" spans="1:30" ht="15">
      <c r="A193" s="1">
        <v>192</v>
      </c>
      <c r="B193" s="1">
        <f t="shared" si="85"/>
        <v>0</v>
      </c>
      <c r="C193" s="1">
        <f t="shared" si="78"/>
        <v>0</v>
      </c>
      <c r="D193" s="1">
        <f t="shared" si="83"/>
        <v>1.2592149877471481E-2</v>
      </c>
      <c r="E193">
        <v>59.27</v>
      </c>
      <c r="K193" s="1">
        <f>'Solar Availability and Gener GR'!F193</f>
        <v>0</v>
      </c>
      <c r="L193" s="1">
        <v>0.30883720930232561</v>
      </c>
      <c r="M193" s="1">
        <f t="shared" si="79"/>
        <v>-0.30883720930232561</v>
      </c>
      <c r="N193" s="1" t="str">
        <f t="shared" si="80"/>
        <v>Buy from Grid</v>
      </c>
      <c r="V193" s="1" t="str">
        <f t="shared" si="106"/>
        <v>buy from the Grid</v>
      </c>
      <c r="X193" s="1">
        <f t="shared" si="107"/>
        <v>-1.830478139534884E-2</v>
      </c>
      <c r="Y193" s="1">
        <f t="shared" si="77"/>
        <v>1.830478139534884E-2</v>
      </c>
      <c r="AA193" s="1">
        <f t="shared" si="81"/>
        <v>68.237118387135823</v>
      </c>
      <c r="AC193" s="1">
        <f t="shared" si="105"/>
        <v>0.30883720930232561</v>
      </c>
      <c r="AD193" s="1">
        <f t="shared" si="82"/>
        <v>0.30883720930232561</v>
      </c>
    </row>
    <row r="194" spans="1:30" ht="15">
      <c r="A194" s="1">
        <v>193</v>
      </c>
      <c r="B194" s="1">
        <f t="shared" si="85"/>
        <v>0</v>
      </c>
      <c r="C194" s="1">
        <f t="shared" si="78"/>
        <v>0</v>
      </c>
      <c r="D194" s="1">
        <f t="shared" si="83"/>
        <v>1.2592149877471481E-2</v>
      </c>
      <c r="E194">
        <v>59.27</v>
      </c>
      <c r="K194" s="1">
        <f>'Solar Availability and Gener GR'!F194</f>
        <v>0</v>
      </c>
      <c r="L194" s="1">
        <v>0.29596899224806206</v>
      </c>
      <c r="M194" s="1">
        <f t="shared" si="79"/>
        <v>-0.29596899224806206</v>
      </c>
      <c r="N194" s="1" t="str">
        <f t="shared" si="80"/>
        <v>Buy from Grid</v>
      </c>
      <c r="V194" s="1" t="str">
        <f t="shared" si="106"/>
        <v>buy from the Grid</v>
      </c>
      <c r="X194" s="1">
        <f t="shared" si="107"/>
        <v>-1.754208217054264E-2</v>
      </c>
      <c r="Y194" s="1">
        <f t="shared" ref="Y194:Y257" si="108">(L194*E194)/1000</f>
        <v>1.754208217054264E-2</v>
      </c>
      <c r="AA194" s="1">
        <f t="shared" si="81"/>
        <v>67.941149394887759</v>
      </c>
      <c r="AC194" s="1">
        <f t="shared" si="105"/>
        <v>0.29596899224806206</v>
      </c>
      <c r="AD194" s="1">
        <f t="shared" si="82"/>
        <v>0.29596899224806206</v>
      </c>
    </row>
    <row r="195" spans="1:30" ht="15">
      <c r="A195" s="1">
        <v>194</v>
      </c>
      <c r="B195" s="1">
        <f t="shared" si="85"/>
        <v>0</v>
      </c>
      <c r="C195" s="1">
        <f t="shared" ref="C195:C258" si="109">IF(V194="discharge",M194,0)</f>
        <v>0</v>
      </c>
      <c r="D195" s="1">
        <f t="shared" si="83"/>
        <v>1.2592149877471481E-2</v>
      </c>
      <c r="E195">
        <v>59.27</v>
      </c>
      <c r="K195" s="1">
        <f>'Solar Availability and Gener GR'!F195</f>
        <v>0</v>
      </c>
      <c r="L195" s="1">
        <v>0.29596899224806206</v>
      </c>
      <c r="M195" s="1">
        <f t="shared" ref="M195:M258" si="110">K195-L195</f>
        <v>-0.29596899224806206</v>
      </c>
      <c r="N195" s="1" t="str">
        <f t="shared" ref="N195:N258" si="111">IF(M195&lt;0,"Buy from Grid","sell the surplus or charge")</f>
        <v>Buy from Grid</v>
      </c>
      <c r="V195" s="1" t="str">
        <f t="shared" si="106"/>
        <v>buy from the Grid</v>
      </c>
      <c r="X195" s="1">
        <f t="shared" si="107"/>
        <v>-1.754208217054264E-2</v>
      </c>
      <c r="Y195" s="1">
        <f t="shared" si="108"/>
        <v>1.754208217054264E-2</v>
      </c>
      <c r="AA195" s="1">
        <f t="shared" ref="AA195:AA258" si="112">M195+AA194</f>
        <v>67.645180402639696</v>
      </c>
      <c r="AC195" s="1">
        <f t="shared" si="105"/>
        <v>0.29596899224806206</v>
      </c>
      <c r="AD195" s="1">
        <f t="shared" ref="AD195:AD258" si="113">AC195+O195</f>
        <v>0.29596899224806206</v>
      </c>
    </row>
    <row r="196" spans="1:30" ht="15">
      <c r="A196" s="1">
        <v>195</v>
      </c>
      <c r="B196" s="1">
        <f t="shared" si="85"/>
        <v>0</v>
      </c>
      <c r="C196" s="1">
        <f t="shared" si="109"/>
        <v>0</v>
      </c>
      <c r="D196" s="1">
        <f t="shared" ref="D196:D259" si="114">(D195)+(B196*0.8)+(C196/0.8)</f>
        <v>1.2592149877471481E-2</v>
      </c>
      <c r="E196">
        <v>59.27</v>
      </c>
      <c r="K196" s="1">
        <f>'Solar Availability and Gener GR'!F196</f>
        <v>0</v>
      </c>
      <c r="L196" s="1">
        <v>0.29596899224806206</v>
      </c>
      <c r="M196" s="1">
        <f t="shared" si="110"/>
        <v>-0.29596899224806206</v>
      </c>
      <c r="N196" s="1" t="str">
        <f t="shared" si="111"/>
        <v>Buy from Grid</v>
      </c>
      <c r="V196" s="1" t="str">
        <f t="shared" si="106"/>
        <v>buy from the Grid</v>
      </c>
      <c r="X196" s="1">
        <f t="shared" si="107"/>
        <v>-1.754208217054264E-2</v>
      </c>
      <c r="Y196" s="1">
        <f t="shared" si="108"/>
        <v>1.754208217054264E-2</v>
      </c>
      <c r="AA196" s="1">
        <f t="shared" si="112"/>
        <v>67.349211410391632</v>
      </c>
      <c r="AC196" s="1">
        <f t="shared" si="105"/>
        <v>0.29596899224806206</v>
      </c>
      <c r="AD196" s="1">
        <f t="shared" si="113"/>
        <v>0.29596899224806206</v>
      </c>
    </row>
    <row r="197" spans="1:30" ht="15">
      <c r="A197" s="1">
        <v>196</v>
      </c>
      <c r="B197" s="1">
        <f t="shared" si="85"/>
        <v>0</v>
      </c>
      <c r="C197" s="1">
        <f t="shared" si="109"/>
        <v>0</v>
      </c>
      <c r="D197" s="1">
        <f t="shared" si="114"/>
        <v>1.2592149877471481E-2</v>
      </c>
      <c r="E197">
        <v>59.27</v>
      </c>
      <c r="K197" s="1">
        <f>'Solar Availability and Gener GR'!F197</f>
        <v>0</v>
      </c>
      <c r="L197" s="1">
        <v>0.39891472868217059</v>
      </c>
      <c r="M197" s="1">
        <f t="shared" si="110"/>
        <v>-0.39891472868217059</v>
      </c>
      <c r="N197" s="1" t="str">
        <f t="shared" si="111"/>
        <v>Buy from Grid</v>
      </c>
      <c r="V197" s="1" t="str">
        <f t="shared" si="106"/>
        <v>buy from the Grid</v>
      </c>
      <c r="X197" s="1">
        <f t="shared" si="107"/>
        <v>-2.364367596899225E-2</v>
      </c>
      <c r="Y197" s="1">
        <f t="shared" si="108"/>
        <v>2.364367596899225E-2</v>
      </c>
      <c r="AA197" s="1">
        <f t="shared" si="112"/>
        <v>66.95029668170946</v>
      </c>
      <c r="AC197" s="1">
        <f t="shared" si="105"/>
        <v>0.39891472868217059</v>
      </c>
      <c r="AD197" s="1">
        <f t="shared" si="113"/>
        <v>0.39891472868217059</v>
      </c>
    </row>
    <row r="198" spans="1:30" ht="15">
      <c r="A198" s="1">
        <v>197</v>
      </c>
      <c r="B198" s="1">
        <f t="shared" si="85"/>
        <v>0</v>
      </c>
      <c r="C198" s="1">
        <f t="shared" si="109"/>
        <v>0</v>
      </c>
      <c r="D198" s="1">
        <f t="shared" si="114"/>
        <v>1.2592149877471481E-2</v>
      </c>
      <c r="E198">
        <v>59.27</v>
      </c>
      <c r="K198" s="1">
        <f>'Solar Availability and Gener GR'!F198</f>
        <v>0</v>
      </c>
      <c r="L198" s="1">
        <v>0.66914728682170543</v>
      </c>
      <c r="M198" s="1">
        <f t="shared" si="110"/>
        <v>-0.66914728682170543</v>
      </c>
      <c r="N198" s="1" t="str">
        <f t="shared" si="111"/>
        <v>Buy from Grid</v>
      </c>
      <c r="V198" s="1" t="str">
        <f t="shared" si="106"/>
        <v>buy from the Grid</v>
      </c>
      <c r="X198" s="1">
        <f t="shared" si="107"/>
        <v>-3.9660359689922479E-2</v>
      </c>
      <c r="Y198" s="1">
        <f t="shared" si="108"/>
        <v>3.9660359689922479E-2</v>
      </c>
      <c r="AA198" s="1">
        <f t="shared" si="112"/>
        <v>66.281149394887748</v>
      </c>
      <c r="AC198" s="1">
        <f t="shared" si="105"/>
        <v>0.66914728682170543</v>
      </c>
      <c r="AD198" s="1">
        <f t="shared" si="113"/>
        <v>0.66914728682170543</v>
      </c>
    </row>
    <row r="199" spans="1:30" ht="15">
      <c r="A199" s="1">
        <v>198</v>
      </c>
      <c r="B199" s="1">
        <f t="shared" si="85"/>
        <v>0</v>
      </c>
      <c r="C199" s="1">
        <f t="shared" si="109"/>
        <v>0</v>
      </c>
      <c r="D199" s="1">
        <f t="shared" si="114"/>
        <v>1.2592149877471481E-2</v>
      </c>
      <c r="E199">
        <v>59.27</v>
      </c>
      <c r="K199" s="1">
        <f>'Solar Availability and Gener GR'!F199</f>
        <v>0</v>
      </c>
      <c r="L199" s="1">
        <v>0.65627906976744199</v>
      </c>
      <c r="M199" s="1">
        <f t="shared" si="110"/>
        <v>-0.65627906976744199</v>
      </c>
      <c r="N199" s="1" t="str">
        <f t="shared" si="111"/>
        <v>Buy from Grid</v>
      </c>
      <c r="V199" s="1" t="str">
        <f t="shared" si="106"/>
        <v>buy from the Grid</v>
      </c>
      <c r="X199" s="1">
        <f t="shared" si="107"/>
        <v>-3.8897660465116286E-2</v>
      </c>
      <c r="Y199" s="1">
        <f t="shared" si="108"/>
        <v>3.8897660465116286E-2</v>
      </c>
      <c r="AA199" s="1">
        <f t="shared" si="112"/>
        <v>65.624870325120312</v>
      </c>
      <c r="AC199" s="1">
        <f t="shared" si="105"/>
        <v>0.65627906976744199</v>
      </c>
      <c r="AD199" s="1">
        <f t="shared" si="113"/>
        <v>0.65627906976744199</v>
      </c>
    </row>
    <row r="200" spans="1:30" ht="15">
      <c r="A200" s="1">
        <v>199</v>
      </c>
      <c r="B200" s="1">
        <f t="shared" si="85"/>
        <v>0</v>
      </c>
      <c r="C200" s="1">
        <f t="shared" si="109"/>
        <v>0</v>
      </c>
      <c r="D200" s="1">
        <f t="shared" si="114"/>
        <v>1.2592149877471481E-2</v>
      </c>
      <c r="E200">
        <v>59.27</v>
      </c>
      <c r="K200" s="1">
        <f>'Solar Availability and Gener GR'!F200</f>
        <v>1.6611768895219918E-2</v>
      </c>
      <c r="L200" s="1">
        <v>0.65627906976744199</v>
      </c>
      <c r="M200" s="1">
        <f t="shared" si="110"/>
        <v>-0.63966730087222212</v>
      </c>
      <c r="N200" s="1" t="str">
        <f t="shared" si="111"/>
        <v>Buy from Grid</v>
      </c>
      <c r="V200" s="1" t="str">
        <f t="shared" si="106"/>
        <v>buy from the Grid</v>
      </c>
      <c r="X200" s="1">
        <f t="shared" si="107"/>
        <v>-3.7913080922696608E-2</v>
      </c>
      <c r="Y200" s="1">
        <f t="shared" si="108"/>
        <v>3.8897660465116286E-2</v>
      </c>
      <c r="AA200" s="1">
        <f t="shared" si="112"/>
        <v>64.985203024248094</v>
      </c>
      <c r="AC200" s="1">
        <f t="shared" si="105"/>
        <v>0.65627906976744199</v>
      </c>
      <c r="AD200" s="1">
        <f t="shared" si="113"/>
        <v>0.65627906976744199</v>
      </c>
    </row>
    <row r="201" spans="1:30" ht="15">
      <c r="A201" s="1">
        <v>200</v>
      </c>
      <c r="B201" s="1">
        <f t="shared" si="85"/>
        <v>0</v>
      </c>
      <c r="C201" s="1">
        <f t="shared" si="109"/>
        <v>0</v>
      </c>
      <c r="D201" s="1">
        <f t="shared" si="114"/>
        <v>1.2592149877471481E-2</v>
      </c>
      <c r="E201">
        <v>59.27</v>
      </c>
      <c r="K201" s="1">
        <f>'Solar Availability and Gener GR'!F201</f>
        <v>7.3684679070595324E-2</v>
      </c>
      <c r="L201" s="1">
        <v>0.39891472868217059</v>
      </c>
      <c r="M201" s="1">
        <f t="shared" si="110"/>
        <v>-0.32523004961157526</v>
      </c>
      <c r="N201" s="1" t="str">
        <f t="shared" si="111"/>
        <v>Buy from Grid</v>
      </c>
      <c r="V201" s="1" t="str">
        <f t="shared" si="106"/>
        <v>buy from the Grid</v>
      </c>
      <c r="X201" s="1">
        <f t="shared" si="107"/>
        <v>-1.9276385040478065E-2</v>
      </c>
      <c r="Y201" s="1">
        <f t="shared" si="108"/>
        <v>2.364367596899225E-2</v>
      </c>
      <c r="AA201" s="1">
        <f t="shared" si="112"/>
        <v>64.659972974636517</v>
      </c>
      <c r="AC201" s="1">
        <f t="shared" si="105"/>
        <v>0.39891472868217059</v>
      </c>
      <c r="AD201" s="1">
        <f t="shared" si="113"/>
        <v>0.39891472868217059</v>
      </c>
    </row>
    <row r="202" spans="1:30" ht="15">
      <c r="A202" s="1">
        <v>201</v>
      </c>
      <c r="B202" s="1">
        <f t="shared" si="85"/>
        <v>0</v>
      </c>
      <c r="C202" s="1">
        <f t="shared" si="109"/>
        <v>0</v>
      </c>
      <c r="D202" s="1">
        <f t="shared" si="114"/>
        <v>1.2592149877471481E-2</v>
      </c>
      <c r="E202">
        <v>59.27</v>
      </c>
      <c r="K202" s="1">
        <f>'Solar Availability and Gener GR'!F202</f>
        <v>0.29347013264488564</v>
      </c>
      <c r="L202" s="1">
        <v>0.39891472868217059</v>
      </c>
      <c r="M202" s="1">
        <f t="shared" si="110"/>
        <v>-0.10544459603728495</v>
      </c>
      <c r="N202" s="1" t="str">
        <f t="shared" si="111"/>
        <v>Buy from Grid</v>
      </c>
      <c r="V202" s="1" t="str">
        <f t="shared" si="106"/>
        <v>buy from the Grid</v>
      </c>
      <c r="X202" s="1">
        <f t="shared" si="107"/>
        <v>-6.2497012071298791E-3</v>
      </c>
      <c r="Y202" s="1">
        <f t="shared" si="108"/>
        <v>2.364367596899225E-2</v>
      </c>
      <c r="AA202" s="1">
        <f t="shared" si="112"/>
        <v>64.55452837859923</v>
      </c>
      <c r="AC202" s="1">
        <f t="shared" si="105"/>
        <v>0.39891472868217059</v>
      </c>
      <c r="AD202" s="1">
        <f t="shared" si="113"/>
        <v>0.39891472868217059</v>
      </c>
    </row>
    <row r="203" spans="1:30" ht="15">
      <c r="A203" s="1">
        <v>202</v>
      </c>
      <c r="B203" s="1">
        <f t="shared" si="85"/>
        <v>0</v>
      </c>
      <c r="C203" s="1">
        <f t="shared" si="109"/>
        <v>0</v>
      </c>
      <c r="D203" s="1">
        <f t="shared" si="114"/>
        <v>1.2592149877471481E-2</v>
      </c>
      <c r="E203">
        <v>59.27</v>
      </c>
      <c r="K203" s="1">
        <f>'Solar Availability and Gener GR'!F203</f>
        <v>0.74304282026172608</v>
      </c>
      <c r="L203" s="1">
        <v>0.39891472868217059</v>
      </c>
      <c r="M203" s="1">
        <f t="shared" si="110"/>
        <v>0.34412809157955548</v>
      </c>
      <c r="N203" s="1" t="str">
        <f t="shared" si="111"/>
        <v>sell the surplus or charge</v>
      </c>
      <c r="O203" s="1">
        <v>0.25</v>
      </c>
      <c r="P203" s="1">
        <f t="shared" ref="P203:P211" si="115">0.25/L203</f>
        <v>0.62670034978624167</v>
      </c>
      <c r="Q203" s="1">
        <f t="shared" ref="Q203:Q211" si="116">K203-P203*L203</f>
        <v>0.49304282026172608</v>
      </c>
      <c r="R203" s="1">
        <f t="shared" ref="R203:R211" si="117">((1/(E203+0.01))*LN(0.25))+(E203*(K203-0.25))</f>
        <v>29.199262424504951</v>
      </c>
      <c r="S203" s="1">
        <f t="shared" ref="S203:S211" si="118">((1/(E203+0.01))*LN(L203))+(E203*(K203-L203))</f>
        <v>20.380969160701831</v>
      </c>
      <c r="T203" s="1">
        <f t="shared" ref="T203:T211" si="119">(S203+((S203^2)-4*(K203-L203*P203)*LN(L203*P203))^(0.5))/(2*(K203-L203*P203))</f>
        <v>41.405025341968795</v>
      </c>
      <c r="U203" s="1" t="str">
        <f t="shared" ref="U203:U211" si="120">IF(E203&gt;=T203*1.05,"sell to the Grid","charge")</f>
        <v>sell to the Grid</v>
      </c>
      <c r="W203" s="1">
        <f t="shared" ref="W203:W211" si="121">(Q203*E203)/1000</f>
        <v>2.9222647956912508E-2</v>
      </c>
      <c r="Y203" s="1">
        <f t="shared" si="108"/>
        <v>2.364367596899225E-2</v>
      </c>
      <c r="AA203" s="1">
        <f t="shared" si="112"/>
        <v>64.898656470178778</v>
      </c>
      <c r="AD203" s="1">
        <f t="shared" si="113"/>
        <v>0.25</v>
      </c>
    </row>
    <row r="204" spans="1:30" ht="15">
      <c r="A204" s="1">
        <v>203</v>
      </c>
      <c r="B204" s="1">
        <f t="shared" si="85"/>
        <v>0</v>
      </c>
      <c r="C204" s="1">
        <f t="shared" si="109"/>
        <v>0</v>
      </c>
      <c r="D204" s="1">
        <f t="shared" si="114"/>
        <v>1.2592149877471481E-2</v>
      </c>
      <c r="E204">
        <v>59.27</v>
      </c>
      <c r="K204" s="1">
        <f>'Solar Availability and Gener GR'!F204</f>
        <v>1.7000890234131563</v>
      </c>
      <c r="L204" s="1">
        <v>0.39891472868217059</v>
      </c>
      <c r="M204" s="1">
        <f t="shared" si="110"/>
        <v>1.3011742947309857</v>
      </c>
      <c r="N204" s="1" t="str">
        <f t="shared" si="111"/>
        <v>sell the surplus or charge</v>
      </c>
      <c r="O204" s="1">
        <v>0.25</v>
      </c>
      <c r="P204" s="1">
        <f t="shared" si="115"/>
        <v>0.62670034978624167</v>
      </c>
      <c r="Q204" s="1">
        <f t="shared" si="116"/>
        <v>1.4500890234131563</v>
      </c>
      <c r="R204" s="1">
        <f t="shared" si="117"/>
        <v>85.923390885290218</v>
      </c>
      <c r="S204" s="1">
        <f t="shared" si="118"/>
        <v>77.105097621487104</v>
      </c>
      <c r="T204" s="1">
        <f t="shared" si="119"/>
        <v>53.190638041696054</v>
      </c>
      <c r="U204" s="1" t="str">
        <f t="shared" si="120"/>
        <v>sell to the Grid</v>
      </c>
      <c r="W204" s="1">
        <f t="shared" si="121"/>
        <v>8.5946776417697782E-2</v>
      </c>
      <c r="Y204" s="1">
        <f t="shared" si="108"/>
        <v>2.364367596899225E-2</v>
      </c>
      <c r="AA204" s="1">
        <f t="shared" si="112"/>
        <v>66.199830764909763</v>
      </c>
      <c r="AD204" s="1">
        <f t="shared" si="113"/>
        <v>0.25</v>
      </c>
    </row>
    <row r="205" spans="1:30" ht="15">
      <c r="A205" s="1">
        <v>204</v>
      </c>
      <c r="B205" s="1">
        <f t="shared" si="85"/>
        <v>0</v>
      </c>
      <c r="C205" s="1">
        <f t="shared" si="109"/>
        <v>0</v>
      </c>
      <c r="D205" s="1">
        <f t="shared" si="114"/>
        <v>1.2592149877471481E-2</v>
      </c>
      <c r="E205">
        <v>59.27</v>
      </c>
      <c r="K205" s="1">
        <f>'Solar Availability and Gener GR'!F205</f>
        <v>2.3315899581589932</v>
      </c>
      <c r="L205" s="1">
        <v>0.39891472868217059</v>
      </c>
      <c r="M205" s="1">
        <f t="shared" si="110"/>
        <v>1.9326752294768226</v>
      </c>
      <c r="N205" s="1" t="str">
        <f t="shared" si="111"/>
        <v>sell the surplus or charge</v>
      </c>
      <c r="O205" s="1">
        <v>0.25</v>
      </c>
      <c r="P205" s="1">
        <f t="shared" si="115"/>
        <v>0.62670034978624167</v>
      </c>
      <c r="Q205" s="1">
        <f t="shared" si="116"/>
        <v>2.0815899581589932</v>
      </c>
      <c r="R205" s="1">
        <f t="shared" si="117"/>
        <v>123.35245128767598</v>
      </c>
      <c r="S205" s="1">
        <f t="shared" si="118"/>
        <v>114.53415802387285</v>
      </c>
      <c r="T205" s="1">
        <f t="shared" si="119"/>
        <v>55.034540836180213</v>
      </c>
      <c r="U205" s="1" t="str">
        <f t="shared" si="120"/>
        <v>sell to the Grid</v>
      </c>
      <c r="W205" s="1">
        <f t="shared" si="121"/>
        <v>0.12337583682008353</v>
      </c>
      <c r="Y205" s="1">
        <f t="shared" si="108"/>
        <v>2.364367596899225E-2</v>
      </c>
      <c r="AA205" s="1">
        <f t="shared" si="112"/>
        <v>68.132505994386591</v>
      </c>
      <c r="AD205" s="1">
        <f t="shared" si="113"/>
        <v>0.25</v>
      </c>
    </row>
    <row r="206" spans="1:30" ht="15">
      <c r="A206" s="1">
        <v>205</v>
      </c>
      <c r="B206" s="1">
        <f t="shared" si="85"/>
        <v>0</v>
      </c>
      <c r="C206" s="1">
        <f t="shared" si="109"/>
        <v>0</v>
      </c>
      <c r="D206" s="1">
        <f t="shared" si="114"/>
        <v>1.2592149877471481E-2</v>
      </c>
      <c r="E206">
        <v>59.27</v>
      </c>
      <c r="K206" s="1">
        <f>'Solar Availability and Gener GR'!F206</f>
        <v>2.5513754117332827</v>
      </c>
      <c r="L206" s="1">
        <v>0.39891472868217059</v>
      </c>
      <c r="M206" s="1">
        <f t="shared" si="110"/>
        <v>2.1524606830511122</v>
      </c>
      <c r="N206" s="1" t="str">
        <f t="shared" si="111"/>
        <v>sell the surplus or charge</v>
      </c>
      <c r="O206" s="1">
        <v>0.25</v>
      </c>
      <c r="P206" s="1">
        <f t="shared" si="115"/>
        <v>0.62670034978624167</v>
      </c>
      <c r="Q206" s="1">
        <f t="shared" si="116"/>
        <v>2.3013754117332827</v>
      </c>
      <c r="R206" s="1">
        <f t="shared" si="117"/>
        <v>136.37913512102412</v>
      </c>
      <c r="S206" s="1">
        <f t="shared" si="118"/>
        <v>127.56084185722099</v>
      </c>
      <c r="T206" s="1">
        <f t="shared" si="119"/>
        <v>55.438954890919746</v>
      </c>
      <c r="U206" s="1" t="str">
        <f t="shared" si="120"/>
        <v>sell to the Grid</v>
      </c>
      <c r="W206" s="1">
        <f t="shared" si="121"/>
        <v>0.13640252065343167</v>
      </c>
      <c r="Y206" s="1">
        <f t="shared" si="108"/>
        <v>2.364367596899225E-2</v>
      </c>
      <c r="AA206" s="1">
        <f t="shared" si="112"/>
        <v>70.284966677437708</v>
      </c>
      <c r="AD206" s="1">
        <f t="shared" si="113"/>
        <v>0.25</v>
      </c>
    </row>
    <row r="207" spans="1:30" ht="15">
      <c r="A207" s="1">
        <v>206</v>
      </c>
      <c r="B207" s="1">
        <f t="shared" si="85"/>
        <v>0</v>
      </c>
      <c r="C207" s="1">
        <f t="shared" si="109"/>
        <v>0</v>
      </c>
      <c r="D207" s="1">
        <f t="shared" si="114"/>
        <v>1.2592149877471481E-2</v>
      </c>
      <c r="E207">
        <v>59.27</v>
      </c>
      <c r="K207" s="1">
        <f>'Solar Availability and Gener GR'!F207</f>
        <v>2.598833793287632</v>
      </c>
      <c r="L207" s="1">
        <v>0.39891472868217059</v>
      </c>
      <c r="M207" s="1">
        <f t="shared" si="110"/>
        <v>2.1999190646054614</v>
      </c>
      <c r="N207" s="1" t="str">
        <f t="shared" si="111"/>
        <v>sell the surplus or charge</v>
      </c>
      <c r="O207" s="1">
        <v>0.25</v>
      </c>
      <c r="P207" s="1">
        <f t="shared" si="115"/>
        <v>0.62670034978624167</v>
      </c>
      <c r="Q207" s="1">
        <f t="shared" si="116"/>
        <v>2.348833793287632</v>
      </c>
      <c r="R207" s="1">
        <f t="shared" si="117"/>
        <v>139.19199339575039</v>
      </c>
      <c r="S207" s="1">
        <f t="shared" si="118"/>
        <v>130.37370013194729</v>
      </c>
      <c r="T207" s="1">
        <f t="shared" si="119"/>
        <v>55.516346634055658</v>
      </c>
      <c r="U207" s="1" t="str">
        <f t="shared" si="120"/>
        <v>sell to the Grid</v>
      </c>
      <c r="W207" s="1">
        <f t="shared" si="121"/>
        <v>0.13921537892815794</v>
      </c>
      <c r="Y207" s="1">
        <f t="shared" si="108"/>
        <v>2.364367596899225E-2</v>
      </c>
      <c r="AA207" s="1">
        <f t="shared" si="112"/>
        <v>72.484885742043176</v>
      </c>
      <c r="AD207" s="1">
        <f t="shared" si="113"/>
        <v>0.25</v>
      </c>
    </row>
    <row r="208" spans="1:30" ht="15">
      <c r="A208" s="1">
        <v>207</v>
      </c>
      <c r="B208" s="1">
        <f t="shared" ref="B208:B271" si="122">IF(U208="charge",Q208,0)</f>
        <v>0</v>
      </c>
      <c r="C208" s="1">
        <f t="shared" si="109"/>
        <v>0</v>
      </c>
      <c r="D208" s="1">
        <f t="shared" si="114"/>
        <v>1.2592149877471481E-2</v>
      </c>
      <c r="E208">
        <v>59.27</v>
      </c>
      <c r="K208" s="1">
        <f>'Solar Availability and Gener GR'!F208</f>
        <v>2.5218374432475708</v>
      </c>
      <c r="L208" s="1">
        <v>0.39891472868217059</v>
      </c>
      <c r="M208" s="1">
        <f t="shared" si="110"/>
        <v>2.1229227145654002</v>
      </c>
      <c r="N208" s="1" t="str">
        <f t="shared" si="111"/>
        <v>sell the surplus or charge</v>
      </c>
      <c r="O208" s="1">
        <v>0.25</v>
      </c>
      <c r="P208" s="1">
        <f t="shared" si="115"/>
        <v>0.62670034978624167</v>
      </c>
      <c r="Q208" s="1">
        <f t="shared" si="116"/>
        <v>2.2718374432475708</v>
      </c>
      <c r="R208" s="1">
        <f t="shared" si="117"/>
        <v>134.62841972887597</v>
      </c>
      <c r="S208" s="1">
        <f t="shared" si="118"/>
        <v>125.81012646507284</v>
      </c>
      <c r="T208" s="1">
        <f t="shared" si="119"/>
        <v>55.389154317707671</v>
      </c>
      <c r="U208" s="1" t="str">
        <f t="shared" si="120"/>
        <v>sell to the Grid</v>
      </c>
      <c r="W208" s="1">
        <f t="shared" si="121"/>
        <v>0.13465180526128354</v>
      </c>
      <c r="Y208" s="1">
        <f t="shared" si="108"/>
        <v>2.364367596899225E-2</v>
      </c>
      <c r="AA208" s="1">
        <f t="shared" si="112"/>
        <v>74.607808456608581</v>
      </c>
      <c r="AD208" s="1">
        <f t="shared" si="113"/>
        <v>0.25</v>
      </c>
    </row>
    <row r="209" spans="1:30" ht="15">
      <c r="A209" s="1">
        <v>208</v>
      </c>
      <c r="B209" s="1">
        <f t="shared" si="122"/>
        <v>0</v>
      </c>
      <c r="C209" s="1">
        <f t="shared" si="109"/>
        <v>0</v>
      </c>
      <c r="D209" s="1">
        <f t="shared" si="114"/>
        <v>1.2592149877471481E-2</v>
      </c>
      <c r="E209">
        <v>59.27</v>
      </c>
      <c r="K209" s="1">
        <f>'Solar Availability and Gener GR'!F209</f>
        <v>2.13843140746016</v>
      </c>
      <c r="L209" s="1">
        <v>0.65627906976744199</v>
      </c>
      <c r="M209" s="1">
        <f t="shared" si="110"/>
        <v>1.4821523376927179</v>
      </c>
      <c r="N209" s="1" t="str">
        <f t="shared" si="111"/>
        <v>sell the surplus or charge</v>
      </c>
      <c r="O209" s="1">
        <v>0.25</v>
      </c>
      <c r="P209" s="1">
        <f t="shared" si="115"/>
        <v>0.38093550673281351</v>
      </c>
      <c r="Q209" s="1">
        <f t="shared" si="116"/>
        <v>1.88843140746016</v>
      </c>
      <c r="R209" s="1">
        <f t="shared" si="117"/>
        <v>111.90394398775614</v>
      </c>
      <c r="S209" s="1">
        <f t="shared" si="118"/>
        <v>87.840064311976064</v>
      </c>
      <c r="T209" s="1">
        <f t="shared" si="119"/>
        <v>46.530605844213262</v>
      </c>
      <c r="U209" s="1" t="str">
        <f t="shared" si="120"/>
        <v>sell to the Grid</v>
      </c>
      <c r="W209" s="1">
        <f t="shared" si="121"/>
        <v>0.1119273295201637</v>
      </c>
      <c r="Y209" s="1">
        <f t="shared" si="108"/>
        <v>3.8897660465116286E-2</v>
      </c>
      <c r="AA209" s="1">
        <f t="shared" si="112"/>
        <v>76.089960794301305</v>
      </c>
      <c r="AD209" s="1">
        <f t="shared" si="113"/>
        <v>0.25</v>
      </c>
    </row>
    <row r="210" spans="1:30" ht="15">
      <c r="A210" s="1">
        <v>209</v>
      </c>
      <c r="B210" s="1">
        <f t="shared" si="122"/>
        <v>0</v>
      </c>
      <c r="C210" s="1">
        <f t="shared" si="109"/>
        <v>0</v>
      </c>
      <c r="D210" s="1">
        <f t="shared" si="114"/>
        <v>1.2592149877471481E-2</v>
      </c>
      <c r="E210">
        <v>59.27</v>
      </c>
      <c r="K210" s="1">
        <f>'Solar Availability and Gener GR'!F210</f>
        <v>1.6784563340158452</v>
      </c>
      <c r="L210" s="1">
        <v>0.66914728682170543</v>
      </c>
      <c r="M210" s="1">
        <f t="shared" si="110"/>
        <v>1.0093090471941397</v>
      </c>
      <c r="N210" s="1" t="str">
        <f t="shared" si="111"/>
        <v>sell the surplus or charge</v>
      </c>
      <c r="O210" s="1">
        <v>0.25</v>
      </c>
      <c r="P210" s="1">
        <f t="shared" si="115"/>
        <v>0.3736098239110287</v>
      </c>
      <c r="Q210" s="1">
        <f t="shared" si="116"/>
        <v>1.4284563340158452</v>
      </c>
      <c r="R210" s="1">
        <f t="shared" si="117"/>
        <v>84.641221384711585</v>
      </c>
      <c r="S210" s="1">
        <f t="shared" si="118"/>
        <v>59.814970049676226</v>
      </c>
      <c r="T210" s="1">
        <f t="shared" si="119"/>
        <v>41.897016216080459</v>
      </c>
      <c r="U210" s="1" t="str">
        <f t="shared" si="120"/>
        <v>sell to the Grid</v>
      </c>
      <c r="W210" s="1">
        <f t="shared" si="121"/>
        <v>8.4664606917119148E-2</v>
      </c>
      <c r="Y210" s="1">
        <f t="shared" si="108"/>
        <v>3.9660359689922479E-2</v>
      </c>
      <c r="AA210" s="1">
        <f t="shared" si="112"/>
        <v>77.099269841495442</v>
      </c>
      <c r="AD210" s="1">
        <f t="shared" si="113"/>
        <v>0.25</v>
      </c>
    </row>
    <row r="211" spans="1:30" ht="15">
      <c r="A211" s="1">
        <v>210</v>
      </c>
      <c r="B211" s="1">
        <f t="shared" si="122"/>
        <v>0</v>
      </c>
      <c r="C211" s="1">
        <f t="shared" si="109"/>
        <v>0</v>
      </c>
      <c r="D211" s="1">
        <f t="shared" si="114"/>
        <v>1.2592149877471481E-2</v>
      </c>
      <c r="E211">
        <v>59.27</v>
      </c>
      <c r="K211" s="1">
        <f>'Solar Availability and Gener GR'!F211</f>
        <v>1.0269518383334808</v>
      </c>
      <c r="L211" s="1">
        <v>0.65627906976744199</v>
      </c>
      <c r="M211" s="1">
        <f t="shared" si="110"/>
        <v>0.37067276856603881</v>
      </c>
      <c r="N211" s="1" t="str">
        <f t="shared" si="111"/>
        <v>sell the surplus or charge</v>
      </c>
      <c r="O211" s="1">
        <v>0.25</v>
      </c>
      <c r="P211" s="1">
        <f t="shared" si="115"/>
        <v>0.38093550673281351</v>
      </c>
      <c r="Q211" s="1">
        <f t="shared" si="116"/>
        <v>0.7769518383334808</v>
      </c>
      <c r="R211" s="1">
        <f t="shared" si="117"/>
        <v>46.026549925617857</v>
      </c>
      <c r="S211" s="1">
        <f t="shared" si="118"/>
        <v>21.962670249837785</v>
      </c>
      <c r="T211" s="1">
        <f t="shared" si="119"/>
        <v>28.330717192822302</v>
      </c>
      <c r="U211" s="1" t="str">
        <f t="shared" si="120"/>
        <v>sell to the Grid</v>
      </c>
      <c r="W211" s="1">
        <f t="shared" si="121"/>
        <v>4.6049935458025409E-2</v>
      </c>
      <c r="Y211" s="1">
        <f t="shared" si="108"/>
        <v>3.8897660465116286E-2</v>
      </c>
      <c r="AA211" s="1">
        <f t="shared" si="112"/>
        <v>77.46994261006148</v>
      </c>
      <c r="AC211" s="1">
        <f t="shared" ref="AC211:AC226" si="123">L211</f>
        <v>0.65627906976744199</v>
      </c>
      <c r="AD211" s="1">
        <f t="shared" si="113"/>
        <v>0.90627906976744199</v>
      </c>
    </row>
    <row r="212" spans="1:30" ht="15">
      <c r="A212" s="1">
        <v>211</v>
      </c>
      <c r="B212" s="1">
        <f t="shared" si="122"/>
        <v>0</v>
      </c>
      <c r="C212" s="1">
        <f t="shared" si="109"/>
        <v>0</v>
      </c>
      <c r="D212" s="1">
        <f t="shared" si="114"/>
        <v>1.2592149877471481E-2</v>
      </c>
      <c r="E212">
        <v>59.27</v>
      </c>
      <c r="K212" s="1">
        <f>'Solar Availability and Gener GR'!F212</f>
        <v>0.35632511350485152</v>
      </c>
      <c r="L212" s="1">
        <v>0.66914728682170543</v>
      </c>
      <c r="M212" s="1">
        <f t="shared" si="110"/>
        <v>-0.31282217331685391</v>
      </c>
      <c r="N212" s="1" t="str">
        <f t="shared" si="111"/>
        <v>Buy from Grid</v>
      </c>
      <c r="V212" s="1" t="str">
        <f t="shared" ref="V212:V226" si="124">IF(D212+M212&gt;0,"discharge","buy from the Grid")</f>
        <v>buy from the Grid</v>
      </c>
      <c r="X212" s="1">
        <f t="shared" ref="X212:X226" si="125">(M212*E212)/1000</f>
        <v>-1.8540970212489932E-2</v>
      </c>
      <c r="Y212" s="1">
        <f t="shared" si="108"/>
        <v>3.9660359689922479E-2</v>
      </c>
      <c r="AA212" s="1">
        <f t="shared" si="112"/>
        <v>77.15712043674462</v>
      </c>
      <c r="AC212" s="1">
        <f t="shared" si="123"/>
        <v>0.66914728682170543</v>
      </c>
      <c r="AD212" s="1">
        <f t="shared" si="113"/>
        <v>0.66914728682170543</v>
      </c>
    </row>
    <row r="213" spans="1:30" ht="15">
      <c r="A213" s="1">
        <v>212</v>
      </c>
      <c r="B213" s="1">
        <f t="shared" si="122"/>
        <v>0</v>
      </c>
      <c r="C213" s="1">
        <f t="shared" si="109"/>
        <v>0</v>
      </c>
      <c r="D213" s="1">
        <f t="shared" si="114"/>
        <v>1.2592149877471481E-2</v>
      </c>
      <c r="E213">
        <v>59.27</v>
      </c>
      <c r="K213" s="1">
        <f>'Solar Availability and Gener GR'!F213</f>
        <v>3.9953707825157996E-2</v>
      </c>
      <c r="L213" s="1">
        <v>0.39891472868217059</v>
      </c>
      <c r="M213" s="1">
        <f t="shared" si="110"/>
        <v>-0.35896102085701259</v>
      </c>
      <c r="N213" s="1" t="str">
        <f t="shared" si="111"/>
        <v>Buy from Grid</v>
      </c>
      <c r="V213" s="1" t="str">
        <f t="shared" si="124"/>
        <v>buy from the Grid</v>
      </c>
      <c r="X213" s="1">
        <f t="shared" si="125"/>
        <v>-2.1275619706195136E-2</v>
      </c>
      <c r="Y213" s="1">
        <f t="shared" si="108"/>
        <v>2.364367596899225E-2</v>
      </c>
      <c r="AA213" s="1">
        <f t="shared" si="112"/>
        <v>76.798159415887611</v>
      </c>
      <c r="AC213" s="1">
        <f t="shared" si="123"/>
        <v>0.39891472868217059</v>
      </c>
      <c r="AD213" s="1">
        <f t="shared" si="113"/>
        <v>0.39891472868217059</v>
      </c>
    </row>
    <row r="214" spans="1:30" ht="15">
      <c r="A214" s="1">
        <v>213</v>
      </c>
      <c r="B214" s="1">
        <f t="shared" si="122"/>
        <v>0</v>
      </c>
      <c r="C214" s="1">
        <f t="shared" si="109"/>
        <v>0</v>
      </c>
      <c r="D214" s="1">
        <f t="shared" si="114"/>
        <v>1.2592149877471481E-2</v>
      </c>
      <c r="E214">
        <v>59.27</v>
      </c>
      <c r="K214" s="1">
        <f>'Solar Availability and Gener GR'!F214</f>
        <v>0</v>
      </c>
      <c r="L214" s="1">
        <v>0.39891472868217059</v>
      </c>
      <c r="M214" s="1">
        <f t="shared" si="110"/>
        <v>-0.39891472868217059</v>
      </c>
      <c r="N214" s="1" t="str">
        <f t="shared" si="111"/>
        <v>Buy from Grid</v>
      </c>
      <c r="V214" s="1" t="str">
        <f t="shared" si="124"/>
        <v>buy from the Grid</v>
      </c>
      <c r="X214" s="1">
        <f t="shared" si="125"/>
        <v>-2.364367596899225E-2</v>
      </c>
      <c r="Y214" s="1">
        <f t="shared" si="108"/>
        <v>2.364367596899225E-2</v>
      </c>
      <c r="AA214" s="1">
        <f t="shared" si="112"/>
        <v>76.399244687205439</v>
      </c>
      <c r="AC214" s="1">
        <f t="shared" si="123"/>
        <v>0.39891472868217059</v>
      </c>
      <c r="AD214" s="1">
        <f t="shared" si="113"/>
        <v>0.39891472868217059</v>
      </c>
    </row>
    <row r="215" spans="1:30" ht="15">
      <c r="A215" s="1">
        <v>214</v>
      </c>
      <c r="B215" s="1">
        <f t="shared" si="122"/>
        <v>0</v>
      </c>
      <c r="C215" s="1">
        <f t="shared" si="109"/>
        <v>0</v>
      </c>
      <c r="D215" s="1">
        <f t="shared" si="114"/>
        <v>1.2592149877471481E-2</v>
      </c>
      <c r="E215">
        <v>59.27</v>
      </c>
      <c r="K215" s="1">
        <f>'Solar Availability and Gener GR'!F215</f>
        <v>0</v>
      </c>
      <c r="L215" s="1">
        <v>0.39891472868217059</v>
      </c>
      <c r="M215" s="1">
        <f t="shared" si="110"/>
        <v>-0.39891472868217059</v>
      </c>
      <c r="N215" s="1" t="str">
        <f t="shared" si="111"/>
        <v>Buy from Grid</v>
      </c>
      <c r="V215" s="1" t="str">
        <f t="shared" si="124"/>
        <v>buy from the Grid</v>
      </c>
      <c r="X215" s="1">
        <f t="shared" si="125"/>
        <v>-2.364367596899225E-2</v>
      </c>
      <c r="Y215" s="1">
        <f t="shared" si="108"/>
        <v>2.364367596899225E-2</v>
      </c>
      <c r="AA215" s="1">
        <f t="shared" si="112"/>
        <v>76.000329958523267</v>
      </c>
      <c r="AC215" s="1">
        <f t="shared" si="123"/>
        <v>0.39891472868217059</v>
      </c>
      <c r="AD215" s="1">
        <f t="shared" si="113"/>
        <v>0.39891472868217059</v>
      </c>
    </row>
    <row r="216" spans="1:30" ht="15">
      <c r="A216" s="1">
        <v>215</v>
      </c>
      <c r="B216" s="1">
        <f t="shared" si="122"/>
        <v>0</v>
      </c>
      <c r="C216" s="1">
        <f t="shared" si="109"/>
        <v>0</v>
      </c>
      <c r="D216" s="1">
        <f t="shared" si="114"/>
        <v>1.2592149877471481E-2</v>
      </c>
      <c r="E216">
        <v>59.27</v>
      </c>
      <c r="K216" s="1">
        <f>'Solar Availability and Gener GR'!F216</f>
        <v>0</v>
      </c>
      <c r="L216" s="1">
        <v>0.29596899224806206</v>
      </c>
      <c r="M216" s="1">
        <f t="shared" si="110"/>
        <v>-0.29596899224806206</v>
      </c>
      <c r="N216" s="1" t="str">
        <f t="shared" si="111"/>
        <v>Buy from Grid</v>
      </c>
      <c r="V216" s="1" t="str">
        <f t="shared" si="124"/>
        <v>buy from the Grid</v>
      </c>
      <c r="X216" s="1">
        <f t="shared" si="125"/>
        <v>-1.754208217054264E-2</v>
      </c>
      <c r="Y216" s="1">
        <f t="shared" si="108"/>
        <v>1.754208217054264E-2</v>
      </c>
      <c r="AA216" s="1">
        <f t="shared" si="112"/>
        <v>75.704360966275203</v>
      </c>
      <c r="AC216" s="1">
        <f t="shared" si="123"/>
        <v>0.29596899224806206</v>
      </c>
      <c r="AD216" s="1">
        <f t="shared" si="113"/>
        <v>0.29596899224806206</v>
      </c>
    </row>
    <row r="217" spans="1:30" ht="15">
      <c r="A217" s="1">
        <v>216</v>
      </c>
      <c r="B217" s="1">
        <f t="shared" si="122"/>
        <v>0</v>
      </c>
      <c r="C217" s="1">
        <f t="shared" si="109"/>
        <v>0</v>
      </c>
      <c r="D217" s="1">
        <f t="shared" si="114"/>
        <v>1.2592149877471481E-2</v>
      </c>
      <c r="E217">
        <v>59.27</v>
      </c>
      <c r="K217" s="1">
        <f>'Solar Availability and Gener GR'!F217</f>
        <v>0</v>
      </c>
      <c r="L217" s="1">
        <v>0.29596899224806206</v>
      </c>
      <c r="M217" s="1">
        <f t="shared" si="110"/>
        <v>-0.29596899224806206</v>
      </c>
      <c r="N217" s="1" t="str">
        <f t="shared" si="111"/>
        <v>Buy from Grid</v>
      </c>
      <c r="V217" s="1" t="str">
        <f t="shared" si="124"/>
        <v>buy from the Grid</v>
      </c>
      <c r="X217" s="1">
        <f t="shared" si="125"/>
        <v>-1.754208217054264E-2</v>
      </c>
      <c r="Y217" s="1">
        <f t="shared" si="108"/>
        <v>1.754208217054264E-2</v>
      </c>
      <c r="AA217" s="1">
        <f t="shared" si="112"/>
        <v>75.40839197402714</v>
      </c>
      <c r="AC217" s="1">
        <f t="shared" si="123"/>
        <v>0.29596899224806206</v>
      </c>
      <c r="AD217" s="1">
        <f t="shared" si="113"/>
        <v>0.29596899224806206</v>
      </c>
    </row>
    <row r="218" spans="1:30" ht="15">
      <c r="A218" s="1">
        <v>217</v>
      </c>
      <c r="B218" s="1">
        <f t="shared" si="122"/>
        <v>0</v>
      </c>
      <c r="C218" s="1">
        <f t="shared" si="109"/>
        <v>0</v>
      </c>
      <c r="D218" s="1">
        <f t="shared" si="114"/>
        <v>1.2592149877471481E-2</v>
      </c>
      <c r="E218">
        <v>59.27</v>
      </c>
      <c r="K218" s="1">
        <f>'Solar Availability and Gener GR'!F218</f>
        <v>0</v>
      </c>
      <c r="L218" s="1">
        <v>0.29596899224806206</v>
      </c>
      <c r="M218" s="1">
        <f t="shared" si="110"/>
        <v>-0.29596899224806206</v>
      </c>
      <c r="N218" s="1" t="str">
        <f t="shared" si="111"/>
        <v>Buy from Grid</v>
      </c>
      <c r="V218" s="1" t="str">
        <f t="shared" si="124"/>
        <v>buy from the Grid</v>
      </c>
      <c r="X218" s="1">
        <f t="shared" si="125"/>
        <v>-1.754208217054264E-2</v>
      </c>
      <c r="Y218" s="1">
        <f t="shared" si="108"/>
        <v>1.754208217054264E-2</v>
      </c>
      <c r="AA218" s="1">
        <f t="shared" si="112"/>
        <v>75.112422981779076</v>
      </c>
      <c r="AC218" s="1">
        <f t="shared" si="123"/>
        <v>0.29596899224806206</v>
      </c>
      <c r="AD218" s="1">
        <f t="shared" si="113"/>
        <v>0.29596899224806206</v>
      </c>
    </row>
    <row r="219" spans="1:30" ht="15">
      <c r="A219" s="1">
        <v>218</v>
      </c>
      <c r="B219" s="1">
        <f t="shared" si="122"/>
        <v>0</v>
      </c>
      <c r="C219" s="1">
        <f t="shared" si="109"/>
        <v>0</v>
      </c>
      <c r="D219" s="1">
        <f t="shared" si="114"/>
        <v>1.2592149877471481E-2</v>
      </c>
      <c r="E219">
        <v>59.27</v>
      </c>
      <c r="K219" s="1">
        <f>'Solar Availability and Gener GR'!F219</f>
        <v>0</v>
      </c>
      <c r="L219" s="1">
        <v>0.29596899224806206</v>
      </c>
      <c r="M219" s="1">
        <f t="shared" si="110"/>
        <v>-0.29596899224806206</v>
      </c>
      <c r="N219" s="1" t="str">
        <f t="shared" si="111"/>
        <v>Buy from Grid</v>
      </c>
      <c r="V219" s="1" t="str">
        <f t="shared" si="124"/>
        <v>buy from the Grid</v>
      </c>
      <c r="X219" s="1">
        <f t="shared" si="125"/>
        <v>-1.754208217054264E-2</v>
      </c>
      <c r="Y219" s="1">
        <f t="shared" si="108"/>
        <v>1.754208217054264E-2</v>
      </c>
      <c r="AA219" s="1">
        <f t="shared" si="112"/>
        <v>74.816453989531013</v>
      </c>
      <c r="AC219" s="1">
        <f t="shared" si="123"/>
        <v>0.29596899224806206</v>
      </c>
      <c r="AD219" s="1">
        <f t="shared" si="113"/>
        <v>0.29596899224806206</v>
      </c>
    </row>
    <row r="220" spans="1:30" ht="15">
      <c r="A220" s="1">
        <v>219</v>
      </c>
      <c r="B220" s="1">
        <f t="shared" si="122"/>
        <v>0</v>
      </c>
      <c r="C220" s="1">
        <f t="shared" si="109"/>
        <v>0</v>
      </c>
      <c r="D220" s="1">
        <f t="shared" si="114"/>
        <v>1.2592149877471481E-2</v>
      </c>
      <c r="E220">
        <v>59.27</v>
      </c>
      <c r="K220" s="1">
        <f>'Solar Availability and Gener GR'!F220</f>
        <v>0</v>
      </c>
      <c r="L220" s="1">
        <v>0.29596899224806206</v>
      </c>
      <c r="M220" s="1">
        <f t="shared" si="110"/>
        <v>-0.29596899224806206</v>
      </c>
      <c r="N220" s="1" t="str">
        <f t="shared" si="111"/>
        <v>Buy from Grid</v>
      </c>
      <c r="V220" s="1" t="str">
        <f t="shared" si="124"/>
        <v>buy from the Grid</v>
      </c>
      <c r="X220" s="1">
        <f t="shared" si="125"/>
        <v>-1.754208217054264E-2</v>
      </c>
      <c r="Y220" s="1">
        <f t="shared" si="108"/>
        <v>1.754208217054264E-2</v>
      </c>
      <c r="AA220" s="1">
        <f t="shared" si="112"/>
        <v>74.520484997282949</v>
      </c>
      <c r="AC220" s="1">
        <f t="shared" si="123"/>
        <v>0.29596899224806206</v>
      </c>
      <c r="AD220" s="1">
        <f t="shared" si="113"/>
        <v>0.29596899224806206</v>
      </c>
    </row>
    <row r="221" spans="1:30" ht="15">
      <c r="A221" s="1">
        <v>220</v>
      </c>
      <c r="B221" s="1">
        <f t="shared" si="122"/>
        <v>0</v>
      </c>
      <c r="C221" s="1">
        <f t="shared" si="109"/>
        <v>0</v>
      </c>
      <c r="D221" s="1">
        <f t="shared" si="114"/>
        <v>1.2592149877471481E-2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110"/>
        <v>-0.39891472868217059</v>
      </c>
      <c r="N221" s="1" t="str">
        <f t="shared" si="111"/>
        <v>Buy from Grid</v>
      </c>
      <c r="V221" s="1" t="str">
        <f t="shared" si="124"/>
        <v>buy from the Grid</v>
      </c>
      <c r="X221" s="1">
        <f t="shared" si="125"/>
        <v>-2.364367596899225E-2</v>
      </c>
      <c r="Y221" s="1">
        <f t="shared" si="108"/>
        <v>2.364367596899225E-2</v>
      </c>
      <c r="AA221" s="1">
        <f t="shared" si="112"/>
        <v>74.121570268600777</v>
      </c>
      <c r="AC221" s="1">
        <f t="shared" si="123"/>
        <v>0.39891472868217059</v>
      </c>
      <c r="AD221" s="1">
        <f t="shared" si="113"/>
        <v>0.39891472868217059</v>
      </c>
    </row>
    <row r="222" spans="1:30" ht="15">
      <c r="A222" s="1">
        <v>221</v>
      </c>
      <c r="B222" s="1">
        <f t="shared" si="122"/>
        <v>0</v>
      </c>
      <c r="C222" s="1">
        <f t="shared" si="109"/>
        <v>0</v>
      </c>
      <c r="D222" s="1">
        <f t="shared" si="114"/>
        <v>1.2592149877471481E-2</v>
      </c>
      <c r="E222">
        <v>59.27</v>
      </c>
      <c r="K222" s="1">
        <f>'Solar Availability and Gener GR'!F222</f>
        <v>0</v>
      </c>
      <c r="L222" s="1">
        <v>0.51472868217054268</v>
      </c>
      <c r="M222" s="1">
        <f t="shared" si="110"/>
        <v>-0.51472868217054268</v>
      </c>
      <c r="N222" s="1" t="str">
        <f t="shared" si="111"/>
        <v>Buy from Grid</v>
      </c>
      <c r="V222" s="1" t="str">
        <f t="shared" si="124"/>
        <v>buy from the Grid</v>
      </c>
      <c r="X222" s="1">
        <f t="shared" si="125"/>
        <v>-3.0507968992248068E-2</v>
      </c>
      <c r="Y222" s="1">
        <f t="shared" si="108"/>
        <v>3.0507968992248068E-2</v>
      </c>
      <c r="AA222" s="1">
        <f t="shared" si="112"/>
        <v>73.606841586430235</v>
      </c>
      <c r="AC222" s="1">
        <f t="shared" si="123"/>
        <v>0.51472868217054268</v>
      </c>
      <c r="AD222" s="1">
        <f t="shared" si="113"/>
        <v>0.51472868217054268</v>
      </c>
    </row>
    <row r="223" spans="1:30" ht="15">
      <c r="A223" s="1">
        <v>222</v>
      </c>
      <c r="B223" s="1">
        <f t="shared" si="122"/>
        <v>0</v>
      </c>
      <c r="C223" s="1">
        <f t="shared" si="109"/>
        <v>0</v>
      </c>
      <c r="D223" s="1">
        <f t="shared" si="114"/>
        <v>1.2592149877471481E-2</v>
      </c>
      <c r="E223">
        <v>59.27</v>
      </c>
      <c r="K223" s="1">
        <f>'Solar Availability and Gener GR'!F223</f>
        <v>0</v>
      </c>
      <c r="L223" s="1">
        <v>0.65627906976744199</v>
      </c>
      <c r="M223" s="1">
        <f t="shared" si="110"/>
        <v>-0.65627906976744199</v>
      </c>
      <c r="N223" s="1" t="str">
        <f t="shared" si="111"/>
        <v>Buy from Grid</v>
      </c>
      <c r="V223" s="1" t="str">
        <f t="shared" si="124"/>
        <v>buy from the Grid</v>
      </c>
      <c r="X223" s="1">
        <f t="shared" si="125"/>
        <v>-3.8897660465116286E-2</v>
      </c>
      <c r="Y223" s="1">
        <f t="shared" si="108"/>
        <v>3.8897660465116286E-2</v>
      </c>
      <c r="AA223" s="1">
        <f t="shared" si="112"/>
        <v>72.950562516662799</v>
      </c>
      <c r="AC223" s="1">
        <f t="shared" si="123"/>
        <v>0.65627906976744199</v>
      </c>
      <c r="AD223" s="1">
        <f t="shared" si="113"/>
        <v>0.65627906976744199</v>
      </c>
    </row>
    <row r="224" spans="1:30" ht="15">
      <c r="A224" s="1">
        <v>223</v>
      </c>
      <c r="B224" s="1">
        <f t="shared" si="122"/>
        <v>0</v>
      </c>
      <c r="C224" s="1">
        <f t="shared" si="109"/>
        <v>0</v>
      </c>
      <c r="D224" s="1">
        <f t="shared" si="114"/>
        <v>1.2592149877471481E-2</v>
      </c>
      <c r="E224">
        <v>59.27</v>
      </c>
      <c r="K224" s="1">
        <f>'Solar Availability and Gener GR'!F224</f>
        <v>1.6611768895219918E-2</v>
      </c>
      <c r="L224" s="1">
        <v>0.65627906976744199</v>
      </c>
      <c r="M224" s="1">
        <f t="shared" si="110"/>
        <v>-0.63966730087222212</v>
      </c>
      <c r="N224" s="1" t="str">
        <f t="shared" si="111"/>
        <v>Buy from Grid</v>
      </c>
      <c r="V224" s="1" t="str">
        <f t="shared" si="124"/>
        <v>buy from the Grid</v>
      </c>
      <c r="X224" s="1">
        <f t="shared" si="125"/>
        <v>-3.7913080922696608E-2</v>
      </c>
      <c r="Y224" s="1">
        <f t="shared" si="108"/>
        <v>3.8897660465116286E-2</v>
      </c>
      <c r="AA224" s="1">
        <f t="shared" si="112"/>
        <v>72.31089521579058</v>
      </c>
      <c r="AC224" s="1">
        <f t="shared" si="123"/>
        <v>0.65627906976744199</v>
      </c>
      <c r="AD224" s="1">
        <f t="shared" si="113"/>
        <v>0.65627906976744199</v>
      </c>
    </row>
    <row r="225" spans="1:30" ht="15">
      <c r="A225" s="1">
        <v>224</v>
      </c>
      <c r="B225" s="1">
        <f t="shared" si="122"/>
        <v>0</v>
      </c>
      <c r="C225" s="1">
        <f t="shared" si="109"/>
        <v>0</v>
      </c>
      <c r="D225" s="1">
        <f t="shared" si="114"/>
        <v>1.2592149877471481E-2</v>
      </c>
      <c r="E225">
        <v>59.27</v>
      </c>
      <c r="K225" s="1">
        <f>'Solar Availability and Gener GR'!F225</f>
        <v>2.5785631621116648E-2</v>
      </c>
      <c r="L225" s="1">
        <v>0.39891472868217059</v>
      </c>
      <c r="M225" s="1">
        <f t="shared" si="110"/>
        <v>-0.37312909706105396</v>
      </c>
      <c r="N225" s="1" t="str">
        <f t="shared" si="111"/>
        <v>Buy from Grid</v>
      </c>
      <c r="V225" s="1" t="str">
        <f t="shared" si="124"/>
        <v>buy from the Grid</v>
      </c>
      <c r="X225" s="1">
        <f t="shared" si="125"/>
        <v>-2.2115361582808669E-2</v>
      </c>
      <c r="Y225" s="1">
        <f t="shared" si="108"/>
        <v>2.364367596899225E-2</v>
      </c>
      <c r="AA225" s="1">
        <f t="shared" si="112"/>
        <v>71.937766118729527</v>
      </c>
      <c r="AC225" s="1">
        <f t="shared" si="123"/>
        <v>0.39891472868217059</v>
      </c>
      <c r="AD225" s="1">
        <f t="shared" si="113"/>
        <v>0.39891472868217059</v>
      </c>
    </row>
    <row r="226" spans="1:30" ht="15">
      <c r="A226" s="1">
        <v>225</v>
      </c>
      <c r="B226" s="1">
        <f t="shared" si="122"/>
        <v>0</v>
      </c>
      <c r="C226" s="1">
        <f t="shared" si="109"/>
        <v>0</v>
      </c>
      <c r="D226" s="1">
        <f t="shared" si="114"/>
        <v>1.2592149877471481E-2</v>
      </c>
      <c r="E226">
        <v>59.27</v>
      </c>
      <c r="K226" s="1">
        <f>'Solar Availability and Gener GR'!F226</f>
        <v>0.1881643372206887</v>
      </c>
      <c r="L226" s="1">
        <v>0.39891472868217059</v>
      </c>
      <c r="M226" s="1">
        <f t="shared" si="110"/>
        <v>-0.21075039146148189</v>
      </c>
      <c r="N226" s="1" t="str">
        <f t="shared" si="111"/>
        <v>Buy from Grid</v>
      </c>
      <c r="V226" s="1" t="str">
        <f t="shared" si="124"/>
        <v>buy from the Grid</v>
      </c>
      <c r="X226" s="1">
        <f t="shared" si="125"/>
        <v>-1.2491175701922031E-2</v>
      </c>
      <c r="Y226" s="1">
        <f t="shared" si="108"/>
        <v>2.364367596899225E-2</v>
      </c>
      <c r="AA226" s="1">
        <f t="shared" si="112"/>
        <v>71.727015727268039</v>
      </c>
      <c r="AC226" s="1">
        <f t="shared" si="123"/>
        <v>0.39891472868217059</v>
      </c>
      <c r="AD226" s="1">
        <f t="shared" si="113"/>
        <v>0.39891472868217059</v>
      </c>
    </row>
    <row r="227" spans="1:30" ht="15">
      <c r="A227" s="1">
        <v>226</v>
      </c>
      <c r="B227" s="1">
        <f t="shared" si="122"/>
        <v>0</v>
      </c>
      <c r="C227" s="1">
        <f t="shared" si="109"/>
        <v>0</v>
      </c>
      <c r="D227" s="1">
        <f t="shared" si="114"/>
        <v>1.2592149877471481E-2</v>
      </c>
      <c r="E227">
        <v>59.27</v>
      </c>
      <c r="K227" s="1">
        <f>'Solar Availability and Gener GR'!F227</f>
        <v>0.6856093652630616</v>
      </c>
      <c r="L227" s="1">
        <v>0.39891472868217059</v>
      </c>
      <c r="M227" s="1">
        <f t="shared" si="110"/>
        <v>0.286694636580891</v>
      </c>
      <c r="N227" s="1" t="str">
        <f t="shared" si="111"/>
        <v>sell the surplus or charge</v>
      </c>
      <c r="O227" s="1">
        <v>0.25</v>
      </c>
      <c r="P227" s="1">
        <f t="shared" ref="P227:P234" si="126">0.25/L227</f>
        <v>0.62670034978624167</v>
      </c>
      <c r="Q227" s="1">
        <f t="shared" ref="Q227:Q234" si="127">K227-P227*L227</f>
        <v>0.4356093652630616</v>
      </c>
      <c r="R227" s="1">
        <f t="shared" ref="R227:R234" si="128">((1/(E227+0.01))*LN(0.25))+(E227*(K227-0.25))</f>
        <v>25.795181546734106</v>
      </c>
      <c r="S227" s="1">
        <f t="shared" ref="S227:S234" si="129">((1/(E227+0.01))*LN(L227))+(E227*(K227-L227))</f>
        <v>16.976888282930986</v>
      </c>
      <c r="T227" s="1">
        <f t="shared" ref="T227:T234" si="130">(S227+((S227^2)-4*(K227-L227*P227)*LN(L227*P227))^(0.5))/(2*(K227-L227*P227))</f>
        <v>39.054222193923451</v>
      </c>
      <c r="U227" s="1" t="str">
        <f t="shared" ref="U227:U234" si="131">IF(E227&gt;=T227*1.05,"sell to the Grid","charge")</f>
        <v>sell to the Grid</v>
      </c>
      <c r="W227" s="1">
        <f t="shared" ref="W227:W234" si="132">(Q227*E227)/1000</f>
        <v>2.5818567079141663E-2</v>
      </c>
      <c r="Y227" s="1">
        <f t="shared" si="108"/>
        <v>2.364367596899225E-2</v>
      </c>
      <c r="AA227" s="1">
        <f t="shared" si="112"/>
        <v>72.013710363848929</v>
      </c>
      <c r="AD227" s="1">
        <f t="shared" si="113"/>
        <v>0.25</v>
      </c>
    </row>
    <row r="228" spans="1:30" ht="15">
      <c r="A228" s="1">
        <v>227</v>
      </c>
      <c r="B228" s="1">
        <f t="shared" si="122"/>
        <v>0</v>
      </c>
      <c r="C228" s="1">
        <f t="shared" si="109"/>
        <v>0</v>
      </c>
      <c r="D228" s="1">
        <f t="shared" si="114"/>
        <v>1.2592149877471481E-2</v>
      </c>
      <c r="E228">
        <v>59.27</v>
      </c>
      <c r="K228" s="1">
        <f>'Solar Availability and Gener GR'!F228</f>
        <v>1.3745571085195381</v>
      </c>
      <c r="L228" s="1">
        <v>0.39891472868217059</v>
      </c>
      <c r="M228" s="1">
        <f t="shared" si="110"/>
        <v>0.97564237983736746</v>
      </c>
      <c r="N228" s="1" t="str">
        <f t="shared" si="111"/>
        <v>sell the surplus or charge</v>
      </c>
      <c r="O228" s="1">
        <v>0.25</v>
      </c>
      <c r="P228" s="1">
        <f t="shared" si="126"/>
        <v>0.62670034978624167</v>
      </c>
      <c r="Q228" s="1">
        <f t="shared" si="127"/>
        <v>1.1245571085195381</v>
      </c>
      <c r="R228" s="1">
        <f t="shared" si="128"/>
        <v>66.62911428954547</v>
      </c>
      <c r="S228" s="1">
        <f t="shared" si="129"/>
        <v>57.810821025742349</v>
      </c>
      <c r="T228" s="1">
        <f t="shared" si="130"/>
        <v>51.431603359400391</v>
      </c>
      <c r="U228" s="1" t="str">
        <f t="shared" si="131"/>
        <v>sell to the Grid</v>
      </c>
      <c r="W228" s="1">
        <f t="shared" si="132"/>
        <v>6.6652499821953023E-2</v>
      </c>
      <c r="Y228" s="1">
        <f t="shared" si="108"/>
        <v>2.364367596899225E-2</v>
      </c>
      <c r="AA228" s="1">
        <f t="shared" si="112"/>
        <v>72.989352743686297</v>
      </c>
      <c r="AD228" s="1">
        <f t="shared" si="113"/>
        <v>0.25</v>
      </c>
    </row>
    <row r="229" spans="1:30" ht="15">
      <c r="A229" s="1">
        <v>228</v>
      </c>
      <c r="B229" s="1">
        <f t="shared" si="122"/>
        <v>0</v>
      </c>
      <c r="C229" s="1">
        <f t="shared" si="109"/>
        <v>0</v>
      </c>
      <c r="D229" s="1">
        <f t="shared" si="114"/>
        <v>1.2592149877471481E-2</v>
      </c>
      <c r="E229">
        <v>59.27</v>
      </c>
      <c r="K229" s="1">
        <f>'Solar Availability and Gener GR'!F229</f>
        <v>1.7953930383690888</v>
      </c>
      <c r="L229" s="1">
        <v>0.39891472868217059</v>
      </c>
      <c r="M229" s="1">
        <f t="shared" si="110"/>
        <v>1.3964783096869182</v>
      </c>
      <c r="N229" s="1" t="str">
        <f t="shared" si="111"/>
        <v>sell the surplus or charge</v>
      </c>
      <c r="O229" s="1">
        <v>0.25</v>
      </c>
      <c r="P229" s="1">
        <f t="shared" si="126"/>
        <v>0.62670034978624167</v>
      </c>
      <c r="Q229" s="1">
        <f t="shared" si="127"/>
        <v>1.5453930383690888</v>
      </c>
      <c r="R229" s="1">
        <f t="shared" si="128"/>
        <v>91.572059851728341</v>
      </c>
      <c r="S229" s="1">
        <f t="shared" si="129"/>
        <v>82.753766587925227</v>
      </c>
      <c r="T229" s="1">
        <f t="shared" si="130"/>
        <v>53.565432821269418</v>
      </c>
      <c r="U229" s="1" t="str">
        <f t="shared" si="131"/>
        <v>sell to the Grid</v>
      </c>
      <c r="W229" s="1">
        <f t="shared" si="132"/>
        <v>9.1595445384135901E-2</v>
      </c>
      <c r="Y229" s="1">
        <f t="shared" si="108"/>
        <v>2.364367596899225E-2</v>
      </c>
      <c r="AA229" s="1">
        <f t="shared" si="112"/>
        <v>74.385831053373209</v>
      </c>
      <c r="AD229" s="1">
        <f t="shared" si="113"/>
        <v>0.25</v>
      </c>
    </row>
    <row r="230" spans="1:30" ht="15">
      <c r="A230" s="1">
        <v>229</v>
      </c>
      <c r="B230" s="1">
        <f t="shared" si="122"/>
        <v>0</v>
      </c>
      <c r="C230" s="1">
        <f t="shared" si="109"/>
        <v>0</v>
      </c>
      <c r="D230" s="1">
        <f t="shared" si="114"/>
        <v>1.2592149877471481E-2</v>
      </c>
      <c r="E230">
        <v>59.27</v>
      </c>
      <c r="K230" s="1">
        <f>'Solar Availability and Gener GR'!F230</f>
        <v>1.9768939731149291</v>
      </c>
      <c r="L230" s="1">
        <v>0.39891472868217059</v>
      </c>
      <c r="M230" s="1">
        <f t="shared" si="110"/>
        <v>1.5779792444327585</v>
      </c>
      <c r="N230" s="1" t="str">
        <f t="shared" si="111"/>
        <v>sell the surplus or charge</v>
      </c>
      <c r="O230" s="1">
        <v>0.25</v>
      </c>
      <c r="P230" s="1">
        <f t="shared" si="126"/>
        <v>0.62670034978624167</v>
      </c>
      <c r="Q230" s="1">
        <f t="shared" si="127"/>
        <v>1.7268939731149291</v>
      </c>
      <c r="R230" s="1">
        <f t="shared" si="128"/>
        <v>102.32962025411429</v>
      </c>
      <c r="S230" s="1">
        <f t="shared" si="129"/>
        <v>93.511326990311176</v>
      </c>
      <c r="T230" s="1">
        <f t="shared" si="130"/>
        <v>54.164831449036207</v>
      </c>
      <c r="U230" s="1" t="str">
        <f t="shared" si="131"/>
        <v>sell to the Grid</v>
      </c>
      <c r="W230" s="1">
        <f t="shared" si="132"/>
        <v>0.10235300578652184</v>
      </c>
      <c r="Y230" s="1">
        <f t="shared" si="108"/>
        <v>2.364367596899225E-2</v>
      </c>
      <c r="AA230" s="1">
        <f t="shared" si="112"/>
        <v>75.963810297805964</v>
      </c>
      <c r="AD230" s="1">
        <f t="shared" si="113"/>
        <v>0.25</v>
      </c>
    </row>
    <row r="231" spans="1:30" ht="15">
      <c r="A231" s="1">
        <v>230</v>
      </c>
      <c r="B231" s="1">
        <f t="shared" si="122"/>
        <v>0</v>
      </c>
      <c r="C231" s="1">
        <f t="shared" si="109"/>
        <v>0</v>
      </c>
      <c r="D231" s="1">
        <f t="shared" si="114"/>
        <v>1.2592149877471481E-2</v>
      </c>
      <c r="E231">
        <v>59.27</v>
      </c>
      <c r="K231" s="1">
        <f>'Solar Availability and Gener GR'!F231</f>
        <v>1.9956423039259323</v>
      </c>
      <c r="L231" s="1">
        <v>0.39891472868217059</v>
      </c>
      <c r="M231" s="1">
        <f t="shared" si="110"/>
        <v>1.5967275752437617</v>
      </c>
      <c r="N231" s="1" t="str">
        <f t="shared" si="111"/>
        <v>sell the surplus or charge</v>
      </c>
      <c r="O231" s="1">
        <v>0.25</v>
      </c>
      <c r="P231" s="1">
        <f t="shared" si="126"/>
        <v>0.62670034978624167</v>
      </c>
      <c r="Q231" s="1">
        <f t="shared" si="127"/>
        <v>1.7456423039259323</v>
      </c>
      <c r="R231" s="1">
        <f t="shared" si="128"/>
        <v>103.44083382128245</v>
      </c>
      <c r="S231" s="1">
        <f t="shared" si="129"/>
        <v>94.62254055747934</v>
      </c>
      <c r="T231" s="1">
        <f t="shared" si="130"/>
        <v>54.219646524016149</v>
      </c>
      <c r="U231" s="1" t="str">
        <f t="shared" si="131"/>
        <v>sell to the Grid</v>
      </c>
      <c r="W231" s="1">
        <f t="shared" si="132"/>
        <v>0.10346421935369002</v>
      </c>
      <c r="Y231" s="1">
        <f t="shared" si="108"/>
        <v>2.364367596899225E-2</v>
      </c>
      <c r="AA231" s="1">
        <f t="shared" si="112"/>
        <v>77.560537873049725</v>
      </c>
      <c r="AD231" s="1">
        <f t="shared" si="113"/>
        <v>0.25</v>
      </c>
    </row>
    <row r="232" spans="1:30" ht="15">
      <c r="A232" s="1">
        <v>231</v>
      </c>
      <c r="B232" s="1">
        <f t="shared" si="122"/>
        <v>0</v>
      </c>
      <c r="C232" s="1">
        <f t="shared" si="109"/>
        <v>0</v>
      </c>
      <c r="D232" s="1">
        <f t="shared" si="114"/>
        <v>1.2592149877471481E-2</v>
      </c>
      <c r="E232">
        <v>59.27</v>
      </c>
      <c r="K232" s="1">
        <f>'Solar Availability and Gener GR'!F232</f>
        <v>1.8611857918632597</v>
      </c>
      <c r="L232" s="1">
        <v>0.4117829457364342</v>
      </c>
      <c r="M232" s="1">
        <f t="shared" si="110"/>
        <v>1.4494028461268256</v>
      </c>
      <c r="N232" s="1" t="str">
        <f t="shared" si="111"/>
        <v>sell the surplus or charge</v>
      </c>
      <c r="O232" s="1">
        <v>0.25</v>
      </c>
      <c r="P232" s="1">
        <f t="shared" si="126"/>
        <v>0.60711596385542155</v>
      </c>
      <c r="Q232" s="1">
        <f t="shared" si="127"/>
        <v>1.6111857918632597</v>
      </c>
      <c r="R232" s="1">
        <f t="shared" si="128"/>
        <v>95.471596351327847</v>
      </c>
      <c r="S232" s="1">
        <f t="shared" si="129"/>
        <v>85.891139434552457</v>
      </c>
      <c r="T232" s="1">
        <f t="shared" si="130"/>
        <v>53.325405891662527</v>
      </c>
      <c r="U232" s="1" t="str">
        <f t="shared" si="131"/>
        <v>sell to the Grid</v>
      </c>
      <c r="W232" s="1">
        <f t="shared" si="132"/>
        <v>9.5494981883735411E-2</v>
      </c>
      <c r="Y232" s="1">
        <f t="shared" si="108"/>
        <v>2.4406375193798457E-2</v>
      </c>
      <c r="AA232" s="1">
        <f t="shared" si="112"/>
        <v>79.009940719176555</v>
      </c>
      <c r="AD232" s="1">
        <f t="shared" si="113"/>
        <v>0.25</v>
      </c>
    </row>
    <row r="233" spans="1:30" ht="15">
      <c r="A233" s="1">
        <v>232</v>
      </c>
      <c r="B233" s="1">
        <f t="shared" si="122"/>
        <v>0</v>
      </c>
      <c r="C233" s="1">
        <f t="shared" si="109"/>
        <v>0</v>
      </c>
      <c r="D233" s="1">
        <f t="shared" si="114"/>
        <v>1.2592149877471481E-2</v>
      </c>
      <c r="E233">
        <v>59.27</v>
      </c>
      <c r="K233" s="1">
        <f>'Solar Availability and Gener GR'!F233</f>
        <v>1.5639633223537788</v>
      </c>
      <c r="L233" s="1">
        <v>0.66914728682170543</v>
      </c>
      <c r="M233" s="1">
        <f t="shared" si="110"/>
        <v>0.89481603553207334</v>
      </c>
      <c r="N233" s="1" t="str">
        <f t="shared" si="111"/>
        <v>sell the surplus or charge</v>
      </c>
      <c r="O233" s="1">
        <v>0.25</v>
      </c>
      <c r="P233" s="1">
        <f t="shared" si="126"/>
        <v>0.3736098239110287</v>
      </c>
      <c r="Q233" s="1">
        <f t="shared" si="127"/>
        <v>1.3139633223537788</v>
      </c>
      <c r="R233" s="1">
        <f t="shared" si="128"/>
        <v>77.855220583500909</v>
      </c>
      <c r="S233" s="1">
        <f t="shared" si="129"/>
        <v>53.02896924846555</v>
      </c>
      <c r="T233" s="1">
        <f t="shared" si="130"/>
        <v>40.384153824542778</v>
      </c>
      <c r="U233" s="1" t="str">
        <f t="shared" si="131"/>
        <v>sell to the Grid</v>
      </c>
      <c r="W233" s="1">
        <f t="shared" si="132"/>
        <v>7.7878606115908466E-2</v>
      </c>
      <c r="Y233" s="1">
        <f t="shared" si="108"/>
        <v>3.9660359689922479E-2</v>
      </c>
      <c r="AA233" s="1">
        <f t="shared" si="112"/>
        <v>79.904756754708629</v>
      </c>
      <c r="AD233" s="1">
        <f t="shared" si="113"/>
        <v>0.25</v>
      </c>
    </row>
    <row r="234" spans="1:30" ht="15">
      <c r="A234" s="1">
        <v>233</v>
      </c>
      <c r="B234" s="1">
        <f t="shared" si="122"/>
        <v>0</v>
      </c>
      <c r="C234" s="1">
        <f t="shared" si="109"/>
        <v>0</v>
      </c>
      <c r="D234" s="1">
        <f t="shared" si="114"/>
        <v>1.2592149877471481E-2</v>
      </c>
      <c r="E234">
        <v>59.27</v>
      </c>
      <c r="K234" s="1">
        <f>'Solar Availability and Gener GR'!F234</f>
        <v>1.065690376569036</v>
      </c>
      <c r="L234" s="1">
        <v>0.65627906976744199</v>
      </c>
      <c r="M234" s="1">
        <f t="shared" si="110"/>
        <v>0.40941130680159399</v>
      </c>
      <c r="N234" s="1" t="str">
        <f t="shared" si="111"/>
        <v>sell the surplus or charge</v>
      </c>
      <c r="O234" s="1">
        <v>0.25</v>
      </c>
      <c r="P234" s="1">
        <f t="shared" si="126"/>
        <v>0.38093550673281351</v>
      </c>
      <c r="Q234" s="1">
        <f t="shared" si="127"/>
        <v>0.81569037656903598</v>
      </c>
      <c r="R234" s="1">
        <f t="shared" si="128"/>
        <v>48.322583086839217</v>
      </c>
      <c r="S234" s="1">
        <f t="shared" si="129"/>
        <v>24.258703411059138</v>
      </c>
      <c r="T234" s="1">
        <f t="shared" si="130"/>
        <v>29.797124672871306</v>
      </c>
      <c r="U234" s="1" t="str">
        <f t="shared" si="131"/>
        <v>sell to the Grid</v>
      </c>
      <c r="W234" s="1">
        <f t="shared" si="132"/>
        <v>4.8345968619246768E-2</v>
      </c>
      <c r="Y234" s="1">
        <f t="shared" si="108"/>
        <v>3.8897660465116286E-2</v>
      </c>
      <c r="AA234" s="1">
        <f t="shared" si="112"/>
        <v>80.314168061510216</v>
      </c>
      <c r="AD234" s="1">
        <f t="shared" si="113"/>
        <v>0.25</v>
      </c>
    </row>
    <row r="235" spans="1:30" ht="15">
      <c r="A235" s="1">
        <v>234</v>
      </c>
      <c r="B235" s="1">
        <f t="shared" si="122"/>
        <v>0</v>
      </c>
      <c r="C235" s="1">
        <f t="shared" si="109"/>
        <v>0</v>
      </c>
      <c r="D235" s="1">
        <f t="shared" si="114"/>
        <v>1.2592149877471481E-2</v>
      </c>
      <c r="E235">
        <v>59.27</v>
      </c>
      <c r="K235" s="1">
        <f>'Solar Availability and Gener GR'!F235</f>
        <v>0.46207157482417677</v>
      </c>
      <c r="L235" s="1">
        <v>0.66914728682170543</v>
      </c>
      <c r="M235" s="1">
        <f t="shared" si="110"/>
        <v>-0.20707571199752867</v>
      </c>
      <c r="N235" s="1" t="str">
        <f t="shared" si="111"/>
        <v>Buy from Grid</v>
      </c>
      <c r="V235" s="1" t="str">
        <f t="shared" ref="V235:V251" si="133">IF(D235+M235&gt;0,"discharge","buy from the Grid")</f>
        <v>buy from the Grid</v>
      </c>
      <c r="X235" s="1">
        <f t="shared" ref="X235:X251" si="134">(M235*E235)/1000</f>
        <v>-1.2273377450093525E-2</v>
      </c>
      <c r="Y235" s="1">
        <f t="shared" si="108"/>
        <v>3.9660359689922479E-2</v>
      </c>
      <c r="AA235" s="1">
        <f t="shared" si="112"/>
        <v>80.107092349512683</v>
      </c>
      <c r="AC235" s="1">
        <f t="shared" ref="AC235:AC251" si="135">L235</f>
        <v>0.66914728682170543</v>
      </c>
      <c r="AD235" s="1">
        <f t="shared" si="113"/>
        <v>0.66914728682170543</v>
      </c>
    </row>
    <row r="236" spans="1:30" ht="15">
      <c r="A236" s="1">
        <v>235</v>
      </c>
      <c r="B236" s="1">
        <f t="shared" si="122"/>
        <v>0</v>
      </c>
      <c r="C236" s="1">
        <f t="shared" si="109"/>
        <v>0</v>
      </c>
      <c r="D236" s="1">
        <f t="shared" si="114"/>
        <v>1.2592149877471481E-2</v>
      </c>
      <c r="E236">
        <v>59.27</v>
      </c>
      <c r="K236" s="1">
        <f>'Solar Availability and Gener GR'!F236</f>
        <v>5.9503249354580651E-2</v>
      </c>
      <c r="L236" s="1">
        <v>0.66914728682170543</v>
      </c>
      <c r="M236" s="1">
        <f t="shared" si="110"/>
        <v>-0.60964403746712481</v>
      </c>
      <c r="N236" s="1" t="str">
        <f t="shared" si="111"/>
        <v>Buy from Grid</v>
      </c>
      <c r="V236" s="1" t="str">
        <f t="shared" si="133"/>
        <v>buy from the Grid</v>
      </c>
      <c r="X236" s="1">
        <f t="shared" si="134"/>
        <v>-3.6133602100676489E-2</v>
      </c>
      <c r="Y236" s="1">
        <f t="shared" si="108"/>
        <v>3.9660359689922479E-2</v>
      </c>
      <c r="AA236" s="1">
        <f t="shared" si="112"/>
        <v>79.497448312045563</v>
      </c>
      <c r="AC236" s="1">
        <f t="shared" si="135"/>
        <v>0.66914728682170543</v>
      </c>
      <c r="AD236" s="1">
        <f t="shared" si="113"/>
        <v>0.66914728682170543</v>
      </c>
    </row>
    <row r="237" spans="1:30" ht="15">
      <c r="A237" s="1">
        <v>236</v>
      </c>
      <c r="B237" s="1">
        <f t="shared" si="122"/>
        <v>0</v>
      </c>
      <c r="C237" s="1">
        <f t="shared" si="109"/>
        <v>0</v>
      </c>
      <c r="D237" s="1">
        <f t="shared" si="114"/>
        <v>1.2592149877471481E-2</v>
      </c>
      <c r="E237">
        <v>59.27</v>
      </c>
      <c r="K237" s="1">
        <f>'Solar Availability and Gener GR'!F237</f>
        <v>0</v>
      </c>
      <c r="L237" s="1">
        <v>0.39891472868217059</v>
      </c>
      <c r="M237" s="1">
        <f t="shared" si="110"/>
        <v>-0.39891472868217059</v>
      </c>
      <c r="N237" s="1" t="str">
        <f t="shared" si="111"/>
        <v>Buy from Grid</v>
      </c>
      <c r="V237" s="1" t="str">
        <f t="shared" si="133"/>
        <v>buy from the Grid</v>
      </c>
      <c r="X237" s="1">
        <f t="shared" si="134"/>
        <v>-2.364367596899225E-2</v>
      </c>
      <c r="Y237" s="1">
        <f t="shared" si="108"/>
        <v>2.364367596899225E-2</v>
      </c>
      <c r="AA237" s="1">
        <f t="shared" si="112"/>
        <v>79.098533583363391</v>
      </c>
      <c r="AC237" s="1">
        <f t="shared" si="135"/>
        <v>0.39891472868217059</v>
      </c>
      <c r="AD237" s="1">
        <f t="shared" si="113"/>
        <v>0.39891472868217059</v>
      </c>
    </row>
    <row r="238" spans="1:30" ht="15">
      <c r="A238" s="1">
        <v>237</v>
      </c>
      <c r="B238" s="1">
        <f t="shared" si="122"/>
        <v>0</v>
      </c>
      <c r="C238" s="1">
        <f t="shared" si="109"/>
        <v>0</v>
      </c>
      <c r="D238" s="1">
        <f t="shared" si="114"/>
        <v>1.2592149877471481E-2</v>
      </c>
      <c r="E238">
        <v>59.27</v>
      </c>
      <c r="K238" s="1">
        <f>'Solar Availability and Gener GR'!F238</f>
        <v>0</v>
      </c>
      <c r="L238" s="1">
        <v>0.39891472868217059</v>
      </c>
      <c r="M238" s="1">
        <f t="shared" si="110"/>
        <v>-0.39891472868217059</v>
      </c>
      <c r="N238" s="1" t="str">
        <f t="shared" si="111"/>
        <v>Buy from Grid</v>
      </c>
      <c r="V238" s="1" t="str">
        <f t="shared" si="133"/>
        <v>buy from the Grid</v>
      </c>
      <c r="X238" s="1">
        <f t="shared" si="134"/>
        <v>-2.364367596899225E-2</v>
      </c>
      <c r="Y238" s="1">
        <f t="shared" si="108"/>
        <v>2.364367596899225E-2</v>
      </c>
      <c r="AA238" s="1">
        <f t="shared" si="112"/>
        <v>78.699618854681219</v>
      </c>
      <c r="AC238" s="1">
        <f t="shared" si="135"/>
        <v>0.39891472868217059</v>
      </c>
      <c r="AD238" s="1">
        <f t="shared" si="113"/>
        <v>0.39891472868217059</v>
      </c>
    </row>
    <row r="239" spans="1:30" ht="15">
      <c r="A239" s="1">
        <v>238</v>
      </c>
      <c r="B239" s="1">
        <f t="shared" si="122"/>
        <v>0</v>
      </c>
      <c r="C239" s="1">
        <f t="shared" si="109"/>
        <v>0</v>
      </c>
      <c r="D239" s="1">
        <f t="shared" si="114"/>
        <v>1.2592149877471481E-2</v>
      </c>
      <c r="E239">
        <v>59.27</v>
      </c>
      <c r="K239" s="1">
        <f>'Solar Availability and Gener GR'!F239</f>
        <v>0</v>
      </c>
      <c r="L239" s="1">
        <v>0.25736434108527134</v>
      </c>
      <c r="M239" s="1">
        <f t="shared" si="110"/>
        <v>-0.25736434108527134</v>
      </c>
      <c r="N239" s="1" t="str">
        <f t="shared" si="111"/>
        <v>Buy from Grid</v>
      </c>
      <c r="V239" s="1" t="str">
        <f t="shared" si="133"/>
        <v>buy from the Grid</v>
      </c>
      <c r="X239" s="1">
        <f t="shared" si="134"/>
        <v>-1.5253984496124034E-2</v>
      </c>
      <c r="Y239" s="1">
        <f t="shared" si="108"/>
        <v>1.5253984496124034E-2</v>
      </c>
      <c r="AA239" s="1">
        <f t="shared" si="112"/>
        <v>78.442254513595941</v>
      </c>
      <c r="AC239" s="1">
        <f t="shared" si="135"/>
        <v>0.25736434108527134</v>
      </c>
      <c r="AD239" s="1">
        <f t="shared" si="113"/>
        <v>0.25736434108527134</v>
      </c>
    </row>
    <row r="240" spans="1:30" ht="15">
      <c r="A240" s="1">
        <v>239</v>
      </c>
      <c r="B240" s="1">
        <f t="shared" si="122"/>
        <v>0</v>
      </c>
      <c r="C240" s="1">
        <f t="shared" si="109"/>
        <v>0</v>
      </c>
      <c r="D240" s="1">
        <f t="shared" si="114"/>
        <v>1.2592149877471481E-2</v>
      </c>
      <c r="E240">
        <v>59.27</v>
      </c>
      <c r="K240" s="1">
        <f>'Solar Availability and Gener GR'!F240</f>
        <v>0</v>
      </c>
      <c r="L240" s="1">
        <v>0.25736434108527134</v>
      </c>
      <c r="M240" s="1">
        <f t="shared" si="110"/>
        <v>-0.25736434108527134</v>
      </c>
      <c r="N240" s="1" t="str">
        <f t="shared" si="111"/>
        <v>Buy from Grid</v>
      </c>
      <c r="V240" s="1" t="str">
        <f t="shared" si="133"/>
        <v>buy from the Grid</v>
      </c>
      <c r="X240" s="1">
        <f t="shared" si="134"/>
        <v>-1.5253984496124034E-2</v>
      </c>
      <c r="Y240" s="1">
        <f t="shared" si="108"/>
        <v>1.5253984496124034E-2</v>
      </c>
      <c r="AA240" s="1">
        <f t="shared" si="112"/>
        <v>78.184890172510663</v>
      </c>
      <c r="AC240" s="1">
        <f t="shared" si="135"/>
        <v>0.25736434108527134</v>
      </c>
      <c r="AD240" s="1">
        <f t="shared" si="113"/>
        <v>0.25736434108527134</v>
      </c>
    </row>
    <row r="241" spans="1:30" ht="15">
      <c r="A241" s="1">
        <v>240</v>
      </c>
      <c r="B241" s="1">
        <f t="shared" si="122"/>
        <v>0</v>
      </c>
      <c r="C241" s="1">
        <f t="shared" si="109"/>
        <v>0</v>
      </c>
      <c r="D241" s="1">
        <f t="shared" si="114"/>
        <v>1.2592149877471481E-2</v>
      </c>
      <c r="E241">
        <v>59.27</v>
      </c>
      <c r="K241" s="1">
        <f>'Solar Availability and Gener GR'!F241</f>
        <v>0</v>
      </c>
      <c r="L241" s="1">
        <v>0.19302325581395352</v>
      </c>
      <c r="M241" s="1">
        <f t="shared" si="110"/>
        <v>-0.19302325581395352</v>
      </c>
      <c r="N241" s="1" t="str">
        <f t="shared" si="111"/>
        <v>Buy from Grid</v>
      </c>
      <c r="V241" s="1" t="str">
        <f t="shared" si="133"/>
        <v>buy from the Grid</v>
      </c>
      <c r="X241" s="1">
        <f t="shared" si="134"/>
        <v>-1.1440488372093025E-2</v>
      </c>
      <c r="Y241" s="1">
        <f t="shared" si="108"/>
        <v>1.1440488372093025E-2</v>
      </c>
      <c r="AA241" s="1">
        <f t="shared" si="112"/>
        <v>77.991866916696708</v>
      </c>
      <c r="AC241" s="1">
        <f t="shared" si="135"/>
        <v>0.19302325581395352</v>
      </c>
      <c r="AD241" s="1">
        <f t="shared" si="113"/>
        <v>0.19302325581395352</v>
      </c>
    </row>
    <row r="242" spans="1:30" ht="15">
      <c r="A242" s="1">
        <v>241</v>
      </c>
      <c r="B242" s="1">
        <f t="shared" si="122"/>
        <v>0</v>
      </c>
      <c r="C242" s="1">
        <f t="shared" si="109"/>
        <v>0</v>
      </c>
      <c r="D242" s="1">
        <f t="shared" si="114"/>
        <v>1.2592149877471481E-2</v>
      </c>
      <c r="E242">
        <v>59.27</v>
      </c>
      <c r="K242" s="1">
        <f>'Solar Availability and Gener GR'!F242</f>
        <v>0</v>
      </c>
      <c r="L242" s="1">
        <v>0.19302325581395352</v>
      </c>
      <c r="M242" s="1">
        <f t="shared" si="110"/>
        <v>-0.19302325581395352</v>
      </c>
      <c r="N242" s="1" t="str">
        <f t="shared" si="111"/>
        <v>Buy from Grid</v>
      </c>
      <c r="V242" s="1" t="str">
        <f t="shared" si="133"/>
        <v>buy from the Grid</v>
      </c>
      <c r="X242" s="1">
        <f t="shared" si="134"/>
        <v>-1.1440488372093025E-2</v>
      </c>
      <c r="Y242" s="1">
        <f t="shared" si="108"/>
        <v>1.1440488372093025E-2</v>
      </c>
      <c r="AA242" s="1">
        <f t="shared" si="112"/>
        <v>77.798843660882753</v>
      </c>
      <c r="AC242" s="1">
        <f t="shared" si="135"/>
        <v>0.19302325581395352</v>
      </c>
      <c r="AD242" s="1">
        <f t="shared" si="113"/>
        <v>0.19302325581395352</v>
      </c>
    </row>
    <row r="243" spans="1:30" ht="15">
      <c r="A243" s="1">
        <v>242</v>
      </c>
      <c r="B243" s="1">
        <f t="shared" si="122"/>
        <v>0</v>
      </c>
      <c r="C243" s="1">
        <f t="shared" si="109"/>
        <v>0</v>
      </c>
      <c r="D243" s="1">
        <f t="shared" si="114"/>
        <v>1.2592149877471481E-2</v>
      </c>
      <c r="E243">
        <v>59.27</v>
      </c>
      <c r="K243" s="1">
        <f>'Solar Availability and Gener GR'!F243</f>
        <v>0</v>
      </c>
      <c r="L243" s="1">
        <v>0.19302325581395352</v>
      </c>
      <c r="M243" s="1">
        <f t="shared" si="110"/>
        <v>-0.19302325581395352</v>
      </c>
      <c r="N243" s="1" t="str">
        <f t="shared" si="111"/>
        <v>Buy from Grid</v>
      </c>
      <c r="V243" s="1" t="str">
        <f t="shared" si="133"/>
        <v>buy from the Grid</v>
      </c>
      <c r="X243" s="1">
        <f t="shared" si="134"/>
        <v>-1.1440488372093025E-2</v>
      </c>
      <c r="Y243" s="1">
        <f t="shared" si="108"/>
        <v>1.1440488372093025E-2</v>
      </c>
      <c r="AA243" s="1">
        <f t="shared" si="112"/>
        <v>77.605820405068798</v>
      </c>
      <c r="AC243" s="1">
        <f t="shared" si="135"/>
        <v>0.19302325581395352</v>
      </c>
      <c r="AD243" s="1">
        <f t="shared" si="113"/>
        <v>0.19302325581395352</v>
      </c>
    </row>
    <row r="244" spans="1:30" ht="15">
      <c r="A244" s="1">
        <v>243</v>
      </c>
      <c r="B244" s="1">
        <f t="shared" si="122"/>
        <v>0</v>
      </c>
      <c r="C244" s="1">
        <f t="shared" si="109"/>
        <v>0</v>
      </c>
      <c r="D244" s="1">
        <f t="shared" si="114"/>
        <v>1.2592149877471481E-2</v>
      </c>
      <c r="E244">
        <v>59.27</v>
      </c>
      <c r="K244" s="1">
        <f>'Solar Availability and Gener GR'!F244</f>
        <v>0</v>
      </c>
      <c r="L244" s="1">
        <v>0.19302325581395352</v>
      </c>
      <c r="M244" s="1">
        <f t="shared" si="110"/>
        <v>-0.19302325581395352</v>
      </c>
      <c r="N244" s="1" t="str">
        <f t="shared" si="111"/>
        <v>Buy from Grid</v>
      </c>
      <c r="V244" s="1" t="str">
        <f t="shared" si="133"/>
        <v>buy from the Grid</v>
      </c>
      <c r="X244" s="1">
        <f t="shared" si="134"/>
        <v>-1.1440488372093025E-2</v>
      </c>
      <c r="Y244" s="1">
        <f t="shared" si="108"/>
        <v>1.1440488372093025E-2</v>
      </c>
      <c r="AA244" s="1">
        <f t="shared" si="112"/>
        <v>77.412797149254843</v>
      </c>
      <c r="AC244" s="1">
        <f t="shared" si="135"/>
        <v>0.19302325581395352</v>
      </c>
      <c r="AD244" s="1">
        <f t="shared" si="113"/>
        <v>0.19302325581395352</v>
      </c>
    </row>
    <row r="245" spans="1:30" ht="15">
      <c r="A245" s="1">
        <v>244</v>
      </c>
      <c r="B245" s="1">
        <f t="shared" si="122"/>
        <v>0</v>
      </c>
      <c r="C245" s="1">
        <f t="shared" si="109"/>
        <v>0</v>
      </c>
      <c r="D245" s="1">
        <f t="shared" si="114"/>
        <v>1.2592149877471481E-2</v>
      </c>
      <c r="E245">
        <v>59.27</v>
      </c>
      <c r="K245" s="1">
        <f>'Solar Availability and Gener GR'!F245</f>
        <v>0</v>
      </c>
      <c r="L245" s="1">
        <v>0.19302325581395352</v>
      </c>
      <c r="M245" s="1">
        <f t="shared" si="110"/>
        <v>-0.19302325581395352</v>
      </c>
      <c r="N245" s="1" t="str">
        <f t="shared" si="111"/>
        <v>Buy from Grid</v>
      </c>
      <c r="V245" s="1" t="str">
        <f t="shared" si="133"/>
        <v>buy from the Grid</v>
      </c>
      <c r="X245" s="1">
        <f t="shared" si="134"/>
        <v>-1.1440488372093025E-2</v>
      </c>
      <c r="Y245" s="1">
        <f t="shared" si="108"/>
        <v>1.1440488372093025E-2</v>
      </c>
      <c r="AA245" s="1">
        <f t="shared" si="112"/>
        <v>77.219773893440887</v>
      </c>
      <c r="AC245" s="1">
        <f t="shared" si="135"/>
        <v>0.19302325581395352</v>
      </c>
      <c r="AD245" s="1">
        <f t="shared" si="113"/>
        <v>0.19302325581395352</v>
      </c>
    </row>
    <row r="246" spans="1:30" ht="15">
      <c r="A246" s="1">
        <v>245</v>
      </c>
      <c r="B246" s="1">
        <f t="shared" si="122"/>
        <v>0</v>
      </c>
      <c r="C246" s="1">
        <f t="shared" si="109"/>
        <v>0</v>
      </c>
      <c r="D246" s="1">
        <f t="shared" si="114"/>
        <v>1.2592149877471481E-2</v>
      </c>
      <c r="E246">
        <v>59.27</v>
      </c>
      <c r="K246" s="1">
        <f>'Solar Availability and Gener GR'!F246</f>
        <v>0</v>
      </c>
      <c r="L246" s="1">
        <v>0.19302325581395352</v>
      </c>
      <c r="M246" s="1">
        <f t="shared" si="110"/>
        <v>-0.19302325581395352</v>
      </c>
      <c r="N246" s="1" t="str">
        <f t="shared" si="111"/>
        <v>Buy from Grid</v>
      </c>
      <c r="V246" s="1" t="str">
        <f t="shared" si="133"/>
        <v>buy from the Grid</v>
      </c>
      <c r="X246" s="1">
        <f t="shared" si="134"/>
        <v>-1.1440488372093025E-2</v>
      </c>
      <c r="Y246" s="1">
        <f t="shared" si="108"/>
        <v>1.1440488372093025E-2</v>
      </c>
      <c r="AA246" s="1">
        <f t="shared" si="112"/>
        <v>77.026750637626932</v>
      </c>
      <c r="AC246" s="1">
        <f t="shared" si="135"/>
        <v>0.19302325581395352</v>
      </c>
      <c r="AD246" s="1">
        <f t="shared" si="113"/>
        <v>0.19302325581395352</v>
      </c>
    </row>
    <row r="247" spans="1:30" ht="15">
      <c r="A247" s="1">
        <v>246</v>
      </c>
      <c r="B247" s="1">
        <f t="shared" si="122"/>
        <v>0</v>
      </c>
      <c r="C247" s="1">
        <f t="shared" si="109"/>
        <v>0</v>
      </c>
      <c r="D247" s="1">
        <f t="shared" si="114"/>
        <v>1.2592149877471481E-2</v>
      </c>
      <c r="E247">
        <v>59.27</v>
      </c>
      <c r="K247" s="1">
        <f>'Solar Availability and Gener GR'!F247</f>
        <v>0</v>
      </c>
      <c r="L247" s="1">
        <v>0.25736434108527134</v>
      </c>
      <c r="M247" s="1">
        <f t="shared" si="110"/>
        <v>-0.25736434108527134</v>
      </c>
      <c r="N247" s="1" t="str">
        <f t="shared" si="111"/>
        <v>Buy from Grid</v>
      </c>
      <c r="V247" s="1" t="str">
        <f t="shared" si="133"/>
        <v>buy from the Grid</v>
      </c>
      <c r="X247" s="1">
        <f t="shared" si="134"/>
        <v>-1.5253984496124034E-2</v>
      </c>
      <c r="Y247" s="1">
        <f t="shared" si="108"/>
        <v>1.5253984496124034E-2</v>
      </c>
      <c r="AA247" s="1">
        <f t="shared" si="112"/>
        <v>76.769386296541654</v>
      </c>
      <c r="AC247" s="1">
        <f t="shared" si="135"/>
        <v>0.25736434108527134</v>
      </c>
      <c r="AD247" s="1">
        <f t="shared" si="113"/>
        <v>0.25736434108527134</v>
      </c>
    </row>
    <row r="248" spans="1:30" ht="15">
      <c r="A248" s="1">
        <v>247</v>
      </c>
      <c r="B248" s="1">
        <f t="shared" si="122"/>
        <v>0</v>
      </c>
      <c r="C248" s="1">
        <f t="shared" si="109"/>
        <v>0</v>
      </c>
      <c r="D248" s="1">
        <f t="shared" si="114"/>
        <v>1.2592149877471481E-2</v>
      </c>
      <c r="E248">
        <v>59.27</v>
      </c>
      <c r="K248" s="1">
        <f>'Solar Availability and Gener GR'!F248</f>
        <v>1.6611768895219918E-2</v>
      </c>
      <c r="L248" s="1">
        <v>0.66914728682170543</v>
      </c>
      <c r="M248" s="1">
        <f t="shared" si="110"/>
        <v>-0.65253551792648556</v>
      </c>
      <c r="N248" s="1" t="str">
        <f t="shared" si="111"/>
        <v>Buy from Grid</v>
      </c>
      <c r="V248" s="1" t="str">
        <f t="shared" si="133"/>
        <v>buy from the Grid</v>
      </c>
      <c r="X248" s="1">
        <f t="shared" si="134"/>
        <v>-3.8675780147502802E-2</v>
      </c>
      <c r="Y248" s="1">
        <f t="shared" si="108"/>
        <v>3.9660359689922479E-2</v>
      </c>
      <c r="AA248" s="1">
        <f t="shared" si="112"/>
        <v>76.116850778615174</v>
      </c>
      <c r="AC248" s="1">
        <f t="shared" si="135"/>
        <v>0.66914728682170543</v>
      </c>
      <c r="AD248" s="1">
        <f t="shared" si="113"/>
        <v>0.66914728682170543</v>
      </c>
    </row>
    <row r="249" spans="1:30" ht="15">
      <c r="A249" s="1">
        <v>248</v>
      </c>
      <c r="B249" s="1">
        <f t="shared" si="122"/>
        <v>0</v>
      </c>
      <c r="C249" s="1">
        <f t="shared" si="109"/>
        <v>0</v>
      </c>
      <c r="D249" s="1">
        <f t="shared" si="114"/>
        <v>1.2592149877471481E-2</v>
      </c>
      <c r="E249">
        <v>59.27</v>
      </c>
      <c r="K249" s="1">
        <f>'Solar Availability and Gener GR'!F249</f>
        <v>2.5785631621116648E-2</v>
      </c>
      <c r="L249" s="1">
        <v>0.39891472868217059</v>
      </c>
      <c r="M249" s="1">
        <f t="shared" si="110"/>
        <v>-0.37312909706105396</v>
      </c>
      <c r="N249" s="1" t="str">
        <f t="shared" si="111"/>
        <v>Buy from Grid</v>
      </c>
      <c r="V249" s="1" t="str">
        <f t="shared" si="133"/>
        <v>buy from the Grid</v>
      </c>
      <c r="X249" s="1">
        <f t="shared" si="134"/>
        <v>-2.2115361582808669E-2</v>
      </c>
      <c r="Y249" s="1">
        <f t="shared" si="108"/>
        <v>2.364367596899225E-2</v>
      </c>
      <c r="AA249" s="1">
        <f t="shared" si="112"/>
        <v>75.743721681554121</v>
      </c>
      <c r="AC249" s="1">
        <f t="shared" si="135"/>
        <v>0.39891472868217059</v>
      </c>
      <c r="AD249" s="1">
        <f t="shared" si="113"/>
        <v>0.39891472868217059</v>
      </c>
    </row>
    <row r="250" spans="1:30" ht="15">
      <c r="A250" s="1">
        <v>249</v>
      </c>
      <c r="B250" s="1">
        <f t="shared" si="122"/>
        <v>0</v>
      </c>
      <c r="C250" s="1">
        <f t="shared" si="109"/>
        <v>0</v>
      </c>
      <c r="D250" s="1">
        <f t="shared" si="114"/>
        <v>1.2592149877471481E-2</v>
      </c>
      <c r="E250">
        <v>59.27</v>
      </c>
      <c r="K250" s="1">
        <f>'Solar Availability and Gener GR'!F250</f>
        <v>7.3257366687438957E-2</v>
      </c>
      <c r="L250" s="1">
        <v>0.39891472868217059</v>
      </c>
      <c r="M250" s="1">
        <f t="shared" si="110"/>
        <v>-0.32565736199473161</v>
      </c>
      <c r="N250" s="1" t="str">
        <f t="shared" si="111"/>
        <v>Buy from Grid</v>
      </c>
      <c r="V250" s="1" t="str">
        <f t="shared" si="133"/>
        <v>buy from the Grid</v>
      </c>
      <c r="X250" s="1">
        <f t="shared" si="134"/>
        <v>-1.9301711845427744E-2</v>
      </c>
      <c r="Y250" s="1">
        <f t="shared" si="108"/>
        <v>2.364367596899225E-2</v>
      </c>
      <c r="AA250" s="1">
        <f t="shared" si="112"/>
        <v>75.418064319559392</v>
      </c>
      <c r="AC250" s="1">
        <f t="shared" si="135"/>
        <v>0.39891472868217059</v>
      </c>
      <c r="AD250" s="1">
        <f t="shared" si="113"/>
        <v>0.39891472868217059</v>
      </c>
    </row>
    <row r="251" spans="1:30" ht="15">
      <c r="A251" s="1">
        <v>250</v>
      </c>
      <c r="B251" s="1">
        <f t="shared" si="122"/>
        <v>0</v>
      </c>
      <c r="C251" s="1">
        <f t="shared" si="109"/>
        <v>0</v>
      </c>
      <c r="D251" s="1">
        <f t="shared" si="114"/>
        <v>1.2592149877471481E-2</v>
      </c>
      <c r="E251">
        <v>59.27</v>
      </c>
      <c r="K251" s="1">
        <f>'Solar Availability and Gener GR'!F251</f>
        <v>0.36966527196652443</v>
      </c>
      <c r="L251" s="1">
        <v>0.39891472868217059</v>
      </c>
      <c r="M251" s="1">
        <f t="shared" si="110"/>
        <v>-2.924945671564616E-2</v>
      </c>
      <c r="N251" s="1" t="str">
        <f t="shared" si="111"/>
        <v>Buy from Grid</v>
      </c>
      <c r="V251" s="1" t="str">
        <f t="shared" si="133"/>
        <v>buy from the Grid</v>
      </c>
      <c r="X251" s="1">
        <f t="shared" si="134"/>
        <v>-1.7336152995363482E-3</v>
      </c>
      <c r="Y251" s="1">
        <f t="shared" si="108"/>
        <v>2.364367596899225E-2</v>
      </c>
      <c r="AA251" s="1">
        <f t="shared" si="112"/>
        <v>75.388814862843745</v>
      </c>
      <c r="AC251" s="1">
        <f t="shared" si="135"/>
        <v>0.39891472868217059</v>
      </c>
      <c r="AD251" s="1">
        <f t="shared" si="113"/>
        <v>0.39891472868217059</v>
      </c>
    </row>
    <row r="252" spans="1:30" ht="15">
      <c r="A252" s="1">
        <v>251</v>
      </c>
      <c r="B252" s="1">
        <f t="shared" si="122"/>
        <v>0</v>
      </c>
      <c r="C252" s="1">
        <f t="shared" si="109"/>
        <v>0</v>
      </c>
      <c r="D252" s="1">
        <f t="shared" si="114"/>
        <v>1.2592149877471481E-2</v>
      </c>
      <c r="E252">
        <v>59.27</v>
      </c>
      <c r="K252" s="1">
        <f>'Solar Availability and Gener GR'!F252</f>
        <v>0.79054126235199706</v>
      </c>
      <c r="L252" s="1">
        <v>0.39891472868217059</v>
      </c>
      <c r="M252" s="1">
        <f t="shared" si="110"/>
        <v>0.39162653366982647</v>
      </c>
      <c r="N252" s="1" t="str">
        <f t="shared" si="111"/>
        <v>sell the surplus or charge</v>
      </c>
      <c r="O252" s="1">
        <v>0.25</v>
      </c>
      <c r="P252" s="1">
        <f t="shared" ref="P252:P257" si="136">0.25/L252</f>
        <v>0.62670034978624167</v>
      </c>
      <c r="Q252" s="1">
        <f t="shared" ref="Q252:Q257" si="137">K252-P252*L252</f>
        <v>0.54054126235199706</v>
      </c>
      <c r="R252" s="1">
        <f t="shared" ref="R252:R257" si="138">((1/(E252+0.01))*LN(0.25))+(E252*(K252-0.25))</f>
        <v>32.014495087195314</v>
      </c>
      <c r="S252" s="1">
        <f t="shared" ref="S252:S257" si="139">((1/(E252+0.01))*LN(L252))+(E252*(K252-L252))</f>
        <v>23.196201823392194</v>
      </c>
      <c r="T252" s="1">
        <f t="shared" ref="T252:T257" si="140">(S252+((S252^2)-4*(K252-L252*P252)*LN(L252*P252))^(0.5))/(2*(K252-L252*P252))</f>
        <v>42.972596920217399</v>
      </c>
      <c r="U252" s="1" t="str">
        <f t="shared" ref="U252:U257" si="141">IF(E252&gt;=T252*1.05,"sell to the Grid","charge")</f>
        <v>sell to the Grid</v>
      </c>
      <c r="W252" s="1">
        <f t="shared" ref="W252:W257" si="142">(Q252*E252)/1000</f>
        <v>3.2037880619602867E-2</v>
      </c>
      <c r="Y252" s="1">
        <f t="shared" si="108"/>
        <v>2.364367596899225E-2</v>
      </c>
      <c r="AA252" s="1">
        <f t="shared" si="112"/>
        <v>75.780441396513567</v>
      </c>
      <c r="AD252" s="1">
        <f t="shared" si="113"/>
        <v>0.25</v>
      </c>
    </row>
    <row r="253" spans="1:30" ht="15">
      <c r="A253" s="1">
        <v>252</v>
      </c>
      <c r="B253" s="1">
        <f t="shared" si="122"/>
        <v>0</v>
      </c>
      <c r="C253" s="1">
        <f t="shared" si="109"/>
        <v>0</v>
      </c>
      <c r="D253" s="1">
        <f t="shared" si="114"/>
        <v>1.2592149877471481E-2</v>
      </c>
      <c r="E253">
        <v>59.27</v>
      </c>
      <c r="K253" s="1">
        <f>'Solar Availability and Gener GR'!F253</f>
        <v>1.3741431496483572</v>
      </c>
      <c r="L253" s="1">
        <v>0.39891472868217059</v>
      </c>
      <c r="M253" s="1">
        <f t="shared" si="110"/>
        <v>0.97522842096618656</v>
      </c>
      <c r="N253" s="1" t="str">
        <f t="shared" si="111"/>
        <v>sell the surplus or charge</v>
      </c>
      <c r="O253" s="1">
        <v>0.25</v>
      </c>
      <c r="P253" s="1">
        <f t="shared" si="136"/>
        <v>0.62670034978624167</v>
      </c>
      <c r="Q253" s="1">
        <f t="shared" si="137"/>
        <v>1.1241431496483572</v>
      </c>
      <c r="R253" s="1">
        <f t="shared" si="138"/>
        <v>66.604578947250573</v>
      </c>
      <c r="S253" s="1">
        <f t="shared" si="139"/>
        <v>57.78628568344746</v>
      </c>
      <c r="T253" s="1">
        <f t="shared" si="140"/>
        <v>51.42871826266893</v>
      </c>
      <c r="U253" s="1" t="str">
        <f t="shared" si="141"/>
        <v>sell to the Grid</v>
      </c>
      <c r="W253" s="1">
        <f t="shared" si="142"/>
        <v>6.6627964479658131E-2</v>
      </c>
      <c r="Y253" s="1">
        <f t="shared" si="108"/>
        <v>2.364367596899225E-2</v>
      </c>
      <c r="AA253" s="1">
        <f t="shared" si="112"/>
        <v>76.755669817479756</v>
      </c>
      <c r="AD253" s="1">
        <f t="shared" si="113"/>
        <v>0.25</v>
      </c>
    </row>
    <row r="254" spans="1:30" ht="15">
      <c r="A254" s="1">
        <v>253</v>
      </c>
      <c r="B254" s="1">
        <f t="shared" si="122"/>
        <v>0</v>
      </c>
      <c r="C254" s="1">
        <f t="shared" si="109"/>
        <v>0</v>
      </c>
      <c r="D254" s="1">
        <f t="shared" si="114"/>
        <v>1.2592149877471481E-2</v>
      </c>
      <c r="E254">
        <v>59.27</v>
      </c>
      <c r="K254" s="1">
        <f>'Solar Availability and Gener GR'!F254</f>
        <v>1.5444</v>
      </c>
      <c r="L254" s="1">
        <v>0.39891472868217059</v>
      </c>
      <c r="M254" s="1">
        <f t="shared" si="110"/>
        <v>1.1454852713178294</v>
      </c>
      <c r="N254" s="1" t="str">
        <f t="shared" si="111"/>
        <v>sell the surplus or charge</v>
      </c>
      <c r="O254" s="1">
        <v>0.25</v>
      </c>
      <c r="P254" s="1">
        <f t="shared" si="136"/>
        <v>0.62670034978624167</v>
      </c>
      <c r="Q254" s="1">
        <f t="shared" si="137"/>
        <v>1.2944</v>
      </c>
      <c r="R254" s="1">
        <f t="shared" si="138"/>
        <v>76.69570246759244</v>
      </c>
      <c r="S254" s="1">
        <f t="shared" si="139"/>
        <v>67.877409203789327</v>
      </c>
      <c r="T254" s="1">
        <f t="shared" si="140"/>
        <v>52.459699548758564</v>
      </c>
      <c r="U254" s="1" t="str">
        <f t="shared" si="141"/>
        <v>sell to the Grid</v>
      </c>
      <c r="W254" s="1">
        <f t="shared" si="142"/>
        <v>7.6719088000000005E-2</v>
      </c>
      <c r="Y254" s="1">
        <f t="shared" si="108"/>
        <v>2.364367596899225E-2</v>
      </c>
      <c r="AA254" s="1">
        <f t="shared" si="112"/>
        <v>77.90115508879758</v>
      </c>
      <c r="AD254" s="1">
        <f t="shared" si="113"/>
        <v>0.25</v>
      </c>
    </row>
    <row r="255" spans="1:30" ht="15">
      <c r="A255" s="1">
        <v>254</v>
      </c>
      <c r="B255" s="1">
        <f t="shared" si="122"/>
        <v>0</v>
      </c>
      <c r="C255" s="1">
        <f t="shared" si="109"/>
        <v>0</v>
      </c>
      <c r="D255" s="1">
        <f t="shared" si="114"/>
        <v>1.2592149877471481E-2</v>
      </c>
      <c r="E255">
        <v>59.27</v>
      </c>
      <c r="K255" s="1">
        <f>'Solar Availability and Gener GR'!F255</f>
        <v>1.5456423039259319</v>
      </c>
      <c r="L255" s="1">
        <v>0.39891472868217059</v>
      </c>
      <c r="M255" s="1">
        <f t="shared" si="110"/>
        <v>1.1467275752437613</v>
      </c>
      <c r="N255" s="1" t="str">
        <f t="shared" si="111"/>
        <v>sell the surplus or charge</v>
      </c>
      <c r="O255" s="1">
        <v>0.25</v>
      </c>
      <c r="P255" s="1">
        <f t="shared" si="136"/>
        <v>0.62670034978624167</v>
      </c>
      <c r="Q255" s="1">
        <f t="shared" si="137"/>
        <v>1.2956423039259319</v>
      </c>
      <c r="R255" s="1">
        <f t="shared" si="138"/>
        <v>76.76933382128243</v>
      </c>
      <c r="S255" s="1">
        <f t="shared" si="139"/>
        <v>67.951040557479317</v>
      </c>
      <c r="T255" s="1">
        <f t="shared" si="140"/>
        <v>52.466226948549355</v>
      </c>
      <c r="U255" s="1" t="str">
        <f t="shared" si="141"/>
        <v>sell to the Grid</v>
      </c>
      <c r="W255" s="1">
        <f t="shared" si="142"/>
        <v>7.6792719353689989E-2</v>
      </c>
      <c r="Y255" s="1">
        <f t="shared" si="108"/>
        <v>2.364367596899225E-2</v>
      </c>
      <c r="AA255" s="1">
        <f t="shared" si="112"/>
        <v>79.047882664041339</v>
      </c>
      <c r="AD255" s="1">
        <f t="shared" si="113"/>
        <v>0.25</v>
      </c>
    </row>
    <row r="256" spans="1:30" ht="15">
      <c r="A256" s="1">
        <v>255</v>
      </c>
      <c r="B256" s="1">
        <f t="shared" si="122"/>
        <v>0</v>
      </c>
      <c r="C256" s="1">
        <f t="shared" si="109"/>
        <v>0</v>
      </c>
      <c r="D256" s="1">
        <f t="shared" si="114"/>
        <v>1.2592149877471481E-2</v>
      </c>
      <c r="E256">
        <v>59.27</v>
      </c>
      <c r="K256" s="1">
        <f>'Solar Availability and Gener GR'!F256</f>
        <v>1.4303347280334719</v>
      </c>
      <c r="L256" s="1">
        <v>0.39891472868217059</v>
      </c>
      <c r="M256" s="1">
        <f t="shared" si="110"/>
        <v>1.0314199993513014</v>
      </c>
      <c r="N256" s="1" t="str">
        <f t="shared" si="111"/>
        <v>sell the surplus or charge</v>
      </c>
      <c r="O256" s="1">
        <v>0.25</v>
      </c>
      <c r="P256" s="1">
        <f t="shared" si="136"/>
        <v>0.62670034978624167</v>
      </c>
      <c r="Q256" s="1">
        <f t="shared" si="137"/>
        <v>1.1803347280334719</v>
      </c>
      <c r="R256" s="1">
        <f t="shared" si="138"/>
        <v>69.935053798136323</v>
      </c>
      <c r="S256" s="1">
        <f t="shared" si="139"/>
        <v>61.116760534333217</v>
      </c>
      <c r="T256" s="1">
        <f t="shared" si="140"/>
        <v>51.801849565219698</v>
      </c>
      <c r="U256" s="1" t="str">
        <f t="shared" si="141"/>
        <v>sell to the Grid</v>
      </c>
      <c r="W256" s="1">
        <f t="shared" si="142"/>
        <v>6.9958439330543881E-2</v>
      </c>
      <c r="Y256" s="1">
        <f t="shared" si="108"/>
        <v>2.364367596899225E-2</v>
      </c>
      <c r="AA256" s="1">
        <f t="shared" si="112"/>
        <v>80.079302663392639</v>
      </c>
      <c r="AD256" s="1">
        <f t="shared" si="113"/>
        <v>0.25</v>
      </c>
    </row>
    <row r="257" spans="1:30" ht="15">
      <c r="A257" s="1">
        <v>256</v>
      </c>
      <c r="B257" s="1">
        <f t="shared" si="122"/>
        <v>0</v>
      </c>
      <c r="C257" s="1">
        <f t="shared" si="109"/>
        <v>0</v>
      </c>
      <c r="D257" s="1">
        <f t="shared" si="114"/>
        <v>1.2592149877471481E-2</v>
      </c>
      <c r="E257">
        <v>59.27</v>
      </c>
      <c r="K257" s="1">
        <f>'Solar Availability and Gener GR'!F257</f>
        <v>1.1235244369269095</v>
      </c>
      <c r="L257" s="1">
        <v>0.66914728682170543</v>
      </c>
      <c r="M257" s="1">
        <f t="shared" si="110"/>
        <v>0.45437715010520408</v>
      </c>
      <c r="N257" s="1" t="str">
        <f t="shared" si="111"/>
        <v>sell the surplus or charge</v>
      </c>
      <c r="O257" s="1">
        <v>0.25</v>
      </c>
      <c r="P257" s="1">
        <f t="shared" si="136"/>
        <v>0.3736098239110287</v>
      </c>
      <c r="Q257" s="1">
        <f t="shared" si="137"/>
        <v>0.87352443692690951</v>
      </c>
      <c r="R257" s="1">
        <f t="shared" si="138"/>
        <v>51.750407844250375</v>
      </c>
      <c r="S257" s="1">
        <f t="shared" si="139"/>
        <v>26.924156509215006</v>
      </c>
      <c r="T257" s="1">
        <f t="shared" si="140"/>
        <v>30.87384539060935</v>
      </c>
      <c r="U257" s="1" t="str">
        <f t="shared" si="141"/>
        <v>sell to the Grid</v>
      </c>
      <c r="W257" s="1">
        <f t="shared" si="142"/>
        <v>5.1773793376657926E-2</v>
      </c>
      <c r="Y257" s="1">
        <f t="shared" si="108"/>
        <v>3.9660359689922479E-2</v>
      </c>
      <c r="AA257" s="1">
        <f t="shared" si="112"/>
        <v>80.533679813497841</v>
      </c>
      <c r="AD257" s="1">
        <f t="shared" si="113"/>
        <v>0.25</v>
      </c>
    </row>
    <row r="258" spans="1:30" ht="15">
      <c r="A258" s="1">
        <v>257</v>
      </c>
      <c r="B258" s="1">
        <f t="shared" si="122"/>
        <v>0</v>
      </c>
      <c r="C258" s="1">
        <f t="shared" si="109"/>
        <v>0</v>
      </c>
      <c r="D258" s="1">
        <f t="shared" si="114"/>
        <v>1.2592149877471481E-2</v>
      </c>
      <c r="E258">
        <v>59.27</v>
      </c>
      <c r="K258" s="1">
        <f>'Solar Availability and Gener GR'!F258</f>
        <v>0.64438707380040716</v>
      </c>
      <c r="L258" s="1">
        <v>0.66914728682170543</v>
      </c>
      <c r="M258" s="1">
        <f t="shared" si="110"/>
        <v>-2.4760213021298272E-2</v>
      </c>
      <c r="N258" s="1" t="str">
        <f t="shared" si="111"/>
        <v>Buy from Grid</v>
      </c>
      <c r="V258" s="1" t="str">
        <f t="shared" ref="V258:V275" si="143">IF(D258+M258&gt;0,"discharge","buy from the Grid")</f>
        <v>buy from the Grid</v>
      </c>
      <c r="X258" s="1">
        <f t="shared" ref="X258:X275" si="144">(M258*E258)/1000</f>
        <v>-1.4675378257723486E-3</v>
      </c>
      <c r="Y258" s="1">
        <f t="shared" ref="Y258:Y289" si="145">(L258*E258)/1000</f>
        <v>3.9660359689922479E-2</v>
      </c>
      <c r="AA258" s="1">
        <f t="shared" si="112"/>
        <v>80.508919600476545</v>
      </c>
      <c r="AC258" s="1">
        <f t="shared" ref="AC258:AC289" si="146">L258</f>
        <v>0.66914728682170543</v>
      </c>
      <c r="AD258" s="1">
        <f t="shared" si="113"/>
        <v>0.66914728682170543</v>
      </c>
    </row>
    <row r="259" spans="1:30" ht="15">
      <c r="A259" s="1">
        <v>258</v>
      </c>
      <c r="B259" s="1">
        <f t="shared" si="122"/>
        <v>0</v>
      </c>
      <c r="C259" s="1">
        <f t="shared" ref="C259:C289" si="147">IF(V258="discharge",M258,0)</f>
        <v>0</v>
      </c>
      <c r="D259" s="1">
        <f t="shared" si="114"/>
        <v>1.2592149877471481E-2</v>
      </c>
      <c r="E259">
        <v>59.27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48">K259-L259</f>
        <v>-0.4655997038073727</v>
      </c>
      <c r="N259" s="1" t="str">
        <f t="shared" ref="N259:N289" si="149">IF(M259&lt;0,"Buy from Grid","sell the surplus or charge")</f>
        <v>Buy from Grid</v>
      </c>
      <c r="V259" s="1" t="str">
        <f t="shared" si="143"/>
        <v>buy from the Grid</v>
      </c>
      <c r="X259" s="1">
        <f t="shared" si="144"/>
        <v>-2.7596094444662982E-2</v>
      </c>
      <c r="Y259" s="1">
        <f t="shared" si="145"/>
        <v>3.9660359689922479E-2</v>
      </c>
      <c r="AA259" s="1">
        <f t="shared" ref="AA259:AA289" si="150">M259+AA258</f>
        <v>80.043319896669175</v>
      </c>
      <c r="AC259" s="1">
        <f t="shared" si="146"/>
        <v>0.66914728682170543</v>
      </c>
      <c r="AD259" s="1">
        <f t="shared" ref="AD259:AD289" si="151">AC259+O259</f>
        <v>0.66914728682170543</v>
      </c>
    </row>
    <row r="260" spans="1:30" ht="15">
      <c r="A260" s="1">
        <v>259</v>
      </c>
      <c r="B260" s="1">
        <f t="shared" si="122"/>
        <v>0</v>
      </c>
      <c r="C260" s="1">
        <f t="shared" si="147"/>
        <v>0</v>
      </c>
      <c r="D260" s="1">
        <f t="shared" ref="D260:D289" si="152">(D259)+(B260*0.8)+(C260/0.8)</f>
        <v>1.2592149877471481E-2</v>
      </c>
      <c r="E260">
        <v>59.27</v>
      </c>
      <c r="K260" s="1">
        <f>'Solar Availability and Gener GR'!F260</f>
        <v>2.1205377014155053E-2</v>
      </c>
      <c r="L260" s="1">
        <v>0.66914728682170543</v>
      </c>
      <c r="M260" s="1">
        <f t="shared" si="148"/>
        <v>-0.6479419098075504</v>
      </c>
      <c r="N260" s="1" t="str">
        <f t="shared" si="149"/>
        <v>Buy from Grid</v>
      </c>
      <c r="V260" s="1" t="str">
        <f t="shared" si="143"/>
        <v>buy from the Grid</v>
      </c>
      <c r="X260" s="1">
        <f t="shared" si="144"/>
        <v>-3.8403516994293514E-2</v>
      </c>
      <c r="Y260" s="1">
        <f t="shared" si="145"/>
        <v>3.9660359689922479E-2</v>
      </c>
      <c r="AA260" s="1">
        <f t="shared" si="150"/>
        <v>79.395377986861618</v>
      </c>
      <c r="AC260" s="1">
        <f t="shared" si="146"/>
        <v>0.66914728682170543</v>
      </c>
      <c r="AD260" s="1">
        <f t="shared" si="151"/>
        <v>0.66914728682170543</v>
      </c>
    </row>
    <row r="261" spans="1:30" ht="15">
      <c r="A261" s="1">
        <v>260</v>
      </c>
      <c r="B261" s="1">
        <f t="shared" si="122"/>
        <v>0</v>
      </c>
      <c r="C261" s="1">
        <f t="shared" si="147"/>
        <v>0</v>
      </c>
      <c r="D261" s="1">
        <f t="shared" si="152"/>
        <v>1.2592149877471481E-2</v>
      </c>
      <c r="E261">
        <v>59.27</v>
      </c>
      <c r="K261" s="1">
        <f>'Solar Availability and Gener GR'!F261</f>
        <v>0</v>
      </c>
      <c r="L261" s="1">
        <v>0.39891472868217059</v>
      </c>
      <c r="M261" s="1">
        <f t="shared" si="148"/>
        <v>-0.39891472868217059</v>
      </c>
      <c r="N261" s="1" t="str">
        <f t="shared" si="149"/>
        <v>Buy from Grid</v>
      </c>
      <c r="V261" s="1" t="str">
        <f t="shared" si="143"/>
        <v>buy from the Grid</v>
      </c>
      <c r="X261" s="1">
        <f t="shared" si="144"/>
        <v>-2.364367596899225E-2</v>
      </c>
      <c r="Y261" s="1">
        <f t="shared" si="145"/>
        <v>2.364367596899225E-2</v>
      </c>
      <c r="AA261" s="1">
        <f t="shared" si="150"/>
        <v>78.996463258179446</v>
      </c>
      <c r="AC261" s="1">
        <f t="shared" si="146"/>
        <v>0.39891472868217059</v>
      </c>
      <c r="AD261" s="1">
        <f t="shared" si="151"/>
        <v>0.39891472868217059</v>
      </c>
    </row>
    <row r="262" spans="1:30" ht="15">
      <c r="A262" s="1">
        <v>261</v>
      </c>
      <c r="B262" s="1">
        <f t="shared" si="122"/>
        <v>0</v>
      </c>
      <c r="C262" s="1">
        <f t="shared" si="147"/>
        <v>0</v>
      </c>
      <c r="D262" s="1">
        <f t="shared" si="152"/>
        <v>1.2592149877471481E-2</v>
      </c>
      <c r="E262">
        <v>59.27</v>
      </c>
      <c r="K262" s="1">
        <f>'Solar Availability and Gener GR'!F262</f>
        <v>0</v>
      </c>
      <c r="L262" s="1">
        <v>0.39891472868217059</v>
      </c>
      <c r="M262" s="1">
        <f t="shared" si="148"/>
        <v>-0.39891472868217059</v>
      </c>
      <c r="N262" s="1" t="str">
        <f t="shared" si="149"/>
        <v>Buy from Grid</v>
      </c>
      <c r="V262" s="1" t="str">
        <f t="shared" si="143"/>
        <v>buy from the Grid</v>
      </c>
      <c r="X262" s="1">
        <f t="shared" si="144"/>
        <v>-2.364367596899225E-2</v>
      </c>
      <c r="Y262" s="1">
        <f t="shared" si="145"/>
        <v>2.364367596899225E-2</v>
      </c>
      <c r="AA262" s="1">
        <f t="shared" si="150"/>
        <v>78.597548529497274</v>
      </c>
      <c r="AC262" s="1">
        <f t="shared" si="146"/>
        <v>0.39891472868217059</v>
      </c>
      <c r="AD262" s="1">
        <f t="shared" si="151"/>
        <v>0.39891472868217059</v>
      </c>
    </row>
    <row r="263" spans="1:30" ht="15">
      <c r="A263" s="1">
        <v>262</v>
      </c>
      <c r="B263" s="1">
        <f t="shared" si="122"/>
        <v>0</v>
      </c>
      <c r="C263" s="1">
        <f t="shared" si="147"/>
        <v>0</v>
      </c>
      <c r="D263" s="1">
        <f t="shared" si="152"/>
        <v>1.2592149877471481E-2</v>
      </c>
      <c r="E263">
        <v>59.27</v>
      </c>
      <c r="K263" s="1">
        <f>'Solar Availability and Gener GR'!F263</f>
        <v>0</v>
      </c>
      <c r="L263" s="1">
        <v>0.39891472868217059</v>
      </c>
      <c r="M263" s="1">
        <f t="shared" si="148"/>
        <v>-0.39891472868217059</v>
      </c>
      <c r="N263" s="1" t="str">
        <f t="shared" si="149"/>
        <v>Buy from Grid</v>
      </c>
      <c r="V263" s="1" t="str">
        <f t="shared" si="143"/>
        <v>buy from the Grid</v>
      </c>
      <c r="X263" s="1">
        <f t="shared" si="144"/>
        <v>-2.364367596899225E-2</v>
      </c>
      <c r="Y263" s="1">
        <f t="shared" si="145"/>
        <v>2.364367596899225E-2</v>
      </c>
      <c r="AA263" s="1">
        <f t="shared" si="150"/>
        <v>78.198633800815102</v>
      </c>
      <c r="AC263" s="1">
        <f t="shared" si="146"/>
        <v>0.39891472868217059</v>
      </c>
      <c r="AD263" s="1">
        <f t="shared" si="151"/>
        <v>0.39891472868217059</v>
      </c>
    </row>
    <row r="264" spans="1:30" ht="15">
      <c r="A264" s="1">
        <v>263</v>
      </c>
      <c r="B264" s="1">
        <f t="shared" si="122"/>
        <v>0</v>
      </c>
      <c r="C264" s="1">
        <f t="shared" si="147"/>
        <v>0</v>
      </c>
      <c r="D264" s="1">
        <f t="shared" si="152"/>
        <v>1.2592149877471481E-2</v>
      </c>
      <c r="E264">
        <v>59.27</v>
      </c>
      <c r="K264" s="1">
        <f>'Solar Availability and Gener GR'!F264</f>
        <v>0</v>
      </c>
      <c r="L264" s="1">
        <v>0.2831007751937985</v>
      </c>
      <c r="M264" s="1">
        <f t="shared" si="148"/>
        <v>-0.2831007751937985</v>
      </c>
      <c r="N264" s="1" t="str">
        <f t="shared" si="149"/>
        <v>Buy from Grid</v>
      </c>
      <c r="V264" s="1" t="str">
        <f t="shared" si="143"/>
        <v>buy from the Grid</v>
      </c>
      <c r="X264" s="1">
        <f t="shared" si="144"/>
        <v>-1.6779382945736436E-2</v>
      </c>
      <c r="Y264" s="1">
        <f t="shared" si="145"/>
        <v>1.6779382945736436E-2</v>
      </c>
      <c r="AA264" s="1">
        <f t="shared" si="150"/>
        <v>77.915533025621301</v>
      </c>
      <c r="AC264" s="1">
        <f t="shared" si="146"/>
        <v>0.2831007751937985</v>
      </c>
      <c r="AD264" s="1">
        <f t="shared" si="151"/>
        <v>0.2831007751937985</v>
      </c>
    </row>
    <row r="265" spans="1:30" ht="15">
      <c r="A265" s="1">
        <v>264</v>
      </c>
      <c r="B265" s="1">
        <f t="shared" si="122"/>
        <v>0</v>
      </c>
      <c r="C265" s="1">
        <f t="shared" si="147"/>
        <v>0</v>
      </c>
      <c r="D265" s="1">
        <f t="shared" si="152"/>
        <v>1.2592149877471481E-2</v>
      </c>
      <c r="E265">
        <v>59.27</v>
      </c>
      <c r="K265" s="1">
        <f>'Solar Availability and Gener GR'!F265</f>
        <v>0</v>
      </c>
      <c r="L265" s="1">
        <v>0.29596899224806206</v>
      </c>
      <c r="M265" s="1">
        <f t="shared" si="148"/>
        <v>-0.29596899224806206</v>
      </c>
      <c r="N265" s="1" t="str">
        <f t="shared" si="149"/>
        <v>Buy from Grid</v>
      </c>
      <c r="V265" s="1" t="str">
        <f t="shared" si="143"/>
        <v>buy from the Grid</v>
      </c>
      <c r="X265" s="1">
        <f t="shared" si="144"/>
        <v>-1.754208217054264E-2</v>
      </c>
      <c r="Y265" s="1">
        <f t="shared" si="145"/>
        <v>1.754208217054264E-2</v>
      </c>
      <c r="AA265" s="1">
        <f t="shared" si="150"/>
        <v>77.619564033373237</v>
      </c>
      <c r="AC265" s="1">
        <f t="shared" si="146"/>
        <v>0.29596899224806206</v>
      </c>
      <c r="AD265" s="1">
        <f t="shared" si="151"/>
        <v>0.29596899224806206</v>
      </c>
    </row>
    <row r="266" spans="1:30" ht="15">
      <c r="A266" s="1">
        <v>265</v>
      </c>
      <c r="B266" s="1">
        <f t="shared" si="122"/>
        <v>0</v>
      </c>
      <c r="C266" s="1">
        <f t="shared" si="147"/>
        <v>0</v>
      </c>
      <c r="D266" s="1">
        <f t="shared" si="152"/>
        <v>1.2592149877471481E-2</v>
      </c>
      <c r="E266">
        <v>59.27</v>
      </c>
      <c r="K266" s="1">
        <f>'Solar Availability and Gener GR'!F266</f>
        <v>0</v>
      </c>
      <c r="L266" s="1">
        <v>0.2831007751937985</v>
      </c>
      <c r="M266" s="1">
        <f t="shared" si="148"/>
        <v>-0.2831007751937985</v>
      </c>
      <c r="N266" s="1" t="str">
        <f t="shared" si="149"/>
        <v>Buy from Grid</v>
      </c>
      <c r="V266" s="1" t="str">
        <f t="shared" si="143"/>
        <v>buy from the Grid</v>
      </c>
      <c r="X266" s="1">
        <f t="shared" si="144"/>
        <v>-1.6779382945736436E-2</v>
      </c>
      <c r="Y266" s="1">
        <f t="shared" si="145"/>
        <v>1.6779382945736436E-2</v>
      </c>
      <c r="AA266" s="1">
        <f t="shared" si="150"/>
        <v>77.336463258179435</v>
      </c>
      <c r="AC266" s="1">
        <f t="shared" si="146"/>
        <v>0.2831007751937985</v>
      </c>
      <c r="AD266" s="1">
        <f t="shared" si="151"/>
        <v>0.2831007751937985</v>
      </c>
    </row>
    <row r="267" spans="1:30" ht="15">
      <c r="A267" s="1">
        <v>266</v>
      </c>
      <c r="B267" s="1">
        <f t="shared" si="122"/>
        <v>0</v>
      </c>
      <c r="C267" s="1">
        <f t="shared" si="147"/>
        <v>0</v>
      </c>
      <c r="D267" s="1">
        <f t="shared" si="152"/>
        <v>1.2592149877471481E-2</v>
      </c>
      <c r="E267">
        <v>59.27</v>
      </c>
      <c r="K267" s="1">
        <f>'Solar Availability and Gener GR'!F267</f>
        <v>0</v>
      </c>
      <c r="L267" s="1">
        <v>0.19302325581395352</v>
      </c>
      <c r="M267" s="1">
        <f t="shared" si="148"/>
        <v>-0.19302325581395352</v>
      </c>
      <c r="N267" s="1" t="str">
        <f t="shared" si="149"/>
        <v>Buy from Grid</v>
      </c>
      <c r="V267" s="1" t="str">
        <f t="shared" si="143"/>
        <v>buy from the Grid</v>
      </c>
      <c r="X267" s="1">
        <f t="shared" si="144"/>
        <v>-1.1440488372093025E-2</v>
      </c>
      <c r="Y267" s="1">
        <f t="shared" si="145"/>
        <v>1.1440488372093025E-2</v>
      </c>
      <c r="AA267" s="1">
        <f t="shared" si="150"/>
        <v>77.14344000236548</v>
      </c>
      <c r="AC267" s="1">
        <f t="shared" si="146"/>
        <v>0.19302325581395352</v>
      </c>
      <c r="AD267" s="1">
        <f t="shared" si="151"/>
        <v>0.19302325581395352</v>
      </c>
    </row>
    <row r="268" spans="1:30" ht="15">
      <c r="A268" s="1">
        <v>267</v>
      </c>
      <c r="B268" s="1">
        <f t="shared" si="122"/>
        <v>0</v>
      </c>
      <c r="C268" s="1">
        <f t="shared" si="147"/>
        <v>0</v>
      </c>
      <c r="D268" s="1">
        <f t="shared" si="152"/>
        <v>1.2592149877471481E-2</v>
      </c>
      <c r="E268">
        <v>59.27</v>
      </c>
      <c r="K268" s="1">
        <f>'Solar Availability and Gener GR'!F268</f>
        <v>0</v>
      </c>
      <c r="L268" s="1">
        <v>0.19302325581395352</v>
      </c>
      <c r="M268" s="1">
        <f t="shared" si="148"/>
        <v>-0.19302325581395352</v>
      </c>
      <c r="N268" s="1" t="str">
        <f t="shared" si="149"/>
        <v>Buy from Grid</v>
      </c>
      <c r="V268" s="1" t="str">
        <f t="shared" si="143"/>
        <v>buy from the Grid</v>
      </c>
      <c r="X268" s="1">
        <f t="shared" si="144"/>
        <v>-1.1440488372093025E-2</v>
      </c>
      <c r="Y268" s="1">
        <f t="shared" si="145"/>
        <v>1.1440488372093025E-2</v>
      </c>
      <c r="AA268" s="1">
        <f t="shared" si="150"/>
        <v>76.950416746551525</v>
      </c>
      <c r="AC268" s="1">
        <f t="shared" si="146"/>
        <v>0.19302325581395352</v>
      </c>
      <c r="AD268" s="1">
        <f t="shared" si="151"/>
        <v>0.19302325581395352</v>
      </c>
    </row>
    <row r="269" spans="1:30" ht="15">
      <c r="A269" s="1">
        <v>268</v>
      </c>
      <c r="B269" s="1">
        <f t="shared" si="122"/>
        <v>0</v>
      </c>
      <c r="C269" s="1">
        <f t="shared" si="147"/>
        <v>0</v>
      </c>
      <c r="D269" s="1">
        <f t="shared" si="152"/>
        <v>1.2592149877471481E-2</v>
      </c>
      <c r="E269">
        <v>59.27</v>
      </c>
      <c r="K269" s="1">
        <f>'Solar Availability and Gener GR'!F269</f>
        <v>0</v>
      </c>
      <c r="L269" s="1">
        <v>0.19302325581395352</v>
      </c>
      <c r="M269" s="1">
        <f t="shared" si="148"/>
        <v>-0.19302325581395352</v>
      </c>
      <c r="N269" s="1" t="str">
        <f t="shared" si="149"/>
        <v>Buy from Grid</v>
      </c>
      <c r="V269" s="1" t="str">
        <f t="shared" si="143"/>
        <v>buy from the Grid</v>
      </c>
      <c r="X269" s="1">
        <f t="shared" si="144"/>
        <v>-1.1440488372093025E-2</v>
      </c>
      <c r="Y269" s="1">
        <f t="shared" si="145"/>
        <v>1.1440488372093025E-2</v>
      </c>
      <c r="AA269" s="1">
        <f t="shared" si="150"/>
        <v>76.75739349073757</v>
      </c>
      <c r="AC269" s="1">
        <f t="shared" si="146"/>
        <v>0.19302325581395352</v>
      </c>
      <c r="AD269" s="1">
        <f t="shared" si="151"/>
        <v>0.19302325581395352</v>
      </c>
    </row>
    <row r="270" spans="1:30" ht="15">
      <c r="A270" s="1">
        <v>269</v>
      </c>
      <c r="B270" s="1">
        <f t="shared" si="122"/>
        <v>0</v>
      </c>
      <c r="C270" s="1">
        <f t="shared" si="147"/>
        <v>0</v>
      </c>
      <c r="D270" s="1">
        <f t="shared" si="152"/>
        <v>1.2592149877471481E-2</v>
      </c>
      <c r="E270">
        <v>59.27</v>
      </c>
      <c r="K270" s="1">
        <f>'Solar Availability and Gener GR'!F270</f>
        <v>0</v>
      </c>
      <c r="L270" s="1">
        <v>0.19302325581395352</v>
      </c>
      <c r="M270" s="1">
        <f t="shared" si="148"/>
        <v>-0.19302325581395352</v>
      </c>
      <c r="N270" s="1" t="str">
        <f t="shared" si="149"/>
        <v>Buy from Grid</v>
      </c>
      <c r="V270" s="1" t="str">
        <f t="shared" si="143"/>
        <v>buy from the Grid</v>
      </c>
      <c r="X270" s="1">
        <f t="shared" si="144"/>
        <v>-1.1440488372093025E-2</v>
      </c>
      <c r="Y270" s="1">
        <f t="shared" si="145"/>
        <v>1.1440488372093025E-2</v>
      </c>
      <c r="AA270" s="1">
        <f t="shared" si="150"/>
        <v>76.564370234923615</v>
      </c>
      <c r="AC270" s="1">
        <f t="shared" si="146"/>
        <v>0.19302325581395352</v>
      </c>
      <c r="AD270" s="1">
        <f t="shared" si="151"/>
        <v>0.19302325581395352</v>
      </c>
    </row>
    <row r="271" spans="1:30" ht="15">
      <c r="A271" s="1">
        <v>270</v>
      </c>
      <c r="B271" s="1">
        <f t="shared" si="122"/>
        <v>0</v>
      </c>
      <c r="C271" s="1">
        <f t="shared" si="147"/>
        <v>0</v>
      </c>
      <c r="D271" s="1">
        <f t="shared" si="152"/>
        <v>1.2592149877471481E-2</v>
      </c>
      <c r="E271">
        <v>59.27</v>
      </c>
      <c r="K271" s="1">
        <f>'Solar Availability and Gener GR'!F271</f>
        <v>0</v>
      </c>
      <c r="L271" s="1">
        <v>0.64341085271317833</v>
      </c>
      <c r="M271" s="1">
        <f t="shared" si="148"/>
        <v>-0.64341085271317833</v>
      </c>
      <c r="N271" s="1" t="str">
        <f t="shared" si="149"/>
        <v>Buy from Grid</v>
      </c>
      <c r="V271" s="1" t="str">
        <f t="shared" si="143"/>
        <v>buy from the Grid</v>
      </c>
      <c r="X271" s="1">
        <f t="shared" si="144"/>
        <v>-3.8134961240310086E-2</v>
      </c>
      <c r="Y271" s="1">
        <f t="shared" si="145"/>
        <v>3.8134961240310086E-2</v>
      </c>
      <c r="AA271" s="1">
        <f t="shared" si="150"/>
        <v>75.920959382210441</v>
      </c>
      <c r="AC271" s="1">
        <f t="shared" si="146"/>
        <v>0.64341085271317833</v>
      </c>
      <c r="AD271" s="1">
        <f t="shared" si="151"/>
        <v>0.64341085271317833</v>
      </c>
    </row>
    <row r="272" spans="1:30" ht="15">
      <c r="A272" s="1">
        <v>271</v>
      </c>
      <c r="B272" s="1">
        <f t="shared" ref="B272:B289" si="153">IF(U272="charge",Q272,0)</f>
        <v>0</v>
      </c>
      <c r="C272" s="1">
        <f t="shared" si="147"/>
        <v>0</v>
      </c>
      <c r="D272" s="1">
        <f t="shared" si="152"/>
        <v>1.2592149877471481E-2</v>
      </c>
      <c r="E272">
        <v>59.27</v>
      </c>
      <c r="K272" s="1">
        <f>'Solar Availability and Gener GR'!F272</f>
        <v>3.5999999999999997E-2</v>
      </c>
      <c r="L272" s="1">
        <v>0.64341085271317833</v>
      </c>
      <c r="M272" s="1">
        <f t="shared" si="148"/>
        <v>-0.6074108527131783</v>
      </c>
      <c r="N272" s="1" t="str">
        <f t="shared" si="149"/>
        <v>Buy from Grid</v>
      </c>
      <c r="V272" s="1" t="str">
        <f t="shared" si="143"/>
        <v>buy from the Grid</v>
      </c>
      <c r="X272" s="1">
        <f t="shared" si="144"/>
        <v>-3.6001241240310081E-2</v>
      </c>
      <c r="Y272" s="1">
        <f t="shared" si="145"/>
        <v>3.8134961240310086E-2</v>
      </c>
      <c r="AA272" s="1">
        <f t="shared" si="150"/>
        <v>75.313548529497268</v>
      </c>
      <c r="AC272" s="1">
        <f t="shared" si="146"/>
        <v>0.64341085271317833</v>
      </c>
      <c r="AD272" s="1">
        <f t="shared" si="151"/>
        <v>0.64341085271317833</v>
      </c>
    </row>
    <row r="273" spans="1:30" ht="15">
      <c r="A273" s="1">
        <v>272</v>
      </c>
      <c r="B273" s="1">
        <f t="shared" si="153"/>
        <v>0</v>
      </c>
      <c r="C273" s="1">
        <f t="shared" si="147"/>
        <v>0</v>
      </c>
      <c r="D273" s="1">
        <f t="shared" si="152"/>
        <v>1.2592149877471481E-2</v>
      </c>
      <c r="E273">
        <v>59.27</v>
      </c>
      <c r="K273" s="1">
        <f>'Solar Availability and Gener GR'!F273</f>
        <v>7.1999999999999995E-2</v>
      </c>
      <c r="L273" s="1">
        <v>0.38604651162790704</v>
      </c>
      <c r="M273" s="1">
        <f t="shared" si="148"/>
        <v>-0.31404651162790703</v>
      </c>
      <c r="N273" s="1" t="str">
        <f t="shared" si="149"/>
        <v>Buy from Grid</v>
      </c>
      <c r="V273" s="1" t="str">
        <f t="shared" si="143"/>
        <v>buy from the Grid</v>
      </c>
      <c r="X273" s="1">
        <f t="shared" si="144"/>
        <v>-1.861353674418605E-2</v>
      </c>
      <c r="Y273" s="1">
        <f t="shared" si="145"/>
        <v>2.288097674418605E-2</v>
      </c>
      <c r="AA273" s="1">
        <f t="shared" si="150"/>
        <v>74.999502017869361</v>
      </c>
      <c r="AC273" s="1">
        <f t="shared" si="146"/>
        <v>0.38604651162790704</v>
      </c>
      <c r="AD273" s="1">
        <f t="shared" si="151"/>
        <v>0.38604651162790704</v>
      </c>
    </row>
    <row r="274" spans="1:30" ht="15">
      <c r="A274" s="1">
        <v>273</v>
      </c>
      <c r="B274" s="1">
        <f t="shared" si="153"/>
        <v>0</v>
      </c>
      <c r="C274" s="1">
        <f t="shared" si="147"/>
        <v>0</v>
      </c>
      <c r="D274" s="1">
        <f t="shared" si="152"/>
        <v>1.2592149877471481E-2</v>
      </c>
      <c r="E274">
        <v>59.27</v>
      </c>
      <c r="K274" s="1">
        <f>'Solar Availability and Gener GR'!F274</f>
        <v>0.108</v>
      </c>
      <c r="L274" s="1">
        <v>0.38604651162790704</v>
      </c>
      <c r="M274" s="1">
        <f t="shared" si="148"/>
        <v>-0.27804651162790706</v>
      </c>
      <c r="N274" s="1" t="str">
        <f t="shared" si="149"/>
        <v>Buy from Grid</v>
      </c>
      <c r="V274" s="1" t="str">
        <f t="shared" si="143"/>
        <v>buy from the Grid</v>
      </c>
      <c r="X274" s="1">
        <f t="shared" si="144"/>
        <v>-1.6479816744186054E-2</v>
      </c>
      <c r="Y274" s="1">
        <f t="shared" si="145"/>
        <v>2.288097674418605E-2</v>
      </c>
      <c r="AA274" s="1">
        <f t="shared" si="150"/>
        <v>74.721455506241455</v>
      </c>
      <c r="AC274" s="1">
        <f t="shared" si="146"/>
        <v>0.38604651162790704</v>
      </c>
      <c r="AD274" s="1">
        <f t="shared" si="151"/>
        <v>0.38604651162790704</v>
      </c>
    </row>
    <row r="275" spans="1:30" ht="15">
      <c r="A275" s="1">
        <v>274</v>
      </c>
      <c r="B275" s="1">
        <f t="shared" si="153"/>
        <v>0</v>
      </c>
      <c r="C275" s="1">
        <f t="shared" si="147"/>
        <v>0</v>
      </c>
      <c r="D275" s="1">
        <f t="shared" si="152"/>
        <v>1.2592149877471481E-2</v>
      </c>
      <c r="E275">
        <v>59.27</v>
      </c>
      <c r="K275" s="1">
        <f>'Solar Availability and Gener GR'!F275</f>
        <v>0.17817591026439972</v>
      </c>
      <c r="L275" s="1">
        <v>0.38604651162790704</v>
      </c>
      <c r="M275" s="1">
        <f t="shared" si="148"/>
        <v>-0.20787060136350732</v>
      </c>
      <c r="N275" s="1" t="str">
        <f t="shared" si="149"/>
        <v>Buy from Grid</v>
      </c>
      <c r="V275" s="1" t="str">
        <f t="shared" si="143"/>
        <v>buy from the Grid</v>
      </c>
      <c r="X275" s="1">
        <f t="shared" si="144"/>
        <v>-1.2320490542815079E-2</v>
      </c>
      <c r="Y275" s="1">
        <f t="shared" si="145"/>
        <v>2.288097674418605E-2</v>
      </c>
      <c r="AA275" s="1">
        <f t="shared" si="150"/>
        <v>74.513584904877945</v>
      </c>
      <c r="AC275" s="1">
        <f t="shared" si="146"/>
        <v>0.38604651162790704</v>
      </c>
      <c r="AD275" s="1">
        <f t="shared" si="151"/>
        <v>0.38604651162790704</v>
      </c>
    </row>
    <row r="276" spans="1:30" ht="15">
      <c r="A276" s="1">
        <v>275</v>
      </c>
      <c r="B276" s="1">
        <f t="shared" si="153"/>
        <v>0</v>
      </c>
      <c r="C276" s="1">
        <f t="shared" si="147"/>
        <v>0</v>
      </c>
      <c r="D276" s="1">
        <f t="shared" si="152"/>
        <v>1.2592149877471481E-2</v>
      </c>
      <c r="E276">
        <v>59.27</v>
      </c>
      <c r="K276" s="1">
        <f>'Solar Availability and Gener GR'!F276</f>
        <v>0.60861301522300082</v>
      </c>
      <c r="L276" s="1">
        <v>0.38604651162790704</v>
      </c>
      <c r="M276" s="1">
        <f t="shared" si="148"/>
        <v>0.22256650359509378</v>
      </c>
      <c r="N276" s="1" t="str">
        <f t="shared" si="149"/>
        <v>sell the surplus or charge</v>
      </c>
      <c r="O276" s="1">
        <v>0.25</v>
      </c>
      <c r="P276" s="1">
        <f t="shared" ref="P276:P281" si="154">0.25/L276</f>
        <v>0.64759036144578308</v>
      </c>
      <c r="Q276" s="1">
        <f t="shared" ref="Q276:Q281" si="155">K276-P276*L276</f>
        <v>0.35861301522300082</v>
      </c>
      <c r="R276" s="1">
        <f t="shared" ref="R276:R281" si="156">((1/(E276+0.01))*LN(0.25))+(E276*(K276-0.25))</f>
        <v>21.231607879859705</v>
      </c>
      <c r="S276" s="1">
        <f t="shared" ref="S276:S281" si="157">((1/(E276+0.01))*LN(L276))+(E276*(K276-L276))</f>
        <v>13.175460706199781</v>
      </c>
      <c r="T276" s="1">
        <f t="shared" ref="T276:T281" si="158">(S276+((S276^2)-4*(K276-L276*P276)*LN(L276*P276))^(0.5))/(2*(K276-L276*P276))</f>
        <v>36.844969952404718</v>
      </c>
      <c r="U276" s="1" t="str">
        <f t="shared" ref="U276:U281" si="159">IF(E276&gt;=T276*1.05,"sell to the Grid","charge")</f>
        <v>sell to the Grid</v>
      </c>
      <c r="W276" s="1">
        <f t="shared" ref="W276:W281" si="160">(Q276*E276)/1000</f>
        <v>2.1254993412267262E-2</v>
      </c>
      <c r="Y276" s="1">
        <f t="shared" si="145"/>
        <v>2.288097674418605E-2</v>
      </c>
      <c r="AA276" s="1">
        <f t="shared" si="150"/>
        <v>74.736151408473035</v>
      </c>
      <c r="AC276" s="1">
        <f t="shared" si="146"/>
        <v>0.38604651162790704</v>
      </c>
      <c r="AD276" s="1">
        <f t="shared" si="151"/>
        <v>0.63604651162790704</v>
      </c>
    </row>
    <row r="277" spans="1:30" ht="15">
      <c r="A277" s="1">
        <v>276</v>
      </c>
      <c r="B277" s="1">
        <f t="shared" si="153"/>
        <v>0</v>
      </c>
      <c r="C277" s="1">
        <f t="shared" si="147"/>
        <v>0</v>
      </c>
      <c r="D277" s="1">
        <f t="shared" si="152"/>
        <v>1.2592149877471481E-2</v>
      </c>
      <c r="E277">
        <v>59.27</v>
      </c>
      <c r="K277" s="1">
        <f>'Solar Availability and Gener GR'!F277</f>
        <v>1.0103000089023395</v>
      </c>
      <c r="L277" s="1">
        <v>0.38604651162790704</v>
      </c>
      <c r="M277" s="1">
        <f t="shared" si="148"/>
        <v>0.62425349727443247</v>
      </c>
      <c r="N277" s="1" t="str">
        <f t="shared" si="149"/>
        <v>sell the surplus or charge</v>
      </c>
      <c r="O277" s="1">
        <v>0.25</v>
      </c>
      <c r="P277" s="1">
        <f t="shared" si="154"/>
        <v>0.64759036144578308</v>
      </c>
      <c r="Q277" s="1">
        <f t="shared" si="155"/>
        <v>0.76030000890233951</v>
      </c>
      <c r="R277" s="1">
        <f t="shared" si="156"/>
        <v>45.039595995234116</v>
      </c>
      <c r="S277" s="1">
        <f t="shared" si="157"/>
        <v>36.983448821574186</v>
      </c>
      <c r="T277" s="1">
        <f t="shared" si="158"/>
        <v>48.680686157134218</v>
      </c>
      <c r="U277" s="1" t="str">
        <f t="shared" si="159"/>
        <v>sell to the Grid</v>
      </c>
      <c r="W277" s="1">
        <f t="shared" si="160"/>
        <v>4.5062981527641668E-2</v>
      </c>
      <c r="Y277" s="1">
        <f t="shared" si="145"/>
        <v>2.288097674418605E-2</v>
      </c>
      <c r="AA277" s="1">
        <f t="shared" si="150"/>
        <v>75.360404905747473</v>
      </c>
      <c r="AC277" s="1">
        <f t="shared" si="146"/>
        <v>0.38604651162790704</v>
      </c>
      <c r="AD277" s="1">
        <f t="shared" si="151"/>
        <v>0.63604651162790704</v>
      </c>
    </row>
    <row r="278" spans="1:30" ht="15">
      <c r="A278" s="1">
        <v>277</v>
      </c>
      <c r="B278" s="1">
        <f t="shared" si="153"/>
        <v>0</v>
      </c>
      <c r="C278" s="1">
        <f t="shared" si="147"/>
        <v>0</v>
      </c>
      <c r="D278" s="1">
        <f t="shared" si="152"/>
        <v>1.2592149877471481E-2</v>
      </c>
      <c r="E278">
        <v>59.27</v>
      </c>
      <c r="K278" s="1">
        <f>'Solar Availability and Gener GR'!F278</f>
        <v>1.2588222202439221</v>
      </c>
      <c r="L278" s="1">
        <v>0.38604651162790704</v>
      </c>
      <c r="M278" s="1">
        <f t="shared" si="148"/>
        <v>0.87277570861601506</v>
      </c>
      <c r="N278" s="1" t="str">
        <f t="shared" si="149"/>
        <v>sell the surplus or charge</v>
      </c>
      <c r="O278" s="1">
        <v>0.25</v>
      </c>
      <c r="P278" s="1">
        <f t="shared" si="154"/>
        <v>0.64759036144578308</v>
      </c>
      <c r="Q278" s="1">
        <f t="shared" si="155"/>
        <v>1.0088222202439221</v>
      </c>
      <c r="R278" s="1">
        <f t="shared" si="156"/>
        <v>59.769507461449713</v>
      </c>
      <c r="S278" s="1">
        <f t="shared" si="157"/>
        <v>51.71336028778979</v>
      </c>
      <c r="T278" s="1">
        <f t="shared" si="158"/>
        <v>51.287916639880748</v>
      </c>
      <c r="U278" s="1" t="str">
        <f t="shared" si="159"/>
        <v>sell to the Grid</v>
      </c>
      <c r="W278" s="1">
        <f t="shared" si="160"/>
        <v>5.9792892993857268E-2</v>
      </c>
      <c r="Y278" s="1">
        <f t="shared" si="145"/>
        <v>2.288097674418605E-2</v>
      </c>
      <c r="AA278" s="1">
        <f t="shared" si="150"/>
        <v>76.233180614363491</v>
      </c>
      <c r="AC278" s="1">
        <f t="shared" si="146"/>
        <v>0.38604651162790704</v>
      </c>
      <c r="AD278" s="1">
        <f t="shared" si="151"/>
        <v>0.63604651162790704</v>
      </c>
    </row>
    <row r="279" spans="1:30" ht="15">
      <c r="A279" s="1">
        <v>278</v>
      </c>
      <c r="B279" s="1">
        <f t="shared" si="153"/>
        <v>0</v>
      </c>
      <c r="C279" s="1">
        <f t="shared" si="147"/>
        <v>0</v>
      </c>
      <c r="D279" s="1">
        <f t="shared" si="152"/>
        <v>1.2592149877471481E-2</v>
      </c>
      <c r="E279">
        <v>59.27</v>
      </c>
      <c r="K279" s="1">
        <f>'Solar Availability and Gener GR'!F279</f>
        <v>1.2775571975429532</v>
      </c>
      <c r="L279" s="1">
        <v>0.38604651162790704</v>
      </c>
      <c r="M279" s="1">
        <f t="shared" si="148"/>
        <v>0.89151068591504612</v>
      </c>
      <c r="N279" s="1" t="str">
        <f t="shared" si="149"/>
        <v>sell the surplus or charge</v>
      </c>
      <c r="O279" s="1">
        <v>0.25</v>
      </c>
      <c r="P279" s="1">
        <f t="shared" si="154"/>
        <v>0.64759036144578308</v>
      </c>
      <c r="Q279" s="1">
        <f t="shared" si="155"/>
        <v>1.0275571975429532</v>
      </c>
      <c r="R279" s="1">
        <f t="shared" si="156"/>
        <v>60.879929565963288</v>
      </c>
      <c r="S279" s="1">
        <f t="shared" si="157"/>
        <v>52.823782392303357</v>
      </c>
      <c r="T279" s="1">
        <f t="shared" si="158"/>
        <v>51.433375898092152</v>
      </c>
      <c r="U279" s="1" t="str">
        <f t="shared" si="159"/>
        <v>sell to the Grid</v>
      </c>
      <c r="W279" s="1">
        <f t="shared" si="160"/>
        <v>6.0903315098370839E-2</v>
      </c>
      <c r="Y279" s="1">
        <f t="shared" si="145"/>
        <v>2.288097674418605E-2</v>
      </c>
      <c r="AA279" s="1">
        <f t="shared" si="150"/>
        <v>77.124691300278542</v>
      </c>
      <c r="AC279" s="1">
        <f t="shared" si="146"/>
        <v>0.38604651162790704</v>
      </c>
      <c r="AD279" s="1">
        <f t="shared" si="151"/>
        <v>0.63604651162790704</v>
      </c>
    </row>
    <row r="280" spans="1:30" ht="15">
      <c r="A280" s="1">
        <v>279</v>
      </c>
      <c r="B280" s="1">
        <f t="shared" si="153"/>
        <v>0</v>
      </c>
      <c r="C280" s="1">
        <f t="shared" si="147"/>
        <v>0</v>
      </c>
      <c r="D280" s="1">
        <f t="shared" si="152"/>
        <v>1.2592149877471481E-2</v>
      </c>
      <c r="E280">
        <v>59.27</v>
      </c>
      <c r="K280" s="1">
        <f>'Solar Availability and Gener GR'!F280</f>
        <v>1.1909730259058111</v>
      </c>
      <c r="L280" s="1">
        <v>0.38604651162790704</v>
      </c>
      <c r="M280" s="1">
        <f t="shared" si="148"/>
        <v>0.80492651427790407</v>
      </c>
      <c r="N280" s="1" t="str">
        <f t="shared" si="149"/>
        <v>sell the surplus or charge</v>
      </c>
      <c r="O280" s="1">
        <v>0.25</v>
      </c>
      <c r="P280" s="1">
        <f t="shared" si="154"/>
        <v>0.64759036144578308</v>
      </c>
      <c r="Q280" s="1">
        <f t="shared" si="155"/>
        <v>0.94097302590581111</v>
      </c>
      <c r="R280" s="1">
        <f t="shared" si="156"/>
        <v>55.748085713029873</v>
      </c>
      <c r="S280" s="1">
        <f t="shared" si="157"/>
        <v>47.69193853936995</v>
      </c>
      <c r="T280" s="1">
        <f t="shared" si="158"/>
        <v>50.712691508365388</v>
      </c>
      <c r="U280" s="1" t="str">
        <f t="shared" si="159"/>
        <v>sell to the Grid</v>
      </c>
      <c r="W280" s="1">
        <f t="shared" si="160"/>
        <v>5.5771471245437423E-2</v>
      </c>
      <c r="Y280" s="1">
        <f t="shared" si="145"/>
        <v>2.288097674418605E-2</v>
      </c>
      <c r="AA280" s="1">
        <f t="shared" si="150"/>
        <v>77.929617814556451</v>
      </c>
      <c r="AC280" s="1">
        <f t="shared" si="146"/>
        <v>0.38604651162790704</v>
      </c>
      <c r="AD280" s="1">
        <f t="shared" si="151"/>
        <v>0.63604651162790704</v>
      </c>
    </row>
    <row r="281" spans="1:30" ht="15">
      <c r="A281" s="1">
        <v>280</v>
      </c>
      <c r="B281" s="1">
        <f t="shared" si="153"/>
        <v>0</v>
      </c>
      <c r="C281" s="1">
        <f t="shared" si="147"/>
        <v>0</v>
      </c>
      <c r="D281" s="1">
        <f t="shared" si="152"/>
        <v>1.2592149877471481E-2</v>
      </c>
      <c r="E281">
        <v>59.27</v>
      </c>
      <c r="K281" s="1">
        <f>'Solar Availability and Gener GR'!F281</f>
        <v>0.92246060713967637</v>
      </c>
      <c r="L281" s="1">
        <v>0.64341085271317833</v>
      </c>
      <c r="M281" s="1">
        <f t="shared" si="148"/>
        <v>0.27904975442649804</v>
      </c>
      <c r="N281" s="1" t="str">
        <f t="shared" si="149"/>
        <v>sell the surplus or charge</v>
      </c>
      <c r="O281" s="1">
        <v>0.25</v>
      </c>
      <c r="P281" s="1">
        <f t="shared" si="154"/>
        <v>0.38855421686746988</v>
      </c>
      <c r="Q281" s="1">
        <f t="shared" si="155"/>
        <v>0.67246060713967637</v>
      </c>
      <c r="R281" s="1">
        <f t="shared" si="156"/>
        <v>39.833354652761066</v>
      </c>
      <c r="S281" s="1">
        <f t="shared" si="157"/>
        <v>16.531840149369927</v>
      </c>
      <c r="T281" s="1">
        <f t="shared" si="158"/>
        <v>24.667673914508864</v>
      </c>
      <c r="U281" s="1" t="str">
        <f t="shared" si="159"/>
        <v>sell to the Grid</v>
      </c>
      <c r="W281" s="1">
        <f t="shared" si="160"/>
        <v>3.9856740185168618E-2</v>
      </c>
      <c r="Y281" s="1">
        <f t="shared" si="145"/>
        <v>3.8134961240310086E-2</v>
      </c>
      <c r="AA281" s="1">
        <f t="shared" si="150"/>
        <v>78.208667568982946</v>
      </c>
      <c r="AC281" s="1">
        <f t="shared" si="146"/>
        <v>0.64341085271317833</v>
      </c>
      <c r="AD281" s="1">
        <f t="shared" si="151"/>
        <v>0.89341085271317833</v>
      </c>
    </row>
    <row r="282" spans="1:30" ht="15">
      <c r="A282" s="1">
        <v>281</v>
      </c>
      <c r="B282" s="1">
        <f t="shared" si="153"/>
        <v>0</v>
      </c>
      <c r="C282" s="1">
        <f t="shared" si="147"/>
        <v>0</v>
      </c>
      <c r="D282" s="1">
        <f t="shared" si="152"/>
        <v>1.2592149877471481E-2</v>
      </c>
      <c r="E282">
        <v>59.27</v>
      </c>
      <c r="K282" s="1">
        <f>'Solar Availability and Gener GR'!F282</f>
        <v>0.54864239294934358</v>
      </c>
      <c r="L282" s="1">
        <v>0.64341085271317833</v>
      </c>
      <c r="M282" s="1">
        <f t="shared" si="148"/>
        <v>-9.4768459763834745E-2</v>
      </c>
      <c r="N282" s="1" t="str">
        <f t="shared" si="149"/>
        <v>Buy from Grid</v>
      </c>
      <c r="V282" s="1" t="str">
        <f t="shared" ref="V282:V289" si="161">IF(D282+M282&gt;0,"discharge","buy from the Grid")</f>
        <v>buy from the Grid</v>
      </c>
      <c r="X282" s="1">
        <f t="shared" ref="X282:X289" si="162">(M282*E282)/1000</f>
        <v>-5.6169266102024853E-3</v>
      </c>
      <c r="Y282" s="1">
        <f t="shared" si="145"/>
        <v>3.8134961240310086E-2</v>
      </c>
      <c r="AA282" s="1">
        <f t="shared" si="150"/>
        <v>78.113899109219105</v>
      </c>
      <c r="AC282" s="1">
        <f t="shared" si="146"/>
        <v>0.64341085271317833</v>
      </c>
      <c r="AD282" s="1">
        <f t="shared" si="151"/>
        <v>0.64341085271317833</v>
      </c>
    </row>
    <row r="283" spans="1:30" ht="15">
      <c r="A283" s="1">
        <v>282</v>
      </c>
      <c r="B283" s="1">
        <f t="shared" si="153"/>
        <v>0</v>
      </c>
      <c r="C283" s="1">
        <f t="shared" si="147"/>
        <v>0</v>
      </c>
      <c r="D283" s="1">
        <f t="shared" si="152"/>
        <v>1.2592149877471481E-2</v>
      </c>
      <c r="E283">
        <v>59.27</v>
      </c>
      <c r="K283" s="1">
        <f>'Solar Availability and Gener GR'!F283</f>
        <v>0.13652630641858823</v>
      </c>
      <c r="L283" s="1">
        <v>0.64341085271317833</v>
      </c>
      <c r="M283" s="1">
        <f t="shared" si="148"/>
        <v>-0.50688454629459012</v>
      </c>
      <c r="N283" s="1" t="str">
        <f t="shared" si="149"/>
        <v>Buy from Grid</v>
      </c>
      <c r="V283" s="1" t="str">
        <f t="shared" si="161"/>
        <v>buy from the Grid</v>
      </c>
      <c r="X283" s="1">
        <f t="shared" si="162"/>
        <v>-3.0043047058880359E-2</v>
      </c>
      <c r="Y283" s="1">
        <f t="shared" si="145"/>
        <v>3.8134961240310086E-2</v>
      </c>
      <c r="AA283" s="1">
        <f t="shared" si="150"/>
        <v>77.607014562924519</v>
      </c>
      <c r="AC283" s="1">
        <f t="shared" si="146"/>
        <v>0.64341085271317833</v>
      </c>
      <c r="AD283" s="1">
        <f t="shared" si="151"/>
        <v>0.64341085271317833</v>
      </c>
    </row>
    <row r="284" spans="1:30" ht="15">
      <c r="A284" s="1">
        <v>283</v>
      </c>
      <c r="B284" s="1">
        <f t="shared" si="153"/>
        <v>0</v>
      </c>
      <c r="C284" s="1">
        <f t="shared" si="147"/>
        <v>0</v>
      </c>
      <c r="D284" s="1">
        <f t="shared" si="152"/>
        <v>1.2592149877471481E-2</v>
      </c>
      <c r="E284">
        <v>59.27</v>
      </c>
      <c r="K284" s="1">
        <f>'Solar Availability and Gener GR'!F284</f>
        <v>0</v>
      </c>
      <c r="L284" s="1">
        <v>0.64341085271317833</v>
      </c>
      <c r="M284" s="1">
        <f t="shared" si="148"/>
        <v>-0.64341085271317833</v>
      </c>
      <c r="N284" s="1" t="str">
        <f t="shared" si="149"/>
        <v>Buy from Grid</v>
      </c>
      <c r="V284" s="1" t="str">
        <f t="shared" si="161"/>
        <v>buy from the Grid</v>
      </c>
      <c r="X284" s="1">
        <f t="shared" si="162"/>
        <v>-3.8134961240310086E-2</v>
      </c>
      <c r="Y284" s="1">
        <f t="shared" si="145"/>
        <v>3.8134961240310086E-2</v>
      </c>
      <c r="AA284" s="1">
        <f t="shared" si="150"/>
        <v>76.963603710211345</v>
      </c>
      <c r="AC284" s="1">
        <f t="shared" si="146"/>
        <v>0.64341085271317833</v>
      </c>
      <c r="AD284" s="1">
        <f t="shared" si="151"/>
        <v>0.64341085271317833</v>
      </c>
    </row>
    <row r="285" spans="1:30" ht="15">
      <c r="A285" s="1">
        <v>284</v>
      </c>
      <c r="B285" s="1">
        <f t="shared" si="153"/>
        <v>0</v>
      </c>
      <c r="C285" s="1">
        <f t="shared" si="147"/>
        <v>0</v>
      </c>
      <c r="D285" s="1">
        <f t="shared" si="152"/>
        <v>1.2592149877471481E-2</v>
      </c>
      <c r="E285">
        <v>59.27</v>
      </c>
      <c r="K285" s="1">
        <f>'Solar Availability and Gener GR'!F285</f>
        <v>0</v>
      </c>
      <c r="L285" s="1">
        <v>0.64341085271317833</v>
      </c>
      <c r="M285" s="1">
        <f t="shared" si="148"/>
        <v>-0.64341085271317833</v>
      </c>
      <c r="N285" s="1" t="str">
        <f t="shared" si="149"/>
        <v>Buy from Grid</v>
      </c>
      <c r="V285" s="1" t="str">
        <f t="shared" si="161"/>
        <v>buy from the Grid</v>
      </c>
      <c r="X285" s="1">
        <f t="shared" si="162"/>
        <v>-3.8134961240310086E-2</v>
      </c>
      <c r="Y285" s="1">
        <f t="shared" si="145"/>
        <v>3.8134961240310086E-2</v>
      </c>
      <c r="AA285" s="1">
        <f t="shared" si="150"/>
        <v>76.320192857498171</v>
      </c>
      <c r="AC285" s="1">
        <f t="shared" si="146"/>
        <v>0.64341085271317833</v>
      </c>
      <c r="AD285" s="1">
        <f t="shared" si="151"/>
        <v>0.64341085271317833</v>
      </c>
    </row>
    <row r="286" spans="1:30" ht="15">
      <c r="A286" s="1">
        <v>285</v>
      </c>
      <c r="B286" s="1">
        <f t="shared" si="153"/>
        <v>0</v>
      </c>
      <c r="C286" s="1">
        <f t="shared" si="147"/>
        <v>0</v>
      </c>
      <c r="D286" s="1">
        <f t="shared" si="152"/>
        <v>1.2592149877471481E-2</v>
      </c>
      <c r="E286">
        <v>59.27</v>
      </c>
      <c r="K286" s="1">
        <f>'Solar Availability and Gener GR'!F286</f>
        <v>0</v>
      </c>
      <c r="L286" s="1">
        <v>0.64341085271317833</v>
      </c>
      <c r="M286" s="1">
        <f t="shared" si="148"/>
        <v>-0.64341085271317833</v>
      </c>
      <c r="N286" s="1" t="str">
        <f t="shared" si="149"/>
        <v>Buy from Grid</v>
      </c>
      <c r="V286" s="1" t="str">
        <f t="shared" si="161"/>
        <v>buy from the Grid</v>
      </c>
      <c r="X286" s="1">
        <f t="shared" si="162"/>
        <v>-3.8134961240310086E-2</v>
      </c>
      <c r="Y286" s="1">
        <f t="shared" si="145"/>
        <v>3.8134961240310086E-2</v>
      </c>
      <c r="AA286" s="1">
        <f t="shared" si="150"/>
        <v>75.676782004784997</v>
      </c>
      <c r="AC286" s="1">
        <f t="shared" si="146"/>
        <v>0.64341085271317833</v>
      </c>
      <c r="AD286" s="1">
        <f t="shared" si="151"/>
        <v>0.64341085271317833</v>
      </c>
    </row>
    <row r="287" spans="1:30" ht="15">
      <c r="A287" s="1">
        <v>286</v>
      </c>
      <c r="B287" s="1">
        <f t="shared" si="153"/>
        <v>0</v>
      </c>
      <c r="C287" s="1">
        <f t="shared" si="147"/>
        <v>0</v>
      </c>
      <c r="D287" s="1">
        <f t="shared" si="152"/>
        <v>1.2592149877471481E-2</v>
      </c>
      <c r="E287">
        <v>59.27</v>
      </c>
      <c r="K287" s="1">
        <f>'Solar Availability and Gener GR'!F287</f>
        <v>0</v>
      </c>
      <c r="L287" s="1">
        <v>0.64341085271317833</v>
      </c>
      <c r="M287" s="1">
        <f t="shared" si="148"/>
        <v>-0.64341085271317833</v>
      </c>
      <c r="N287" s="1" t="str">
        <f t="shared" si="149"/>
        <v>Buy from Grid</v>
      </c>
      <c r="V287" s="1" t="str">
        <f t="shared" si="161"/>
        <v>buy from the Grid</v>
      </c>
      <c r="X287" s="1">
        <f t="shared" si="162"/>
        <v>-3.8134961240310086E-2</v>
      </c>
      <c r="Y287" s="1">
        <f t="shared" si="145"/>
        <v>3.8134961240310086E-2</v>
      </c>
      <c r="AA287" s="1">
        <f t="shared" si="150"/>
        <v>75.033371152071823</v>
      </c>
      <c r="AC287" s="1">
        <f t="shared" si="146"/>
        <v>0.64341085271317833</v>
      </c>
      <c r="AD287" s="1">
        <f t="shared" si="151"/>
        <v>0.64341085271317833</v>
      </c>
    </row>
    <row r="288" spans="1:30" ht="15">
      <c r="A288" s="1">
        <v>287</v>
      </c>
      <c r="B288" s="1">
        <f t="shared" si="153"/>
        <v>0</v>
      </c>
      <c r="C288" s="1">
        <f t="shared" si="147"/>
        <v>0</v>
      </c>
      <c r="D288" s="1">
        <f t="shared" si="152"/>
        <v>1.2592149877471481E-2</v>
      </c>
      <c r="E288">
        <v>59.27</v>
      </c>
      <c r="K288" s="1">
        <f>'Solar Availability and Gener GR'!F288</f>
        <v>0</v>
      </c>
      <c r="L288" s="1">
        <v>0.25736434108527134</v>
      </c>
      <c r="M288" s="1">
        <f t="shared" si="148"/>
        <v>-0.25736434108527134</v>
      </c>
      <c r="N288" s="1" t="str">
        <f t="shared" si="149"/>
        <v>Buy from Grid</v>
      </c>
      <c r="V288" s="1" t="str">
        <f t="shared" si="161"/>
        <v>buy from the Grid</v>
      </c>
      <c r="X288" s="1">
        <f t="shared" si="162"/>
        <v>-1.5253984496124034E-2</v>
      </c>
      <c r="Y288" s="1">
        <f t="shared" si="145"/>
        <v>1.5253984496124034E-2</v>
      </c>
      <c r="AA288" s="1">
        <f t="shared" si="150"/>
        <v>74.776006810986544</v>
      </c>
      <c r="AC288" s="1">
        <f t="shared" si="146"/>
        <v>0.25736434108527134</v>
      </c>
      <c r="AD288" s="1">
        <f t="shared" si="151"/>
        <v>0.25736434108527134</v>
      </c>
    </row>
    <row r="289" spans="1:31" ht="15">
      <c r="A289" s="1">
        <v>288</v>
      </c>
      <c r="B289" s="1">
        <f t="shared" si="153"/>
        <v>0</v>
      </c>
      <c r="C289" s="1">
        <f t="shared" si="147"/>
        <v>0</v>
      </c>
      <c r="D289" s="1">
        <f t="shared" si="152"/>
        <v>1.2592149877471481E-2</v>
      </c>
      <c r="E289">
        <v>59.27</v>
      </c>
      <c r="K289" s="1">
        <f>'Solar Availability and Gener GR'!F289</f>
        <v>0</v>
      </c>
      <c r="L289" s="1">
        <v>0.25736434108527134</v>
      </c>
      <c r="M289" s="1">
        <f t="shared" si="148"/>
        <v>-0.25736434108527134</v>
      </c>
      <c r="N289" s="1" t="str">
        <f t="shared" si="149"/>
        <v>Buy from Grid</v>
      </c>
      <c r="V289" s="1" t="str">
        <f t="shared" si="161"/>
        <v>buy from the Grid</v>
      </c>
      <c r="X289" s="1">
        <f t="shared" si="162"/>
        <v>-1.5253984496124034E-2</v>
      </c>
      <c r="Y289" s="1">
        <f t="shared" si="145"/>
        <v>1.5253984496124034E-2</v>
      </c>
      <c r="AA289" s="1">
        <f t="shared" si="150"/>
        <v>74.518642469901266</v>
      </c>
      <c r="AC289" s="1">
        <f t="shared" si="146"/>
        <v>0.25736434108527134</v>
      </c>
      <c r="AD289" s="1">
        <f t="shared" si="151"/>
        <v>0.25736434108527134</v>
      </c>
    </row>
    <row r="290" spans="1:31">
      <c r="W290" s="1">
        <f>SUM(W2:W289)</f>
        <v>9.8592178140304387</v>
      </c>
      <c r="X290" s="1">
        <f>SUM(X2:X289)</f>
        <v>-3.8523500259138443</v>
      </c>
      <c r="Y290" s="1">
        <f>SUM(Y2:Y289)</f>
        <v>7.6270662298868448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180.20603364349782</v>
      </c>
      <c r="Y291" s="1">
        <f>Y290*30</f>
        <v>228.81198689660533</v>
      </c>
      <c r="AD291" s="1">
        <f>SUM(AD2:AD290)*30</f>
        <v>3198.0837209302372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228.81198689660533</v>
      </c>
    </row>
    <row r="295" spans="1:31" ht="30">
      <c r="V295" s="1" t="s">
        <v>354</v>
      </c>
      <c r="W295" s="1">
        <f>W291+W293</f>
        <v>409.01802054010318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351755497.66448873</v>
      </c>
      <c r="Y297" s="3">
        <f>($L$291-$AD$291)*W297/1000000</f>
        <v>569.6802040000033</v>
      </c>
      <c r="AA297" s="11">
        <f>$W$291*W297</f>
        <v>154977188.93340811</v>
      </c>
    </row>
    <row r="298" spans="1:31">
      <c r="V298" s="1">
        <v>2035</v>
      </c>
      <c r="W298" s="1">
        <v>1720000</v>
      </c>
      <c r="X298" s="11">
        <f t="shared" ref="X298:X301" si="163">$W$295*W298</f>
        <v>703510995.32897747</v>
      </c>
      <c r="Y298" s="3">
        <f>($L$291-$AD$291)*W298/1000000</f>
        <v>1139.3604080000066</v>
      </c>
      <c r="AA298" s="11">
        <f t="shared" ref="AA298:AA301" si="164">$W$291*W298</f>
        <v>309954377.86681622</v>
      </c>
    </row>
    <row r="299" spans="1:31">
      <c r="V299" s="1">
        <v>2040</v>
      </c>
      <c r="W299" s="1">
        <v>2580000</v>
      </c>
      <c r="X299" s="11">
        <f t="shared" si="163"/>
        <v>1055266492.9934663</v>
      </c>
      <c r="Y299" s="3">
        <f>($L$291-$AD$291)*W299/1000000</f>
        <v>1709.04061200001</v>
      </c>
      <c r="AA299" s="11">
        <f t="shared" si="164"/>
        <v>464931566.80022436</v>
      </c>
    </row>
    <row r="300" spans="1:31">
      <c r="V300" s="1">
        <v>2045</v>
      </c>
      <c r="W300" s="1">
        <v>3440000</v>
      </c>
      <c r="X300" s="11">
        <f t="shared" si="163"/>
        <v>1407021990.6579549</v>
      </c>
      <c r="Y300" s="3">
        <f>($L$291-$AD$291)*W300/1000000</f>
        <v>2278.7208160000132</v>
      </c>
      <c r="AA300" s="11">
        <f t="shared" si="164"/>
        <v>619908755.73363245</v>
      </c>
    </row>
    <row r="301" spans="1:31">
      <c r="V301" s="1">
        <v>2050</v>
      </c>
      <c r="W301" s="1">
        <v>4300000</v>
      </c>
      <c r="X301" s="11">
        <f t="shared" si="163"/>
        <v>1758777488.3224437</v>
      </c>
      <c r="Y301" s="3">
        <f>($L$291-$AD$291)*W301/1000000</f>
        <v>2848.4010200000166</v>
      </c>
      <c r="AA301" s="11">
        <f t="shared" si="164"/>
        <v>774885944.66704059</v>
      </c>
    </row>
  </sheetData>
  <autoFilter ref="A1:V289" xr:uid="{341E820E-40E6-49AC-8FF5-E40C9CA07058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3FEB-C3DD-EA42-9108-0B3F8A2F22E3}">
  <dimension ref="A1:K180"/>
  <sheetViews>
    <sheetView workbookViewId="0">
      <selection activeCell="R34" sqref="R34"/>
    </sheetView>
  </sheetViews>
  <sheetFormatPr baseColWidth="10" defaultRowHeight="14"/>
  <sheetData>
    <row r="1" spans="1:11">
      <c r="A1">
        <v>-0.29721720930232565</v>
      </c>
      <c r="C1">
        <f>SUM(A1:A180)/108</f>
        <v>-0.64305703173455986</v>
      </c>
      <c r="F1">
        <f>K1+C1</f>
        <v>0.89716658617694955</v>
      </c>
      <c r="I1">
        <v>0.35861301522300082</v>
      </c>
      <c r="K1">
        <f>SUM(I1:I108)/108</f>
        <v>1.5402236179115094</v>
      </c>
    </row>
    <row r="2" spans="1:11">
      <c r="A2">
        <v>-0.29596899224806206</v>
      </c>
      <c r="I2">
        <v>0.8263999999999998</v>
      </c>
    </row>
    <row r="3" spans="1:11">
      <c r="A3">
        <v>-0.29596899224806206</v>
      </c>
      <c r="I3">
        <v>1.1215999999999999</v>
      </c>
    </row>
    <row r="4" spans="1:11">
      <c r="A4">
        <v>-0.29596899224806206</v>
      </c>
      <c r="I4">
        <v>1.1792</v>
      </c>
    </row>
    <row r="5" spans="1:11">
      <c r="A5">
        <v>-0.29596899224806206</v>
      </c>
      <c r="I5">
        <v>1.1035999999999999</v>
      </c>
    </row>
    <row r="6" spans="1:11">
      <c r="A6">
        <v>-0.39891472868217059</v>
      </c>
      <c r="I6">
        <v>0.85519999999999996</v>
      </c>
    </row>
    <row r="7" spans="1:11">
      <c r="A7">
        <v>-0.6331472868217054</v>
      </c>
      <c r="I7">
        <v>0.50959999999999994</v>
      </c>
    </row>
    <row r="8" spans="1:11">
      <c r="A8">
        <v>-0.59714728682170548</v>
      </c>
      <c r="I8">
        <v>0.35861301522300082</v>
      </c>
    </row>
    <row r="9" spans="1:11">
      <c r="A9">
        <v>-0.54827906976744201</v>
      </c>
      <c r="I9">
        <v>0.8263999999999998</v>
      </c>
    </row>
    <row r="10" spans="1:11">
      <c r="A10">
        <v>-0.22073881841777088</v>
      </c>
      <c r="I10">
        <v>1.3916000000000002</v>
      </c>
    </row>
    <row r="11" spans="1:11">
      <c r="A11">
        <v>-0.3595472868217055</v>
      </c>
      <c r="I11">
        <v>1.5247999999999999</v>
      </c>
    </row>
    <row r="12" spans="1:11">
      <c r="A12">
        <v>-0.62747906976744194</v>
      </c>
      <c r="I12">
        <v>1.4096</v>
      </c>
    </row>
    <row r="13" spans="1:11">
      <c r="A13">
        <v>-0.66914728682170543</v>
      </c>
      <c r="I13">
        <v>1.1612</v>
      </c>
    </row>
    <row r="14" spans="1:11">
      <c r="A14">
        <v>-0.66914728682170543</v>
      </c>
      <c r="I14">
        <v>0.8335999999999999</v>
      </c>
    </row>
    <row r="15" spans="1:11">
      <c r="A15">
        <v>-0.39891472868217059</v>
      </c>
      <c r="I15">
        <v>0.50959999999999994</v>
      </c>
    </row>
    <row r="16" spans="1:11">
      <c r="A16">
        <v>-0.39891472868217059</v>
      </c>
      <c r="I16">
        <v>1.1828000000000001</v>
      </c>
    </row>
    <row r="17" spans="1:9">
      <c r="A17">
        <v>-0.39891472868217059</v>
      </c>
      <c r="I17">
        <v>1.6616000000000002</v>
      </c>
    </row>
    <row r="18" spans="1:9">
      <c r="A18">
        <v>-0.29596899224806206</v>
      </c>
      <c r="I18">
        <v>1.9388000000000001</v>
      </c>
    </row>
    <row r="19" spans="1:9">
      <c r="A19">
        <v>-0.29596899224806206</v>
      </c>
      <c r="I19">
        <v>2.1008</v>
      </c>
    </row>
    <row r="20" spans="1:9">
      <c r="A20">
        <v>-0.29596899224806206</v>
      </c>
      <c r="I20">
        <v>1.9855999999999998</v>
      </c>
    </row>
    <row r="21" spans="1:9">
      <c r="A21">
        <v>-0.29596899224806206</v>
      </c>
      <c r="I21">
        <v>1.6976</v>
      </c>
    </row>
    <row r="22" spans="1:9">
      <c r="A22">
        <v>-0.29596899224806206</v>
      </c>
      <c r="I22">
        <v>1.2547999999999999</v>
      </c>
    </row>
    <row r="23" spans="1:9">
      <c r="A23">
        <v>-0.39891472868217059</v>
      </c>
      <c r="I23">
        <v>0.6896000000000001</v>
      </c>
    </row>
    <row r="24" spans="1:9">
      <c r="A24">
        <v>-0.6331472868217054</v>
      </c>
      <c r="I24">
        <v>0.81919999999999993</v>
      </c>
    </row>
    <row r="25" spans="1:9">
      <c r="A25">
        <v>-0.58427906976744204</v>
      </c>
      <c r="I25">
        <v>1.64</v>
      </c>
    </row>
    <row r="26" spans="1:9">
      <c r="A26">
        <v>-0.54827906976744201</v>
      </c>
      <c r="I26">
        <v>2.1764000000000001</v>
      </c>
    </row>
    <row r="27" spans="1:9">
      <c r="A27">
        <v>-0.22073881841777088</v>
      </c>
      <c r="I27">
        <v>2.4247999999999998</v>
      </c>
    </row>
    <row r="28" spans="1:9">
      <c r="A28">
        <v>-0.1291472868217054</v>
      </c>
      <c r="I28">
        <v>2.54</v>
      </c>
    </row>
    <row r="29" spans="1:9">
      <c r="A29">
        <v>-0.5323472868217054</v>
      </c>
      <c r="I29">
        <v>2.3852000000000002</v>
      </c>
    </row>
    <row r="30" spans="1:9">
      <c r="A30">
        <v>-0.65627906976744199</v>
      </c>
      <c r="I30">
        <v>2.1008</v>
      </c>
    </row>
    <row r="31" spans="1:9">
      <c r="A31">
        <v>-0.66914728682170543</v>
      </c>
      <c r="I31">
        <v>1.6760000000000002</v>
      </c>
    </row>
    <row r="32" spans="1:9">
      <c r="A32">
        <v>-0.39891472868217059</v>
      </c>
      <c r="I32">
        <v>1.0639999999999998</v>
      </c>
    </row>
    <row r="33" spans="1:9">
      <c r="A33">
        <v>-0.39891472868217059</v>
      </c>
      <c r="I33">
        <v>0.42320000000000002</v>
      </c>
    </row>
    <row r="34" spans="1:9">
      <c r="A34">
        <v>-0.39891472868217059</v>
      </c>
      <c r="I34">
        <v>0.49160000000000004</v>
      </c>
    </row>
    <row r="35" spans="1:9">
      <c r="A35">
        <v>-0.29596899224806206</v>
      </c>
      <c r="I35">
        <v>1.0676000000000001</v>
      </c>
    </row>
    <row r="36" spans="1:9">
      <c r="A36">
        <v>-0.29596899224806206</v>
      </c>
      <c r="I36">
        <v>1.9100000000000001</v>
      </c>
    </row>
    <row r="37" spans="1:9">
      <c r="A37">
        <v>-0.29596899224806206</v>
      </c>
      <c r="I37">
        <v>2.4068000000000001</v>
      </c>
    </row>
    <row r="38" spans="1:9">
      <c r="A38">
        <v>-0.29596899224806206</v>
      </c>
      <c r="I38">
        <v>2.6732000000000005</v>
      </c>
    </row>
    <row r="39" spans="1:9">
      <c r="A39">
        <v>-0.29596899224806206</v>
      </c>
      <c r="I39">
        <v>2.7307999999999995</v>
      </c>
    </row>
    <row r="40" spans="1:9">
      <c r="A40">
        <v>-0.39891472868217059</v>
      </c>
      <c r="I40">
        <v>2.5580000000000003</v>
      </c>
    </row>
    <row r="41" spans="1:9">
      <c r="A41">
        <v>-0.66914728682170543</v>
      </c>
      <c r="I41">
        <v>2.27</v>
      </c>
    </row>
    <row r="42" spans="1:9">
      <c r="A42">
        <v>-0.65294728682170544</v>
      </c>
      <c r="I42">
        <v>1.8487999999999998</v>
      </c>
    </row>
    <row r="43" spans="1:9">
      <c r="A43">
        <v>-0.42434728682170542</v>
      </c>
      <c r="I43">
        <v>1.2367999999999999</v>
      </c>
    </row>
    <row r="44" spans="1:9">
      <c r="A44">
        <v>-0.32354728682170547</v>
      </c>
      <c r="I44">
        <v>0.64279999999999993</v>
      </c>
    </row>
    <row r="45" spans="1:9">
      <c r="A45">
        <v>-0.62747906976744194</v>
      </c>
      <c r="I45">
        <v>0.57006587732573366</v>
      </c>
    </row>
    <row r="46" spans="1:9">
      <c r="A46">
        <v>-0.66914728682170543</v>
      </c>
      <c r="I46">
        <v>1.1632288791952279</v>
      </c>
    </row>
    <row r="47" spans="1:9">
      <c r="A47">
        <v>-0.39891472868217059</v>
      </c>
      <c r="I47">
        <v>2.1777485978812412</v>
      </c>
    </row>
    <row r="48" spans="1:9">
      <c r="A48">
        <v>-0.39891472868217059</v>
      </c>
      <c r="I48">
        <v>2.6751936259236153</v>
      </c>
    </row>
    <row r="49" spans="1:9">
      <c r="A49">
        <v>-0.39891472868217059</v>
      </c>
      <c r="I49">
        <v>2.9428647734354128</v>
      </c>
    </row>
    <row r="50" spans="1:9">
      <c r="A50">
        <v>-0.29596899224806206</v>
      </c>
      <c r="I50">
        <v>2.9424241075402815</v>
      </c>
    </row>
    <row r="51" spans="1:9">
      <c r="A51">
        <v>-0.29596899224806206</v>
      </c>
      <c r="I51">
        <v>2.8079809489895817</v>
      </c>
    </row>
    <row r="52" spans="1:9">
      <c r="A52">
        <v>-0.29596899224806206</v>
      </c>
      <c r="I52">
        <v>2.5394952372473929</v>
      </c>
    </row>
    <row r="53" spans="1:9">
      <c r="A53">
        <v>-0.29596899224806206</v>
      </c>
      <c r="I53">
        <v>2.1178046826315309</v>
      </c>
    </row>
    <row r="54" spans="1:9">
      <c r="A54">
        <v>-0.29596899224806206</v>
      </c>
      <c r="I54">
        <v>1.5429226386539647</v>
      </c>
    </row>
    <row r="55" spans="1:9">
      <c r="A55">
        <v>-0.39891472868217059</v>
      </c>
      <c r="I55">
        <v>0.87228256031336016</v>
      </c>
    </row>
    <row r="56" spans="1:9">
      <c r="A56">
        <v>-0.65627906976744199</v>
      </c>
      <c r="I56">
        <v>0.43602332413424605</v>
      </c>
    </row>
    <row r="57" spans="1:9">
      <c r="A57">
        <v>-0.52667906976744194</v>
      </c>
      <c r="I57">
        <v>1.0100640968574714</v>
      </c>
    </row>
    <row r="58" spans="1:9">
      <c r="A58">
        <v>-0.10547906976744204</v>
      </c>
      <c r="I58">
        <v>1.9766981216059798</v>
      </c>
    </row>
    <row r="59" spans="1:9">
      <c r="A59">
        <v>-0.51227906976744197</v>
      </c>
      <c r="I59">
        <v>2.6560179827294559</v>
      </c>
    </row>
    <row r="60" spans="1:9">
      <c r="A60">
        <v>-0.65505506976744199</v>
      </c>
      <c r="I60">
        <v>2.923729190777173</v>
      </c>
    </row>
    <row r="61" spans="1:9">
      <c r="A61">
        <v>-0.39891472868217059</v>
      </c>
      <c r="I61">
        <v>3.0190465592450799</v>
      </c>
    </row>
    <row r="62" spans="1:9">
      <c r="A62">
        <v>-0.39891472868217059</v>
      </c>
      <c r="I62">
        <v>2.9228745660108606</v>
      </c>
    </row>
    <row r="63" spans="1:9">
      <c r="A63">
        <v>-0.39891472868217059</v>
      </c>
      <c r="I63">
        <v>2.6926733730971213</v>
      </c>
    </row>
    <row r="64" spans="1:9">
      <c r="A64">
        <v>-0.30883720930232561</v>
      </c>
      <c r="I64">
        <v>2.2614083503961528</v>
      </c>
    </row>
    <row r="65" spans="1:9">
      <c r="A65">
        <v>-0.29596899224806206</v>
      </c>
      <c r="I65">
        <v>1.6290794979079473</v>
      </c>
    </row>
    <row r="66" spans="1:9">
      <c r="A66">
        <v>-0.29596899224806206</v>
      </c>
      <c r="I66">
        <v>0.97760170924952949</v>
      </c>
    </row>
    <row r="67" spans="1:9">
      <c r="A67">
        <v>-0.29596899224806206</v>
      </c>
      <c r="I67">
        <v>0.23992700080121115</v>
      </c>
    </row>
    <row r="68" spans="1:9">
      <c r="A68">
        <v>-0.29596899224806206</v>
      </c>
      <c r="I68">
        <v>0.22539837977387839</v>
      </c>
    </row>
    <row r="69" spans="1:9">
      <c r="A69">
        <v>-0.39891472868217059</v>
      </c>
      <c r="I69">
        <v>0.61753761239205807</v>
      </c>
    </row>
    <row r="70" spans="1:9">
      <c r="A70">
        <v>-0.61514728682170539</v>
      </c>
      <c r="I70">
        <v>1.5937193982017253</v>
      </c>
    </row>
    <row r="71" spans="1:9">
      <c r="A71">
        <v>-0.33794728682170549</v>
      </c>
      <c r="I71">
        <v>2.4645820350752228</v>
      </c>
    </row>
    <row r="72" spans="1:9">
      <c r="A72">
        <v>-0.35234728682170546</v>
      </c>
      <c r="I72">
        <v>2.7705377014154697</v>
      </c>
    </row>
    <row r="73" spans="1:9">
      <c r="A73">
        <v>-0.64754728682170548</v>
      </c>
      <c r="I73">
        <v>2.8658417163714054</v>
      </c>
    </row>
    <row r="74" spans="1:9">
      <c r="A74">
        <v>-0.39891472868217059</v>
      </c>
      <c r="I74">
        <v>2.7601086085640518</v>
      </c>
    </row>
    <row r="75" spans="1:9">
      <c r="A75">
        <v>-0.39891472868217059</v>
      </c>
      <c r="I75">
        <v>2.482048428736757</v>
      </c>
    </row>
    <row r="76" spans="1:9">
      <c r="A76">
        <v>-0.29596899224806206</v>
      </c>
      <c r="I76">
        <v>2.0028977120982803</v>
      </c>
    </row>
    <row r="77" spans="1:9">
      <c r="A77">
        <v>-0.29596899224806206</v>
      </c>
      <c r="I77">
        <v>1.4088800854624735</v>
      </c>
    </row>
    <row r="78" spans="1:9">
      <c r="A78">
        <v>-0.30883720930232561</v>
      </c>
      <c r="I78">
        <v>1.4088800854624735</v>
      </c>
    </row>
    <row r="79" spans="1:9">
      <c r="A79">
        <v>-0.30883720930232561</v>
      </c>
      <c r="I79">
        <v>0.64248197275883356</v>
      </c>
    </row>
    <row r="80" spans="1:9">
      <c r="A80">
        <v>-0.30883720930232561</v>
      </c>
      <c r="I80">
        <v>0.49304282026172608</v>
      </c>
    </row>
    <row r="81" spans="1:9">
      <c r="A81">
        <v>-0.39891472868217059</v>
      </c>
      <c r="I81">
        <v>1.4500890234131563</v>
      </c>
    </row>
    <row r="82" spans="1:9">
      <c r="A82">
        <v>-0.65627906976744199</v>
      </c>
      <c r="I82">
        <v>2.0815899581589932</v>
      </c>
    </row>
    <row r="83" spans="1:9">
      <c r="A83">
        <v>-0.59504864887992681</v>
      </c>
      <c r="I83">
        <v>2.3013754117332827</v>
      </c>
    </row>
    <row r="84" spans="1:9">
      <c r="A84">
        <v>-0.25706247580323083</v>
      </c>
      <c r="I84">
        <v>2.348833793287632</v>
      </c>
    </row>
    <row r="85" spans="1:9">
      <c r="A85">
        <v>-0.20463658779468324</v>
      </c>
      <c r="I85">
        <v>2.2718374432475708</v>
      </c>
    </row>
    <row r="86" spans="1:9">
      <c r="A86">
        <v>-0.34980051164308917</v>
      </c>
      <c r="I86">
        <v>1.88843140746016</v>
      </c>
    </row>
    <row r="87" spans="1:9">
      <c r="A87">
        <v>-0.39891472868217059</v>
      </c>
      <c r="I87">
        <v>1.4284563340158452</v>
      </c>
    </row>
    <row r="88" spans="1:9">
      <c r="A88">
        <v>-0.39891472868217059</v>
      </c>
      <c r="I88">
        <v>0.7769518383334808</v>
      </c>
    </row>
    <row r="89" spans="1:9">
      <c r="A89">
        <v>-0.29596899224806206</v>
      </c>
      <c r="I89">
        <v>0.4356093652630616</v>
      </c>
    </row>
    <row r="90" spans="1:9">
      <c r="A90">
        <v>-0.29596899224806206</v>
      </c>
      <c r="I90">
        <v>1.1245571085195381</v>
      </c>
    </row>
    <row r="91" spans="1:9">
      <c r="A91">
        <v>-0.29596899224806206</v>
      </c>
      <c r="I91">
        <v>1.5453930383690888</v>
      </c>
    </row>
    <row r="92" spans="1:9">
      <c r="A92">
        <v>-0.30883720930232561</v>
      </c>
      <c r="I92">
        <v>1.7268939731149291</v>
      </c>
    </row>
    <row r="93" spans="1:9">
      <c r="A93">
        <v>-0.29596899224806206</v>
      </c>
      <c r="I93">
        <v>1.7456423039259323</v>
      </c>
    </row>
    <row r="94" spans="1:9">
      <c r="A94">
        <v>-0.39891472868217059</v>
      </c>
      <c r="I94">
        <v>1.6111857918632597</v>
      </c>
    </row>
    <row r="95" spans="1:9">
      <c r="A95">
        <v>-0.66914728682170543</v>
      </c>
      <c r="I95">
        <v>1.3139633223537788</v>
      </c>
    </row>
    <row r="96" spans="1:9">
      <c r="A96">
        <v>-0.61514728682170539</v>
      </c>
      <c r="I96">
        <v>0.81569037656903598</v>
      </c>
    </row>
    <row r="97" spans="1:9">
      <c r="A97">
        <v>-0.33794728682170549</v>
      </c>
      <c r="I97">
        <v>0.54054126235199706</v>
      </c>
    </row>
    <row r="98" spans="1:9">
      <c r="A98">
        <v>-0.33065157547287649</v>
      </c>
      <c r="I98">
        <v>1.1241431496483572</v>
      </c>
    </row>
    <row r="99" spans="1:9">
      <c r="A99">
        <v>-0.39891472868217059</v>
      </c>
      <c r="I99">
        <v>1.2944</v>
      </c>
    </row>
    <row r="100" spans="1:9">
      <c r="A100">
        <v>-0.29596899224806206</v>
      </c>
      <c r="I100">
        <v>1.2956423039259319</v>
      </c>
    </row>
    <row r="101" spans="1:9">
      <c r="A101">
        <v>-0.29596899224806206</v>
      </c>
      <c r="I101">
        <v>1.1803347280334719</v>
      </c>
    </row>
    <row r="102" spans="1:9">
      <c r="A102">
        <v>-0.29596899224806206</v>
      </c>
      <c r="I102">
        <v>0.87352443692690951</v>
      </c>
    </row>
    <row r="103" spans="1:9">
      <c r="A103">
        <v>-0.29596899224806206</v>
      </c>
      <c r="I103">
        <v>0.35861301522300082</v>
      </c>
    </row>
    <row r="104" spans="1:9">
      <c r="A104">
        <v>-0.39891472868217059</v>
      </c>
      <c r="I104">
        <v>0.76030000890233951</v>
      </c>
    </row>
    <row r="105" spans="1:9">
      <c r="A105">
        <v>-0.66914728682170543</v>
      </c>
      <c r="I105">
        <v>1.0088222202439221</v>
      </c>
    </row>
    <row r="106" spans="1:9">
      <c r="A106">
        <v>-0.66914728682170543</v>
      </c>
      <c r="I106">
        <v>1.0275571975429532</v>
      </c>
    </row>
    <row r="107" spans="1:9">
      <c r="A107">
        <v>-0.65627906976744199</v>
      </c>
      <c r="I107">
        <v>0.94097302590581111</v>
      </c>
    </row>
    <row r="108" spans="1:9">
      <c r="A108">
        <v>-0.38230295978695067</v>
      </c>
      <c r="I108">
        <v>0.67246060713967637</v>
      </c>
    </row>
    <row r="109" spans="1:9">
      <c r="A109">
        <v>-0.21033643259029858</v>
      </c>
    </row>
    <row r="110" spans="1:9">
      <c r="A110">
        <v>-0.13874825489956527</v>
      </c>
    </row>
    <row r="111" spans="1:9">
      <c r="A111">
        <v>-0.38805832344759345</v>
      </c>
    </row>
    <row r="112" spans="1:9">
      <c r="A112">
        <v>-0.29596899224806206</v>
      </c>
    </row>
    <row r="113" spans="1:1">
      <c r="A113">
        <v>-0.30883720930232561</v>
      </c>
    </row>
    <row r="114" spans="1:1">
      <c r="A114">
        <v>-0.29596899224806206</v>
      </c>
    </row>
    <row r="115" spans="1:1">
      <c r="A115">
        <v>-0.29596899224806206</v>
      </c>
    </row>
    <row r="116" spans="1:1">
      <c r="A116">
        <v>-0.29596899224806206</v>
      </c>
    </row>
    <row r="117" spans="1:1">
      <c r="A117">
        <v>-0.39891472868217059</v>
      </c>
    </row>
    <row r="118" spans="1:1">
      <c r="A118">
        <v>-0.66914728682170543</v>
      </c>
    </row>
    <row r="119" spans="1:1">
      <c r="A119">
        <v>-0.65627906976744199</v>
      </c>
    </row>
    <row r="120" spans="1:1">
      <c r="A120">
        <v>-0.63966730087222212</v>
      </c>
    </row>
    <row r="121" spans="1:1">
      <c r="A121">
        <v>-0.32523004961157526</v>
      </c>
    </row>
    <row r="122" spans="1:1">
      <c r="A122">
        <v>-0.10544459603728495</v>
      </c>
    </row>
    <row r="123" spans="1:1">
      <c r="A123">
        <v>-0.31282217331685391</v>
      </c>
    </row>
    <row r="124" spans="1:1">
      <c r="A124">
        <v>-0.35896102085701259</v>
      </c>
    </row>
    <row r="125" spans="1:1">
      <c r="A125">
        <v>-0.39891472868217059</v>
      </c>
    </row>
    <row r="126" spans="1:1">
      <c r="A126">
        <v>-0.39891472868217059</v>
      </c>
    </row>
    <row r="127" spans="1:1">
      <c r="A127">
        <v>-0.29596899224806206</v>
      </c>
    </row>
    <row r="128" spans="1:1">
      <c r="A128">
        <v>-0.29596899224806206</v>
      </c>
    </row>
    <row r="129" spans="1:1">
      <c r="A129">
        <v>-0.29596899224806206</v>
      </c>
    </row>
    <row r="130" spans="1:1">
      <c r="A130">
        <v>-0.29596899224806206</v>
      </c>
    </row>
    <row r="131" spans="1:1">
      <c r="A131">
        <v>-0.29596899224806206</v>
      </c>
    </row>
    <row r="132" spans="1:1">
      <c r="A132">
        <v>-0.39891472868217059</v>
      </c>
    </row>
    <row r="133" spans="1:1">
      <c r="A133">
        <v>-0.51472868217054268</v>
      </c>
    </row>
    <row r="134" spans="1:1">
      <c r="A134">
        <v>-0.65627906976744199</v>
      </c>
    </row>
    <row r="135" spans="1:1">
      <c r="A135">
        <v>-0.63966730087222212</v>
      </c>
    </row>
    <row r="136" spans="1:1">
      <c r="A136">
        <v>-0.37312909706105396</v>
      </c>
    </row>
    <row r="137" spans="1:1">
      <c r="A137">
        <v>-0.21075039146148189</v>
      </c>
    </row>
    <row r="138" spans="1:1">
      <c r="A138">
        <v>-0.20707571199752867</v>
      </c>
    </row>
    <row r="139" spans="1:1">
      <c r="A139">
        <v>-0.60964403746712481</v>
      </c>
    </row>
    <row r="140" spans="1:1">
      <c r="A140">
        <v>-0.39891472868217059</v>
      </c>
    </row>
    <row r="141" spans="1:1">
      <c r="A141">
        <v>-0.39891472868217059</v>
      </c>
    </row>
    <row r="142" spans="1:1">
      <c r="A142">
        <v>-0.25736434108527134</v>
      </c>
    </row>
    <row r="143" spans="1:1">
      <c r="A143">
        <v>-0.25736434108527134</v>
      </c>
    </row>
    <row r="144" spans="1:1">
      <c r="A144">
        <v>-0.19302325581395352</v>
      </c>
    </row>
    <row r="145" spans="1:1">
      <c r="A145">
        <v>-0.19302325581395352</v>
      </c>
    </row>
    <row r="146" spans="1:1">
      <c r="A146">
        <v>-0.19302325581395352</v>
      </c>
    </row>
    <row r="147" spans="1:1">
      <c r="A147">
        <v>-0.19302325581395352</v>
      </c>
    </row>
    <row r="148" spans="1:1">
      <c r="A148">
        <v>-0.19302325581395352</v>
      </c>
    </row>
    <row r="149" spans="1:1">
      <c r="A149">
        <v>-0.19302325581395352</v>
      </c>
    </row>
    <row r="150" spans="1:1">
      <c r="A150">
        <v>-0.25736434108527134</v>
      </c>
    </row>
    <row r="151" spans="1:1">
      <c r="A151">
        <v>-0.65253551792648556</v>
      </c>
    </row>
    <row r="152" spans="1:1">
      <c r="A152">
        <v>-0.37312909706105396</v>
      </c>
    </row>
    <row r="153" spans="1:1">
      <c r="A153">
        <v>-0.32565736199473161</v>
      </c>
    </row>
    <row r="154" spans="1:1">
      <c r="A154">
        <v>-2.924945671564616E-2</v>
      </c>
    </row>
    <row r="155" spans="1:1">
      <c r="A155">
        <v>-2.4760213021298272E-2</v>
      </c>
    </row>
    <row r="156" spans="1:1">
      <c r="A156">
        <v>-0.4655997038073727</v>
      </c>
    </row>
    <row r="157" spans="1:1">
      <c r="A157">
        <v>-0.6479419098075504</v>
      </c>
    </row>
    <row r="158" spans="1:1">
      <c r="A158">
        <v>-0.39891472868217059</v>
      </c>
    </row>
    <row r="159" spans="1:1">
      <c r="A159">
        <v>-0.39891472868217059</v>
      </c>
    </row>
    <row r="160" spans="1:1">
      <c r="A160">
        <v>-0.39891472868217059</v>
      </c>
    </row>
    <row r="161" spans="1:1">
      <c r="A161">
        <v>-0.2831007751937985</v>
      </c>
    </row>
    <row r="162" spans="1:1">
      <c r="A162">
        <v>-0.29596899224806206</v>
      </c>
    </row>
    <row r="163" spans="1:1">
      <c r="A163">
        <v>-0.2831007751937985</v>
      </c>
    </row>
    <row r="164" spans="1:1">
      <c r="A164">
        <v>-0.19302325581395352</v>
      </c>
    </row>
    <row r="165" spans="1:1">
      <c r="A165">
        <v>-0.19302325581395352</v>
      </c>
    </row>
    <row r="166" spans="1:1">
      <c r="A166">
        <v>-0.19302325581395352</v>
      </c>
    </row>
    <row r="167" spans="1:1">
      <c r="A167">
        <v>-0.19302325581395352</v>
      </c>
    </row>
    <row r="168" spans="1:1">
      <c r="A168">
        <v>-0.64341085271317833</v>
      </c>
    </row>
    <row r="169" spans="1:1">
      <c r="A169">
        <v>-0.6074108527131783</v>
      </c>
    </row>
    <row r="170" spans="1:1">
      <c r="A170">
        <v>-0.31404651162790703</v>
      </c>
    </row>
    <row r="171" spans="1:1">
      <c r="A171">
        <v>-0.27804651162790706</v>
      </c>
    </row>
    <row r="172" spans="1:1">
      <c r="A172">
        <v>-0.20787060136350732</v>
      </c>
    </row>
    <row r="173" spans="1:1">
      <c r="A173">
        <v>-9.4768459763834745E-2</v>
      </c>
    </row>
    <row r="174" spans="1:1">
      <c r="A174">
        <v>-0.50688454629459012</v>
      </c>
    </row>
    <row r="175" spans="1:1">
      <c r="A175">
        <v>-0.64341085271317833</v>
      </c>
    </row>
    <row r="176" spans="1:1">
      <c r="A176">
        <v>-0.64341085271317833</v>
      </c>
    </row>
    <row r="177" spans="1:1">
      <c r="A177">
        <v>-0.64341085271317833</v>
      </c>
    </row>
    <row r="178" spans="1:1">
      <c r="A178">
        <v>-0.64341085271317833</v>
      </c>
    </row>
    <row r="179" spans="1:1">
      <c r="A179">
        <v>-0.25736434108527134</v>
      </c>
    </row>
    <row r="180" spans="1:1">
      <c r="A180">
        <v>-0.25736434108527134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FCB2-7F7F-384C-85DF-7B52F22E2758}">
  <dimension ref="A1:AI301"/>
  <sheetViews>
    <sheetView topLeftCell="R262" workbookViewId="0">
      <selection activeCell="O292" sqref="O292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32" width="8.6640625" style="1"/>
    <col min="33" max="34" width="11.6640625" style="1" bestFit="1" customWidth="1"/>
    <col min="35" max="35" width="11.83203125" style="1" customWidth="1"/>
    <col min="36" max="16384" width="8.6640625" style="1"/>
  </cols>
  <sheetData>
    <row r="1" spans="1:34" ht="12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  <c r="AF1" s="1" t="s">
        <v>376</v>
      </c>
      <c r="AG1" s="1" t="s">
        <v>377</v>
      </c>
    </row>
    <row r="2" spans="1:34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6.8627453627906981E-2</v>
      </c>
      <c r="AA2" s="1">
        <f>M2</f>
        <v>-0.29721720930232565</v>
      </c>
      <c r="AD2" s="1">
        <f>AC2+O2</f>
        <v>0</v>
      </c>
      <c r="AF2" s="1">
        <f>T2*1.2</f>
        <v>0</v>
      </c>
    </row>
    <row r="3" spans="1:34" ht="15">
      <c r="A3" s="1">
        <v>2</v>
      </c>
      <c r="B3" s="1">
        <f t="shared" ref="B3:B14" si="2">IF(U3="charge",Q3,0)</f>
        <v>0</v>
      </c>
      <c r="C3" s="1">
        <f t="shared" ref="C3:C66" si="3">IF(V2="discharge",M3,0)</f>
        <v>-0.29596899224806206</v>
      </c>
      <c r="D3" s="1">
        <f>(D2)+(B3*0.8)+(C3/0.8)</f>
        <v>0.83003875968992258</v>
      </c>
      <c r="E3">
        <v>268.19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7.9375924031007752E-2</v>
      </c>
      <c r="AA3" s="1">
        <f t="shared" ref="AA3:AA66" si="6">M3+AA2</f>
        <v>-0.5931862015503877</v>
      </c>
      <c r="AD3" s="1">
        <f t="shared" ref="AD3:AD66" si="7">AC3+O3</f>
        <v>0</v>
      </c>
      <c r="AF3" s="1">
        <f t="shared" ref="AF3:AF66" si="8">T3*1.2</f>
        <v>0</v>
      </c>
    </row>
    <row r="4" spans="1:34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9">(D3)+(B4*0.8)+(C4/0.8)</f>
        <v>0.46007751937984503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6.7948561240310082E-2</v>
      </c>
      <c r="AA4" s="1">
        <f t="shared" si="6"/>
        <v>-0.88915519379844976</v>
      </c>
      <c r="AD4" s="1">
        <f t="shared" si="7"/>
        <v>0</v>
      </c>
      <c r="AF4" s="1">
        <f t="shared" si="8"/>
        <v>0</v>
      </c>
    </row>
    <row r="5" spans="1:34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9"/>
        <v>9.0116279069767491E-2</v>
      </c>
      <c r="E5">
        <v>235.98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10">(M5*E5)/1000</f>
        <v>-6.9842762790697677E-2</v>
      </c>
      <c r="Y5" s="1">
        <f t="shared" si="1"/>
        <v>6.9842762790697677E-2</v>
      </c>
      <c r="AA5" s="1">
        <f t="shared" si="6"/>
        <v>-1.1851241860465118</v>
      </c>
      <c r="AC5" s="1">
        <f t="shared" ref="AC5:AC11" si="11">L5</f>
        <v>0.29596899224806206</v>
      </c>
      <c r="AD5" s="1">
        <f t="shared" si="7"/>
        <v>0.29596899224806206</v>
      </c>
      <c r="AF5" s="1">
        <f t="shared" si="8"/>
        <v>0</v>
      </c>
    </row>
    <row r="6" spans="1:34" ht="15">
      <c r="A6" s="1">
        <v>5</v>
      </c>
      <c r="B6" s="1">
        <f t="shared" si="2"/>
        <v>0</v>
      </c>
      <c r="C6" s="1">
        <f t="shared" si="3"/>
        <v>0</v>
      </c>
      <c r="D6" s="1">
        <f t="shared" si="9"/>
        <v>9.0116279069767491E-2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10"/>
        <v>-6.9339615503875976E-2</v>
      </c>
      <c r="Y6" s="1">
        <f t="shared" si="1"/>
        <v>6.9339615503875976E-2</v>
      </c>
      <c r="AA6" s="1">
        <f t="shared" si="6"/>
        <v>-1.4810931782945738</v>
      </c>
      <c r="AC6" s="1">
        <f t="shared" si="11"/>
        <v>0.29596899224806206</v>
      </c>
      <c r="AD6" s="1">
        <f t="shared" si="7"/>
        <v>0.29596899224806206</v>
      </c>
      <c r="AF6" s="1">
        <f t="shared" si="8"/>
        <v>0</v>
      </c>
    </row>
    <row r="7" spans="1:34" ht="15">
      <c r="A7" s="1">
        <v>6</v>
      </c>
      <c r="B7" s="1">
        <f t="shared" si="2"/>
        <v>0</v>
      </c>
      <c r="C7" s="1">
        <f t="shared" si="3"/>
        <v>0</v>
      </c>
      <c r="D7" s="1">
        <f t="shared" si="9"/>
        <v>9.0116279069767491E-2</v>
      </c>
      <c r="E7">
        <v>237.63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10"/>
        <v>-9.4794106976744202E-2</v>
      </c>
      <c r="Y7" s="1">
        <f t="shared" si="1"/>
        <v>9.4794106976744202E-2</v>
      </c>
      <c r="AA7" s="1">
        <f t="shared" si="6"/>
        <v>-1.8800079069767444</v>
      </c>
      <c r="AC7" s="1">
        <f t="shared" si="11"/>
        <v>0.39891472868217059</v>
      </c>
      <c r="AD7" s="1">
        <f t="shared" si="7"/>
        <v>0.39891472868217059</v>
      </c>
      <c r="AF7" s="1">
        <f t="shared" si="8"/>
        <v>0</v>
      </c>
    </row>
    <row r="8" spans="1:34" ht="15">
      <c r="A8" s="1">
        <v>7</v>
      </c>
      <c r="B8" s="1">
        <f t="shared" si="2"/>
        <v>0</v>
      </c>
      <c r="C8" s="1">
        <f t="shared" si="3"/>
        <v>0</v>
      </c>
      <c r="D8" s="1">
        <f t="shared" si="9"/>
        <v>9.0116279069767491E-2</v>
      </c>
      <c r="E8">
        <v>239.66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10"/>
        <v>-0.15174007875968989</v>
      </c>
      <c r="Y8" s="1">
        <f t="shared" si="1"/>
        <v>0.16036783875968993</v>
      </c>
      <c r="AA8" s="1">
        <f t="shared" si="6"/>
        <v>-2.5131551937984495</v>
      </c>
      <c r="AC8" s="1">
        <f t="shared" si="11"/>
        <v>0.66914728682170543</v>
      </c>
      <c r="AD8" s="1">
        <f t="shared" si="7"/>
        <v>0.66914728682170543</v>
      </c>
      <c r="AF8" s="1">
        <f t="shared" si="8"/>
        <v>0</v>
      </c>
    </row>
    <row r="9" spans="1:34" ht="15">
      <c r="A9" s="1">
        <v>8</v>
      </c>
      <c r="B9" s="1">
        <f t="shared" si="2"/>
        <v>0</v>
      </c>
      <c r="C9" s="1">
        <f t="shared" si="3"/>
        <v>0</v>
      </c>
      <c r="D9" s="1">
        <f t="shared" si="9"/>
        <v>9.0116279069767491E-2</v>
      </c>
      <c r="E9">
        <v>231.88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10"/>
        <v>-0.13846651286821704</v>
      </c>
      <c r="Y9" s="1">
        <f t="shared" si="1"/>
        <v>0.15516187286821703</v>
      </c>
      <c r="AA9" s="1">
        <f t="shared" si="6"/>
        <v>-3.1103024806201551</v>
      </c>
      <c r="AC9" s="1">
        <f t="shared" si="11"/>
        <v>0.66914728682170543</v>
      </c>
      <c r="AD9" s="1">
        <f t="shared" si="7"/>
        <v>0.66914728682170543</v>
      </c>
      <c r="AF9" s="1">
        <f t="shared" si="8"/>
        <v>0</v>
      </c>
    </row>
    <row r="10" spans="1:34" ht="15">
      <c r="A10" s="1">
        <v>9</v>
      </c>
      <c r="B10" s="1">
        <f t="shared" si="2"/>
        <v>0</v>
      </c>
      <c r="C10" s="1">
        <f t="shared" si="3"/>
        <v>0</v>
      </c>
      <c r="D10" s="1">
        <f t="shared" si="9"/>
        <v>9.0116279069767491E-2</v>
      </c>
      <c r="E10">
        <v>186.47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10"/>
        <v>-0.10223759813953491</v>
      </c>
      <c r="Y10" s="1">
        <f t="shared" si="1"/>
        <v>0.1223763581395349</v>
      </c>
      <c r="AA10" s="1">
        <f t="shared" si="6"/>
        <v>-3.6585815503875971</v>
      </c>
      <c r="AC10" s="1">
        <f t="shared" si="11"/>
        <v>0.65627906976744199</v>
      </c>
      <c r="AD10" s="1">
        <f t="shared" si="7"/>
        <v>0.65627906976744199</v>
      </c>
      <c r="AF10" s="1">
        <f t="shared" si="8"/>
        <v>0</v>
      </c>
    </row>
    <row r="11" spans="1:34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9"/>
        <v>9.0116279069767491E-2</v>
      </c>
      <c r="E11">
        <v>186.47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10"/>
        <v>-4.1161167470361734E-2</v>
      </c>
      <c r="Y11" s="1">
        <f t="shared" si="1"/>
        <v>7.438562945736435E-2</v>
      </c>
      <c r="AA11" s="1">
        <f t="shared" si="6"/>
        <v>-3.8793203688053679</v>
      </c>
      <c r="AC11" s="1">
        <f t="shared" si="11"/>
        <v>0.39891472868217059</v>
      </c>
      <c r="AD11" s="1">
        <f t="shared" si="7"/>
        <v>0.39891472868217059</v>
      </c>
      <c r="AF11" s="1">
        <f t="shared" si="8"/>
        <v>0</v>
      </c>
    </row>
    <row r="12" spans="1:34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9"/>
        <v>9.0116279069767491E-2</v>
      </c>
      <c r="E12">
        <v>177.25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63.55633626475484</v>
      </c>
      <c r="S12" s="1">
        <f>((1/(E12+0.01))*LN(L12))+(E12*(K12-L12))</f>
        <v>37.163836771718536</v>
      </c>
      <c r="T12" s="1">
        <f t="shared" ref="T12:T18" si="15">(S12+((S12^2)-4*(K12-L12*P12)*LN(L12*P12))^(0.5))/(2*(K12-L12*P12))</f>
        <v>103.66943599576972</v>
      </c>
      <c r="U12" s="1" t="str">
        <f t="shared" ref="U12:U18" si="16">IF(E12&gt;=T12*1.2,"sell to the Grid","charge")</f>
        <v>sell to the Grid</v>
      </c>
      <c r="W12" s="1">
        <f>(Q12*E12)/1000</f>
        <v>6.3564156948276898E-2</v>
      </c>
      <c r="Y12" s="1">
        <f t="shared" si="1"/>
        <v>7.0707635658914733E-2</v>
      </c>
      <c r="AA12" s="1">
        <f t="shared" si="6"/>
        <v>-3.6696220822645378</v>
      </c>
      <c r="AD12" s="1">
        <f t="shared" si="7"/>
        <v>0.25</v>
      </c>
      <c r="AF12" s="1">
        <f t="shared" si="8"/>
        <v>124.40332319492366</v>
      </c>
      <c r="AG12" s="1">
        <f>E12</f>
        <v>177.25</v>
      </c>
      <c r="AH12" s="1">
        <f>AG12*Q12</f>
        <v>63.564156948276896</v>
      </c>
    </row>
    <row r="13" spans="1:34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9"/>
        <v>9.0116279069767491E-2</v>
      </c>
      <c r="E13">
        <v>168.5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139.24017322199796</v>
      </c>
      <c r="S13" s="1">
        <f t="shared" ref="S13:S18" si="17">((1/(E13+0.01))*LN(L13))+(E13*(K13-L13))</f>
        <v>114.15081448969377</v>
      </c>
      <c r="T13" s="1">
        <f t="shared" si="15"/>
        <v>138.14236416794344</v>
      </c>
      <c r="U13" s="1" t="str">
        <f t="shared" si="16"/>
        <v>sell to the Grid</v>
      </c>
      <c r="W13" s="1">
        <f>(Q13*E13)/1000</f>
        <v>0.13924839999999997</v>
      </c>
      <c r="Y13" s="1">
        <f t="shared" si="1"/>
        <v>6.7217131782945735E-2</v>
      </c>
      <c r="AA13" s="1">
        <f t="shared" si="6"/>
        <v>-2.9921368109467084</v>
      </c>
      <c r="AD13" s="1">
        <f t="shared" si="7"/>
        <v>0.25</v>
      </c>
      <c r="AF13" s="1">
        <f t="shared" si="8"/>
        <v>165.77083700153213</v>
      </c>
      <c r="AG13" s="1">
        <f>AF12</f>
        <v>124.40332319492366</v>
      </c>
      <c r="AH13" s="1">
        <f t="shared" ref="AH13:AH76" si="18">AG13*Q13</f>
        <v>102.80690628828489</v>
      </c>
    </row>
    <row r="14" spans="1:34" ht="15">
      <c r="A14" s="1">
        <v>13</v>
      </c>
      <c r="B14" s="1">
        <f t="shared" si="2"/>
        <v>1.1215999999999999</v>
      </c>
      <c r="C14" s="1">
        <f t="shared" si="3"/>
        <v>0</v>
      </c>
      <c r="D14" s="1">
        <f t="shared" si="9"/>
        <v>0.98739627906976746</v>
      </c>
      <c r="E14">
        <v>84.9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95.207513367552465</v>
      </c>
      <c r="S14" s="1">
        <f t="shared" si="17"/>
        <v>82.570156220815775</v>
      </c>
      <c r="T14" s="1">
        <f t="shared" si="15"/>
        <v>73.634970396526128</v>
      </c>
      <c r="U14" s="1" t="str">
        <f t="shared" si="16"/>
        <v>charge</v>
      </c>
      <c r="Y14" s="1">
        <f t="shared" si="1"/>
        <v>3.3867860465116285E-2</v>
      </c>
      <c r="AA14" s="1">
        <f t="shared" si="6"/>
        <v>-2.019451539628879</v>
      </c>
      <c r="AD14" s="1">
        <f t="shared" si="7"/>
        <v>0.25</v>
      </c>
      <c r="AF14" s="1">
        <f t="shared" si="8"/>
        <v>88.361964475831357</v>
      </c>
      <c r="AG14" s="1">
        <f t="shared" ref="AG14:AG18" si="19">AF13</f>
        <v>165.77083700153213</v>
      </c>
      <c r="AH14" s="1">
        <f t="shared" si="18"/>
        <v>185.92857078091842</v>
      </c>
    </row>
    <row r="15" spans="1:34" ht="15">
      <c r="A15" s="1">
        <v>14</v>
      </c>
      <c r="B15" s="1">
        <f>IF(U15="charge",Q15,0)</f>
        <v>1.1792</v>
      </c>
      <c r="C15" s="1">
        <f t="shared" si="3"/>
        <v>0</v>
      </c>
      <c r="D15" s="1">
        <f t="shared" si="9"/>
        <v>1.9307562790697674</v>
      </c>
      <c r="E15">
        <v>81.95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96.618525720337729</v>
      </c>
      <c r="S15" s="1">
        <f t="shared" si="17"/>
        <v>84.420665105073141</v>
      </c>
      <c r="T15" s="1">
        <f t="shared" si="15"/>
        <v>71.607890624711644</v>
      </c>
      <c r="U15" s="1" t="str">
        <f t="shared" si="16"/>
        <v>charge</v>
      </c>
      <c r="Y15" s="1">
        <f t="shared" si="1"/>
        <v>3.2691062015503883E-2</v>
      </c>
      <c r="AA15" s="1">
        <f t="shared" si="6"/>
        <v>-0.98916626831104959</v>
      </c>
      <c r="AD15" s="1">
        <f t="shared" si="7"/>
        <v>0.25</v>
      </c>
      <c r="AF15" s="1">
        <f t="shared" si="8"/>
        <v>85.929468749653964</v>
      </c>
      <c r="AG15" s="1">
        <f t="shared" si="19"/>
        <v>88.361964475831357</v>
      </c>
      <c r="AH15" s="1">
        <f t="shared" si="18"/>
        <v>104.19642850990034</v>
      </c>
    </row>
    <row r="16" spans="1:34" ht="15">
      <c r="A16" s="1">
        <v>15</v>
      </c>
      <c r="B16" s="1">
        <f t="shared" ref="B16:B79" si="20">IF(U16="charge",Q16,0)</f>
        <v>1.1035999999999999</v>
      </c>
      <c r="C16" s="1">
        <f t="shared" si="3"/>
        <v>0</v>
      </c>
      <c r="D16" s="1">
        <f t="shared" si="9"/>
        <v>2.8136362790697675</v>
      </c>
      <c r="E16">
        <v>179.73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198.34231522398395</v>
      </c>
      <c r="S16" s="1">
        <f t="shared" si="17"/>
        <v>171.58047083076937</v>
      </c>
      <c r="T16" s="1">
        <f t="shared" si="15"/>
        <v>155.48150323271437</v>
      </c>
      <c r="U16" s="1" t="str">
        <f t="shared" si="16"/>
        <v>charge</v>
      </c>
      <c r="Y16" s="1">
        <f t="shared" si="1"/>
        <v>7.1696944186046524E-2</v>
      </c>
      <c r="AA16" s="1">
        <f t="shared" si="6"/>
        <v>-3.448099699322027E-2</v>
      </c>
      <c r="AD16" s="1">
        <f t="shared" si="7"/>
        <v>0.25</v>
      </c>
      <c r="AF16" s="1">
        <f t="shared" si="8"/>
        <v>186.57780387925723</v>
      </c>
      <c r="AG16" s="1">
        <f t="shared" si="19"/>
        <v>85.929468749653964</v>
      </c>
      <c r="AH16" s="1">
        <f t="shared" si="18"/>
        <v>94.831761712118109</v>
      </c>
    </row>
    <row r="17" spans="1:34" ht="15">
      <c r="A17" s="1">
        <v>16</v>
      </c>
      <c r="B17" s="1">
        <f t="shared" si="20"/>
        <v>0</v>
      </c>
      <c r="C17" s="1">
        <f t="shared" si="3"/>
        <v>0</v>
      </c>
      <c r="D17" s="1">
        <f t="shared" si="9"/>
        <v>2.8136362790697675</v>
      </c>
      <c r="E17">
        <v>295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252.27930085637394</v>
      </c>
      <c r="S17" s="1">
        <f t="shared" si="17"/>
        <v>208.35103986436724</v>
      </c>
      <c r="T17" s="1">
        <f t="shared" si="15"/>
        <v>243.63509109945707</v>
      </c>
      <c r="U17" s="1" t="str">
        <f t="shared" si="16"/>
        <v>sell to the Grid</v>
      </c>
      <c r="W17" s="1">
        <f>(Q17*E17)/1000</f>
        <v>0.25228400000000001</v>
      </c>
      <c r="Y17" s="1">
        <f t="shared" si="1"/>
        <v>0.11767984496124032</v>
      </c>
      <c r="AA17" s="1">
        <f t="shared" si="6"/>
        <v>0.6718042743246091</v>
      </c>
      <c r="AD17" s="1">
        <f t="shared" si="7"/>
        <v>0.25</v>
      </c>
      <c r="AF17" s="1">
        <f t="shared" si="8"/>
        <v>292.36210931934846</v>
      </c>
      <c r="AG17" s="1">
        <f t="shared" si="19"/>
        <v>186.57780387925723</v>
      </c>
      <c r="AH17" s="1">
        <f t="shared" si="18"/>
        <v>159.56133787754078</v>
      </c>
    </row>
    <row r="18" spans="1:34" ht="15">
      <c r="A18" s="1">
        <v>17</v>
      </c>
      <c r="B18" s="1">
        <f t="shared" si="20"/>
        <v>0</v>
      </c>
      <c r="C18" s="1">
        <f t="shared" si="3"/>
        <v>0</v>
      </c>
      <c r="D18" s="1">
        <f t="shared" si="9"/>
        <v>2.8136362790697675</v>
      </c>
      <c r="E18">
        <v>348.15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177.41325822621457</v>
      </c>
      <c r="S18" s="1">
        <f t="shared" si="17"/>
        <v>125.56993759648775</v>
      </c>
      <c r="T18" s="1">
        <f t="shared" si="15"/>
        <v>246.41986526212057</v>
      </c>
      <c r="U18" s="1" t="str">
        <f t="shared" si="16"/>
        <v>sell to the Grid</v>
      </c>
      <c r="W18" s="1">
        <f>(Q18*E18)/1000</f>
        <v>0.17741723999999998</v>
      </c>
      <c r="Y18" s="1">
        <f t="shared" si="1"/>
        <v>0.13888216279069771</v>
      </c>
      <c r="AA18" s="1">
        <f t="shared" si="6"/>
        <v>1.0324895456424383</v>
      </c>
      <c r="AD18" s="1">
        <f t="shared" si="7"/>
        <v>0.25</v>
      </c>
      <c r="AF18" s="1">
        <f t="shared" si="8"/>
        <v>295.70383831454467</v>
      </c>
      <c r="AG18" s="1">
        <f t="shared" si="19"/>
        <v>292.36210931934846</v>
      </c>
      <c r="AH18" s="1">
        <f t="shared" si="18"/>
        <v>148.98773090913997</v>
      </c>
    </row>
    <row r="19" spans="1:34" ht="15">
      <c r="A19" s="1">
        <v>18</v>
      </c>
      <c r="B19" s="1">
        <f t="shared" si="20"/>
        <v>0</v>
      </c>
      <c r="C19" s="1">
        <f t="shared" si="3"/>
        <v>0</v>
      </c>
      <c r="D19" s="1">
        <f t="shared" si="9"/>
        <v>2.8136362790697675</v>
      </c>
      <c r="E19">
        <v>322.33999999999997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1">IF(D19+M19&gt;0,"discharge","buy from the Grid")</f>
        <v>discharge</v>
      </c>
      <c r="Y19" s="1">
        <f t="shared" si="1"/>
        <v>0.2156929364341085</v>
      </c>
      <c r="AA19" s="1">
        <f t="shared" si="6"/>
        <v>0.67294225882073277</v>
      </c>
      <c r="AD19" s="1">
        <f t="shared" si="7"/>
        <v>0</v>
      </c>
      <c r="AF19" s="1">
        <f t="shared" si="8"/>
        <v>0</v>
      </c>
      <c r="AH19" s="1">
        <f t="shared" si="18"/>
        <v>0</v>
      </c>
    </row>
    <row r="20" spans="1:34" ht="15">
      <c r="A20" s="1">
        <v>19</v>
      </c>
      <c r="B20" s="1">
        <f t="shared" si="20"/>
        <v>0</v>
      </c>
      <c r="C20" s="1">
        <f t="shared" si="3"/>
        <v>-0.62747906976744194</v>
      </c>
      <c r="D20" s="1">
        <f t="shared" si="9"/>
        <v>2.0292874418604652</v>
      </c>
      <c r="E20">
        <v>301.64999999999998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1"/>
        <v>discharge</v>
      </c>
      <c r="Y20" s="1">
        <f t="shared" si="1"/>
        <v>0.19796658139534887</v>
      </c>
      <c r="AA20" s="1">
        <f t="shared" si="6"/>
        <v>4.5463189053290831E-2</v>
      </c>
      <c r="AD20" s="1">
        <f t="shared" si="7"/>
        <v>0</v>
      </c>
      <c r="AF20" s="1">
        <f t="shared" si="8"/>
        <v>0</v>
      </c>
      <c r="AH20" s="1">
        <f t="shared" si="18"/>
        <v>0</v>
      </c>
    </row>
    <row r="21" spans="1:34" ht="15">
      <c r="A21" s="1">
        <v>20</v>
      </c>
      <c r="B21" s="1">
        <f t="shared" si="20"/>
        <v>0</v>
      </c>
      <c r="C21" s="1">
        <f t="shared" si="3"/>
        <v>-0.66914728682170543</v>
      </c>
      <c r="D21" s="1">
        <f t="shared" si="9"/>
        <v>1.1928533333333333</v>
      </c>
      <c r="E21">
        <v>353.15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1"/>
        <v>discharge</v>
      </c>
      <c r="Y21" s="1">
        <f t="shared" si="1"/>
        <v>0.23630936434108527</v>
      </c>
      <c r="AA21" s="1">
        <f t="shared" si="6"/>
        <v>-0.6236840977684146</v>
      </c>
      <c r="AD21" s="1">
        <f t="shared" si="7"/>
        <v>0</v>
      </c>
      <c r="AF21" s="1">
        <f t="shared" si="8"/>
        <v>0</v>
      </c>
      <c r="AH21" s="1">
        <f t="shared" si="18"/>
        <v>0</v>
      </c>
    </row>
    <row r="22" spans="1:34" ht="15">
      <c r="A22" s="1">
        <v>21</v>
      </c>
      <c r="B22" s="1">
        <f t="shared" si="20"/>
        <v>0</v>
      </c>
      <c r="C22" s="1">
        <f t="shared" si="3"/>
        <v>-0.66914728682170543</v>
      </c>
      <c r="D22" s="1">
        <f t="shared" si="9"/>
        <v>0.35641922480620158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1"/>
        <v>buy from the Grid</v>
      </c>
      <c r="X22" s="1">
        <f>(M22*E22)/1000</f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>L22</f>
        <v>0.66914728682170543</v>
      </c>
      <c r="AD22" s="1">
        <f t="shared" si="7"/>
        <v>0.66914728682170543</v>
      </c>
      <c r="AF22" s="1">
        <f t="shared" si="8"/>
        <v>0</v>
      </c>
      <c r="AH22" s="1">
        <f t="shared" si="18"/>
        <v>0</v>
      </c>
    </row>
    <row r="23" spans="1:34" ht="15">
      <c r="A23" s="1">
        <v>22</v>
      </c>
      <c r="B23" s="1">
        <f t="shared" si="20"/>
        <v>0</v>
      </c>
      <c r="C23" s="1">
        <f t="shared" si="3"/>
        <v>0</v>
      </c>
      <c r="D23" s="1">
        <f t="shared" si="9"/>
        <v>0.35641922480620158</v>
      </c>
      <c r="E23">
        <v>283.56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1"/>
        <v>buy from the Grid</v>
      </c>
      <c r="X23" s="1">
        <f>(M23*E23)/1000</f>
        <v>-0.1131162604651163</v>
      </c>
      <c r="Y23" s="1">
        <f t="shared" si="1"/>
        <v>0.1131162604651163</v>
      </c>
      <c r="AA23" s="1">
        <f t="shared" si="6"/>
        <v>-1.6917461132722906</v>
      </c>
      <c r="AC23" s="1">
        <f>L23</f>
        <v>0.39891472868217059</v>
      </c>
      <c r="AD23" s="1">
        <f t="shared" si="7"/>
        <v>0.39891472868217059</v>
      </c>
      <c r="AF23" s="1">
        <f t="shared" si="8"/>
        <v>0</v>
      </c>
      <c r="AH23" s="1">
        <f t="shared" si="18"/>
        <v>0</v>
      </c>
    </row>
    <row r="24" spans="1:34" ht="15">
      <c r="A24" s="1">
        <v>23</v>
      </c>
      <c r="B24" s="1">
        <f t="shared" si="20"/>
        <v>0</v>
      </c>
      <c r="C24" s="1">
        <f t="shared" si="3"/>
        <v>0</v>
      </c>
      <c r="D24" s="1">
        <f t="shared" si="9"/>
        <v>0.35641922480620158</v>
      </c>
      <c r="E24">
        <v>237.97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1"/>
        <v>buy from the Grid</v>
      </c>
      <c r="X24" s="1">
        <f>(M24*E24)/1000</f>
        <v>-9.4929737984496138E-2</v>
      </c>
      <c r="Y24" s="1">
        <f t="shared" si="1"/>
        <v>9.4929737984496138E-2</v>
      </c>
      <c r="AA24" s="1">
        <f t="shared" si="6"/>
        <v>-2.0906608419544614</v>
      </c>
      <c r="AC24" s="1">
        <f>L24</f>
        <v>0.39891472868217059</v>
      </c>
      <c r="AD24" s="1">
        <f t="shared" si="7"/>
        <v>0.39891472868217059</v>
      </c>
      <c r="AF24" s="1">
        <f t="shared" si="8"/>
        <v>0</v>
      </c>
      <c r="AH24" s="1">
        <f t="shared" si="18"/>
        <v>0</v>
      </c>
    </row>
    <row r="25" spans="1:34" ht="15">
      <c r="A25" s="1">
        <v>24</v>
      </c>
      <c r="B25" s="1">
        <f t="shared" si="20"/>
        <v>0</v>
      </c>
      <c r="C25" s="1">
        <f t="shared" si="3"/>
        <v>0</v>
      </c>
      <c r="D25" s="1">
        <f t="shared" si="9"/>
        <v>0.35641922480620158</v>
      </c>
      <c r="E25">
        <v>230.59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1"/>
        <v>buy from the Grid</v>
      </c>
      <c r="X25" s="1">
        <f>(M25*E25)/1000</f>
        <v>-9.1985747286821726E-2</v>
      </c>
      <c r="Y25" s="1">
        <f t="shared" si="1"/>
        <v>9.1985747286821726E-2</v>
      </c>
      <c r="AA25" s="1">
        <f t="shared" si="6"/>
        <v>-2.489575570636632</v>
      </c>
      <c r="AC25" s="1">
        <f>L25</f>
        <v>0.39891472868217059</v>
      </c>
      <c r="AD25" s="1">
        <f t="shared" si="7"/>
        <v>0.39891472868217059</v>
      </c>
      <c r="AF25" s="1">
        <f t="shared" si="8"/>
        <v>0</v>
      </c>
      <c r="AH25" s="1">
        <f t="shared" si="18"/>
        <v>0</v>
      </c>
    </row>
    <row r="26" spans="1:34" ht="15">
      <c r="A26" s="1">
        <v>25</v>
      </c>
      <c r="B26" s="1">
        <f t="shared" si="20"/>
        <v>0</v>
      </c>
      <c r="C26" s="1">
        <f t="shared" si="3"/>
        <v>0</v>
      </c>
      <c r="D26" s="1">
        <f t="shared" si="9"/>
        <v>0.35641922480620158</v>
      </c>
      <c r="E26">
        <v>187.27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1"/>
        <v>discharge</v>
      </c>
      <c r="Y26" s="1">
        <f t="shared" si="1"/>
        <v>5.5426113178294587E-2</v>
      </c>
      <c r="AA26" s="1">
        <f t="shared" si="6"/>
        <v>-2.7855445628846942</v>
      </c>
      <c r="AD26" s="1">
        <f t="shared" si="7"/>
        <v>0</v>
      </c>
      <c r="AF26" s="1">
        <f t="shared" si="8"/>
        <v>0</v>
      </c>
      <c r="AH26" s="1">
        <f t="shared" si="18"/>
        <v>0</v>
      </c>
    </row>
    <row r="27" spans="1:34" ht="15">
      <c r="A27" s="1">
        <v>26</v>
      </c>
      <c r="B27" s="1">
        <f t="shared" si="20"/>
        <v>0</v>
      </c>
      <c r="C27" s="1">
        <f t="shared" si="3"/>
        <v>-0.29596899224806206</v>
      </c>
      <c r="D27" s="1">
        <f t="shared" si="9"/>
        <v>-1.3542015503875959E-2</v>
      </c>
      <c r="E27">
        <v>187.2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1"/>
        <v>buy from the Grid</v>
      </c>
      <c r="X27" s="1">
        <f t="shared" ref="X27:X35" si="22">(M27*E27)/1000</f>
        <v>-5.5405395348837219E-2</v>
      </c>
      <c r="Y27" s="1">
        <f t="shared" si="1"/>
        <v>5.5405395348837219E-2</v>
      </c>
      <c r="AA27" s="1">
        <f t="shared" si="6"/>
        <v>-3.0815135551327564</v>
      </c>
      <c r="AC27" s="1">
        <f t="shared" ref="AC27:AC35" si="23">L27</f>
        <v>0.29596899224806206</v>
      </c>
      <c r="AD27" s="1">
        <f t="shared" si="7"/>
        <v>0.29596899224806206</v>
      </c>
      <c r="AF27" s="1">
        <f t="shared" si="8"/>
        <v>0</v>
      </c>
      <c r="AH27" s="1">
        <f t="shared" si="18"/>
        <v>0</v>
      </c>
    </row>
    <row r="28" spans="1:34" ht="15">
      <c r="A28" s="1">
        <v>27</v>
      </c>
      <c r="B28" s="1">
        <f t="shared" si="20"/>
        <v>0</v>
      </c>
      <c r="C28" s="1">
        <f t="shared" si="3"/>
        <v>0</v>
      </c>
      <c r="D28" s="1">
        <f t="shared" si="9"/>
        <v>-1.3542015503875959E-2</v>
      </c>
      <c r="E28">
        <v>180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1"/>
        <v>buy from the Grid</v>
      </c>
      <c r="X28" s="1">
        <f t="shared" si="22"/>
        <v>-5.3274418604651166E-2</v>
      </c>
      <c r="Y28" s="1">
        <f t="shared" si="1"/>
        <v>5.3274418604651166E-2</v>
      </c>
      <c r="AA28" s="1">
        <f t="shared" si="6"/>
        <v>-3.3774825473808185</v>
      </c>
      <c r="AC28" s="1">
        <f t="shared" si="23"/>
        <v>0.29596899224806206</v>
      </c>
      <c r="AD28" s="1">
        <f t="shared" si="7"/>
        <v>0.29596899224806206</v>
      </c>
      <c r="AF28" s="1">
        <f t="shared" si="8"/>
        <v>0</v>
      </c>
      <c r="AH28" s="1">
        <f t="shared" si="18"/>
        <v>0</v>
      </c>
    </row>
    <row r="29" spans="1:34" ht="15">
      <c r="A29" s="1">
        <v>28</v>
      </c>
      <c r="B29" s="1">
        <f t="shared" si="20"/>
        <v>0</v>
      </c>
      <c r="C29" s="1">
        <f t="shared" si="3"/>
        <v>0</v>
      </c>
      <c r="D29" s="1">
        <f t="shared" si="9"/>
        <v>-1.3542015503875959E-2</v>
      </c>
      <c r="E29">
        <v>180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1"/>
        <v>buy from the Grid</v>
      </c>
      <c r="X29" s="1">
        <f t="shared" si="22"/>
        <v>-5.3274418604651166E-2</v>
      </c>
      <c r="Y29" s="1">
        <f t="shared" si="1"/>
        <v>5.3274418604651166E-2</v>
      </c>
      <c r="AA29" s="1">
        <f t="shared" si="6"/>
        <v>-3.6734515396288807</v>
      </c>
      <c r="AC29" s="1">
        <f t="shared" si="23"/>
        <v>0.29596899224806206</v>
      </c>
      <c r="AD29" s="1">
        <f t="shared" si="7"/>
        <v>0.29596899224806206</v>
      </c>
      <c r="AF29" s="1">
        <f t="shared" si="8"/>
        <v>0</v>
      </c>
      <c r="AH29" s="1">
        <f t="shared" si="18"/>
        <v>0</v>
      </c>
    </row>
    <row r="30" spans="1:34" ht="15">
      <c r="A30" s="1">
        <v>29</v>
      </c>
      <c r="B30" s="1">
        <f t="shared" si="20"/>
        <v>0</v>
      </c>
      <c r="C30" s="1">
        <f t="shared" si="3"/>
        <v>0</v>
      </c>
      <c r="D30" s="1">
        <f t="shared" si="9"/>
        <v>-1.3542015503875959E-2</v>
      </c>
      <c r="E30">
        <v>185.89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1"/>
        <v>buy from the Grid</v>
      </c>
      <c r="X30" s="1">
        <f t="shared" si="22"/>
        <v>-5.501767596899225E-2</v>
      </c>
      <c r="Y30" s="1">
        <f t="shared" si="1"/>
        <v>5.501767596899225E-2</v>
      </c>
      <c r="AA30" s="1">
        <f t="shared" si="6"/>
        <v>-3.9694205318769429</v>
      </c>
      <c r="AC30" s="1">
        <f t="shared" si="23"/>
        <v>0.29596899224806206</v>
      </c>
      <c r="AD30" s="1">
        <f t="shared" si="7"/>
        <v>0.29596899224806206</v>
      </c>
      <c r="AF30" s="1">
        <f t="shared" si="8"/>
        <v>0</v>
      </c>
      <c r="AH30" s="1">
        <f t="shared" si="18"/>
        <v>0</v>
      </c>
    </row>
    <row r="31" spans="1:34" ht="15">
      <c r="A31" s="1">
        <v>30</v>
      </c>
      <c r="B31" s="1">
        <f t="shared" si="20"/>
        <v>0</v>
      </c>
      <c r="C31" s="1">
        <f t="shared" si="3"/>
        <v>0</v>
      </c>
      <c r="D31" s="1">
        <f t="shared" si="9"/>
        <v>-1.3542015503875959E-2</v>
      </c>
      <c r="E31">
        <v>271.87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1"/>
        <v>buy from the Grid</v>
      </c>
      <c r="X31" s="1">
        <f t="shared" si="22"/>
        <v>-0.10845294728682173</v>
      </c>
      <c r="Y31" s="1">
        <f t="shared" si="1"/>
        <v>0.10845294728682173</v>
      </c>
      <c r="AA31" s="1">
        <f t="shared" si="6"/>
        <v>-4.3683352605591139</v>
      </c>
      <c r="AC31" s="1">
        <f t="shared" si="23"/>
        <v>0.39891472868217059</v>
      </c>
      <c r="AD31" s="1">
        <f t="shared" si="7"/>
        <v>0.39891472868217059</v>
      </c>
      <c r="AF31" s="1">
        <f t="shared" si="8"/>
        <v>0</v>
      </c>
      <c r="AH31" s="1">
        <f t="shared" si="18"/>
        <v>0</v>
      </c>
    </row>
    <row r="32" spans="1:34" ht="15">
      <c r="A32" s="1">
        <v>31</v>
      </c>
      <c r="B32" s="1">
        <f t="shared" si="20"/>
        <v>0</v>
      </c>
      <c r="C32" s="1">
        <f t="shared" si="3"/>
        <v>0</v>
      </c>
      <c r="D32" s="1">
        <f t="shared" si="9"/>
        <v>-1.3542015503875959E-2</v>
      </c>
      <c r="E32">
        <v>348.77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1"/>
        <v>buy from the Grid</v>
      </c>
      <c r="X32" s="1">
        <f t="shared" si="22"/>
        <v>-0.22082277922480617</v>
      </c>
      <c r="Y32" s="1">
        <f t="shared" si="1"/>
        <v>0.23337849922480622</v>
      </c>
      <c r="AA32" s="1">
        <f t="shared" si="6"/>
        <v>-5.0014825473808191</v>
      </c>
      <c r="AC32" s="1">
        <f t="shared" si="23"/>
        <v>0.66914728682170543</v>
      </c>
      <c r="AD32" s="1">
        <f t="shared" si="7"/>
        <v>0.66914728682170543</v>
      </c>
      <c r="AF32" s="1">
        <f t="shared" si="8"/>
        <v>0</v>
      </c>
      <c r="AH32" s="1">
        <f t="shared" si="18"/>
        <v>0</v>
      </c>
    </row>
    <row r="33" spans="1:34" ht="15">
      <c r="A33" s="1">
        <v>32</v>
      </c>
      <c r="B33" s="1">
        <f t="shared" si="20"/>
        <v>0</v>
      </c>
      <c r="C33" s="1">
        <f t="shared" si="3"/>
        <v>0</v>
      </c>
      <c r="D33" s="1">
        <f t="shared" si="9"/>
        <v>-1.3542015503875959E-2</v>
      </c>
      <c r="E33">
        <v>353.77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1"/>
        <v>buy from the Grid</v>
      </c>
      <c r="X33" s="1">
        <f t="shared" si="22"/>
        <v>-0.20670040651162797</v>
      </c>
      <c r="Y33" s="1">
        <f t="shared" si="1"/>
        <v>0.23217184651162792</v>
      </c>
      <c r="AA33" s="1">
        <f t="shared" si="6"/>
        <v>-5.5857616171482611</v>
      </c>
      <c r="AC33" s="1">
        <f t="shared" si="23"/>
        <v>0.65627906976744199</v>
      </c>
      <c r="AD33" s="1">
        <f t="shared" si="7"/>
        <v>0.65627906976744199</v>
      </c>
      <c r="AF33" s="1">
        <f t="shared" si="8"/>
        <v>0</v>
      </c>
      <c r="AH33" s="1">
        <f t="shared" si="18"/>
        <v>0</v>
      </c>
    </row>
    <row r="34" spans="1:34" ht="15">
      <c r="A34" s="1">
        <v>33</v>
      </c>
      <c r="B34" s="1">
        <f t="shared" si="20"/>
        <v>0</v>
      </c>
      <c r="C34" s="1">
        <f t="shared" si="3"/>
        <v>0</v>
      </c>
      <c r="D34" s="1">
        <f t="shared" si="9"/>
        <v>-1.3542015503875959E-2</v>
      </c>
      <c r="E34">
        <v>231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1"/>
        <v>buy from the Grid</v>
      </c>
      <c r="X34" s="1">
        <f t="shared" si="22"/>
        <v>-0.12665246511627909</v>
      </c>
      <c r="Y34" s="1">
        <f t="shared" si="1"/>
        <v>0.15160046511627912</v>
      </c>
      <c r="AA34" s="1">
        <f t="shared" si="6"/>
        <v>-6.1340406869157036</v>
      </c>
      <c r="AC34" s="1">
        <f t="shared" si="23"/>
        <v>0.65627906976744199</v>
      </c>
      <c r="AD34" s="1">
        <f t="shared" si="7"/>
        <v>0.65627906976744199</v>
      </c>
      <c r="AF34" s="1">
        <f t="shared" si="8"/>
        <v>0</v>
      </c>
      <c r="AH34" s="1">
        <f t="shared" si="18"/>
        <v>0</v>
      </c>
    </row>
    <row r="35" spans="1:34" ht="15">
      <c r="A35" s="1">
        <v>34</v>
      </c>
      <c r="B35" s="1">
        <f t="shared" si="20"/>
        <v>0</v>
      </c>
      <c r="C35" s="1">
        <f t="shared" si="3"/>
        <v>0</v>
      </c>
      <c r="D35" s="1">
        <f t="shared" si="9"/>
        <v>-1.3542015503875959E-2</v>
      </c>
      <c r="E35">
        <v>203.99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1"/>
        <v>buy from the Grid</v>
      </c>
      <c r="X35" s="1">
        <f t="shared" si="22"/>
        <v>-4.5028511569041085E-2</v>
      </c>
      <c r="Y35" s="1">
        <f t="shared" si="1"/>
        <v>8.137461550387598E-2</v>
      </c>
      <c r="AA35" s="1">
        <f t="shared" si="6"/>
        <v>-6.3547795053334744</v>
      </c>
      <c r="AC35" s="1">
        <f t="shared" si="23"/>
        <v>0.39891472868217059</v>
      </c>
      <c r="AD35" s="1">
        <f t="shared" si="7"/>
        <v>0.39891472868217059</v>
      </c>
      <c r="AF35" s="1">
        <f t="shared" si="8"/>
        <v>0</v>
      </c>
      <c r="AG35" s="1">
        <f>E35</f>
        <v>203.99</v>
      </c>
      <c r="AH35" s="1">
        <f t="shared" si="18"/>
        <v>0</v>
      </c>
    </row>
    <row r="36" spans="1:34" ht="15">
      <c r="A36" s="1">
        <v>35</v>
      </c>
      <c r="B36" s="1">
        <f t="shared" si="20"/>
        <v>0</v>
      </c>
      <c r="C36" s="1">
        <f t="shared" si="3"/>
        <v>0</v>
      </c>
      <c r="D36" s="1">
        <f t="shared" si="9"/>
        <v>-1.3542015503875959E-2</v>
      </c>
      <c r="E36">
        <v>196.23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4">0.25/L36</f>
        <v>0.62670034978624167</v>
      </c>
      <c r="Q36" s="1">
        <f t="shared" ref="Q36:Q42" si="25">K36-P36*L36</f>
        <v>0.35861301522300082</v>
      </c>
      <c r="R36" s="1">
        <f t="shared" ref="R36:R42" si="26">((1/(E36+0.01))*LN(0.25))+(E36*(K36-0.25))</f>
        <v>70.36356769693468</v>
      </c>
      <c r="S36" s="1">
        <f t="shared" ref="S36:S42" si="27">((1/(E36+0.01))*LN(L36))+(E36*(K36-L36))</f>
        <v>41.144411688017655</v>
      </c>
      <c r="T36" s="1">
        <f t="shared" ref="T36:T42" si="28">(S36+((S36^2)-4*(K36-L36*P36)*LN(L36*P36))^(0.5))/(2*(K36-L36*P36))</f>
        <v>114.76574825727072</v>
      </c>
      <c r="U36" s="1" t="str">
        <f t="shared" ref="U36:U42" si="29">IF(E36&gt;=T36*1.2,"sell to the Grid","charge")</f>
        <v>sell to the Grid</v>
      </c>
      <c r="W36" s="1">
        <f>(Q36*E36)/1000</f>
        <v>7.0370631977209441E-2</v>
      </c>
      <c r="Y36" s="1">
        <f t="shared" si="1"/>
        <v>7.8279037209302335E-2</v>
      </c>
      <c r="AA36" s="1">
        <f t="shared" si="6"/>
        <v>-6.1450812187926438</v>
      </c>
      <c r="AD36" s="1">
        <f t="shared" si="7"/>
        <v>0.25</v>
      </c>
      <c r="AF36" s="1">
        <f t="shared" si="8"/>
        <v>137.71889790872484</v>
      </c>
      <c r="AH36" s="1">
        <f t="shared" si="18"/>
        <v>0</v>
      </c>
    </row>
    <row r="37" spans="1:34" ht="15">
      <c r="A37" s="1">
        <v>36</v>
      </c>
      <c r="B37" s="1">
        <f t="shared" si="20"/>
        <v>0</v>
      </c>
      <c r="C37" s="1">
        <f t="shared" si="3"/>
        <v>0</v>
      </c>
      <c r="D37" s="1">
        <f t="shared" si="9"/>
        <v>-1.3542015503875959E-2</v>
      </c>
      <c r="E37">
        <v>188.89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4"/>
        <v>0.62670034978624167</v>
      </c>
      <c r="Q37" s="1">
        <f t="shared" si="25"/>
        <v>0.8263999999999998</v>
      </c>
      <c r="R37" s="1">
        <f t="shared" si="26"/>
        <v>156.09135722625132</v>
      </c>
      <c r="S37" s="1">
        <f t="shared" si="27"/>
        <v>127.96532785106432</v>
      </c>
      <c r="T37" s="1">
        <f t="shared" si="28"/>
        <v>154.85755071738183</v>
      </c>
      <c r="U37" s="1" t="str">
        <f t="shared" si="29"/>
        <v>sell to the Grid</v>
      </c>
      <c r="W37" s="1">
        <f>(Q37*E37)/1000</f>
        <v>0.15609869599999995</v>
      </c>
      <c r="Y37" s="1">
        <f t="shared" si="1"/>
        <v>7.5351003100775207E-2</v>
      </c>
      <c r="AA37" s="1">
        <f t="shared" si="6"/>
        <v>-5.4675959474748144</v>
      </c>
      <c r="AD37" s="1">
        <f t="shared" si="7"/>
        <v>0.25</v>
      </c>
      <c r="AF37" s="1">
        <f t="shared" si="8"/>
        <v>185.82906086085819</v>
      </c>
      <c r="AH37" s="1">
        <f t="shared" si="18"/>
        <v>0</v>
      </c>
    </row>
    <row r="38" spans="1:34" ht="15">
      <c r="A38" s="1">
        <v>37</v>
      </c>
      <c r="B38" s="1">
        <f t="shared" si="20"/>
        <v>1.3916000000000002</v>
      </c>
      <c r="C38" s="1">
        <f t="shared" si="3"/>
        <v>0</v>
      </c>
      <c r="D38" s="1">
        <f t="shared" si="9"/>
        <v>1.0997379844961244</v>
      </c>
      <c r="E38">
        <v>187.91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4"/>
        <v>0.62670034978624167</v>
      </c>
      <c r="Q38" s="1">
        <f t="shared" si="25"/>
        <v>1.3916000000000002</v>
      </c>
      <c r="R38" s="1">
        <f t="shared" si="26"/>
        <v>261.48817895465561</v>
      </c>
      <c r="S38" s="1">
        <f t="shared" si="27"/>
        <v>233.50809891401926</v>
      </c>
      <c r="T38" s="1">
        <f t="shared" si="28"/>
        <v>167.80422556291506</v>
      </c>
      <c r="U38" s="1" t="str">
        <f t="shared" si="29"/>
        <v>charge</v>
      </c>
      <c r="Y38" s="1">
        <f t="shared" si="1"/>
        <v>7.4960066666666672E-2</v>
      </c>
      <c r="AA38" s="1">
        <f t="shared" si="6"/>
        <v>-4.224910676156985</v>
      </c>
      <c r="AD38" s="1">
        <f t="shared" si="7"/>
        <v>0.25</v>
      </c>
      <c r="AF38" s="1">
        <f t="shared" si="8"/>
        <v>201.36507067549806</v>
      </c>
      <c r="AH38" s="1">
        <f t="shared" si="18"/>
        <v>0</v>
      </c>
    </row>
    <row r="39" spans="1:34" ht="15">
      <c r="A39" s="1">
        <v>38</v>
      </c>
      <c r="B39" s="1">
        <f t="shared" si="20"/>
        <v>1.5247999999999999</v>
      </c>
      <c r="C39" s="1">
        <f t="shared" si="3"/>
        <v>0</v>
      </c>
      <c r="D39" s="1">
        <f t="shared" si="9"/>
        <v>2.3195779844961244</v>
      </c>
      <c r="E39">
        <v>188.89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4"/>
        <v>0.62670034978624167</v>
      </c>
      <c r="Q39" s="1">
        <f t="shared" si="25"/>
        <v>1.5247999999999999</v>
      </c>
      <c r="R39" s="1">
        <f t="shared" si="26"/>
        <v>288.01213322625131</v>
      </c>
      <c r="S39" s="1">
        <f t="shared" si="27"/>
        <v>259.88610385106432</v>
      </c>
      <c r="T39" s="1">
        <f t="shared" si="28"/>
        <v>170.44480406794457</v>
      </c>
      <c r="U39" s="1" t="str">
        <f t="shared" si="29"/>
        <v>charge</v>
      </c>
      <c r="Y39" s="1">
        <f t="shared" si="1"/>
        <v>7.5351003100775207E-2</v>
      </c>
      <c r="AA39" s="1">
        <f t="shared" si="6"/>
        <v>-2.8490254048391557</v>
      </c>
      <c r="AD39" s="1">
        <f t="shared" si="7"/>
        <v>0.25</v>
      </c>
      <c r="AF39" s="1">
        <f t="shared" si="8"/>
        <v>204.53376488153347</v>
      </c>
      <c r="AH39" s="1">
        <f t="shared" si="18"/>
        <v>0</v>
      </c>
    </row>
    <row r="40" spans="1:34" ht="15">
      <c r="A40" s="1">
        <v>39</v>
      </c>
      <c r="B40" s="1">
        <f t="shared" si="20"/>
        <v>1.4096</v>
      </c>
      <c r="C40" s="1">
        <f t="shared" si="3"/>
        <v>0</v>
      </c>
      <c r="D40" s="1">
        <f t="shared" si="9"/>
        <v>3.4472579844961242</v>
      </c>
      <c r="E40">
        <v>203.7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4"/>
        <v>0.62670034978624167</v>
      </c>
      <c r="Q40" s="1">
        <f t="shared" si="25"/>
        <v>1.4096</v>
      </c>
      <c r="R40" s="1">
        <f t="shared" si="26"/>
        <v>287.12871476529813</v>
      </c>
      <c r="S40" s="1">
        <f t="shared" si="27"/>
        <v>256.79707841504131</v>
      </c>
      <c r="T40" s="1">
        <f t="shared" si="28"/>
        <v>182.1826672671414</v>
      </c>
      <c r="U40" s="1" t="str">
        <f t="shared" si="29"/>
        <v>charge</v>
      </c>
      <c r="Y40" s="1">
        <f t="shared" si="1"/>
        <v>8.1258930232558146E-2</v>
      </c>
      <c r="AA40" s="1">
        <f t="shared" si="6"/>
        <v>-1.5883401335213263</v>
      </c>
      <c r="AD40" s="1">
        <f t="shared" si="7"/>
        <v>0.25</v>
      </c>
      <c r="AF40" s="1">
        <f t="shared" si="8"/>
        <v>218.61920072056967</v>
      </c>
      <c r="AH40" s="1">
        <f t="shared" si="18"/>
        <v>0</v>
      </c>
    </row>
    <row r="41" spans="1:34" ht="15">
      <c r="A41" s="1">
        <v>40</v>
      </c>
      <c r="B41" s="1">
        <f t="shared" si="20"/>
        <v>1.1612</v>
      </c>
      <c r="C41" s="1">
        <f t="shared" si="3"/>
        <v>0</v>
      </c>
      <c r="D41" s="1">
        <f t="shared" si="9"/>
        <v>4.3762179844961242</v>
      </c>
      <c r="E41">
        <v>363.77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4"/>
        <v>0.62670034978624167</v>
      </c>
      <c r="Q41" s="1">
        <f t="shared" si="25"/>
        <v>1.1612</v>
      </c>
      <c r="R41" s="1">
        <f t="shared" si="26"/>
        <v>422.40591319577459</v>
      </c>
      <c r="S41" s="1">
        <f t="shared" si="27"/>
        <v>368.23648687427152</v>
      </c>
      <c r="T41" s="1">
        <f t="shared" si="28"/>
        <v>317.12095967494173</v>
      </c>
      <c r="U41" s="1" t="str">
        <f t="shared" si="29"/>
        <v>charge</v>
      </c>
      <c r="Y41" s="1">
        <f t="shared" si="1"/>
        <v>0.1451132108527132</v>
      </c>
      <c r="AA41" s="1">
        <f t="shared" si="6"/>
        <v>-0.57605486220349689</v>
      </c>
      <c r="AD41" s="1">
        <f t="shared" si="7"/>
        <v>0.25</v>
      </c>
      <c r="AF41" s="1">
        <f t="shared" si="8"/>
        <v>380.54515160993009</v>
      </c>
      <c r="AH41" s="1">
        <f t="shared" si="18"/>
        <v>0</v>
      </c>
    </row>
    <row r="42" spans="1:34" ht="15">
      <c r="A42" s="1">
        <v>41</v>
      </c>
      <c r="B42" s="1">
        <f t="shared" si="20"/>
        <v>0</v>
      </c>
      <c r="C42" s="1">
        <f t="shared" si="3"/>
        <v>0</v>
      </c>
      <c r="D42" s="1">
        <f t="shared" si="9"/>
        <v>4.3762179844961242</v>
      </c>
      <c r="E42">
        <v>348.77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4"/>
        <v>0.62670034978624167</v>
      </c>
      <c r="Q42" s="1">
        <f t="shared" si="25"/>
        <v>0.8335999999999999</v>
      </c>
      <c r="R42" s="1">
        <f t="shared" si="26"/>
        <v>290.73069730431462</v>
      </c>
      <c r="S42" s="1">
        <f t="shared" si="27"/>
        <v>238.79504715694614</v>
      </c>
      <c r="T42" s="1">
        <f t="shared" si="28"/>
        <v>286.46819387950541</v>
      </c>
      <c r="U42" s="1" t="str">
        <f t="shared" si="29"/>
        <v>sell to the Grid</v>
      </c>
      <c r="W42" s="1">
        <f>(Q42*E42)/1000</f>
        <v>0.29073467199999992</v>
      </c>
      <c r="Y42" s="1">
        <f t="shared" si="1"/>
        <v>0.13912948992248064</v>
      </c>
      <c r="AA42" s="1">
        <f t="shared" si="6"/>
        <v>0.10863040911433242</v>
      </c>
      <c r="AD42" s="1">
        <f t="shared" si="7"/>
        <v>0.25</v>
      </c>
      <c r="AF42" s="1">
        <f t="shared" si="8"/>
        <v>343.76183265540647</v>
      </c>
      <c r="AH42" s="1">
        <f t="shared" si="18"/>
        <v>0</v>
      </c>
    </row>
    <row r="43" spans="1:34" ht="15">
      <c r="A43" s="1">
        <v>42</v>
      </c>
      <c r="B43" s="1">
        <f t="shared" si="20"/>
        <v>0</v>
      </c>
      <c r="C43" s="1">
        <f t="shared" si="3"/>
        <v>0</v>
      </c>
      <c r="D43" s="1">
        <f t="shared" si="9"/>
        <v>4.3762179844961242</v>
      </c>
      <c r="E43">
        <v>363.77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discharge</v>
      </c>
      <c r="Y43" s="1">
        <f t="shared" si="1"/>
        <v>0.24341570852713179</v>
      </c>
      <c r="AA43" s="1">
        <f t="shared" si="6"/>
        <v>-2.0516877707372982E-2</v>
      </c>
      <c r="AD43" s="1">
        <f t="shared" si="7"/>
        <v>0</v>
      </c>
      <c r="AF43" s="1">
        <f t="shared" si="8"/>
        <v>0</v>
      </c>
      <c r="AH43" s="1">
        <f t="shared" si="18"/>
        <v>0</v>
      </c>
    </row>
    <row r="44" spans="1:34" ht="15">
      <c r="A44" s="1">
        <v>43</v>
      </c>
      <c r="B44" s="1">
        <f t="shared" si="20"/>
        <v>0</v>
      </c>
      <c r="C44" s="1">
        <f t="shared" si="3"/>
        <v>-0.5323472868217054</v>
      </c>
      <c r="D44" s="1">
        <f t="shared" si="9"/>
        <v>3.7107838759689926</v>
      </c>
      <c r="E44">
        <v>301.24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discharge</v>
      </c>
      <c r="Y44" s="1">
        <f t="shared" si="1"/>
        <v>0.20157392868217056</v>
      </c>
      <c r="AA44" s="1">
        <f t="shared" si="6"/>
        <v>-0.55286416452907838</v>
      </c>
      <c r="AD44" s="1">
        <f t="shared" si="7"/>
        <v>0</v>
      </c>
      <c r="AF44" s="1">
        <f t="shared" si="8"/>
        <v>0</v>
      </c>
      <c r="AH44" s="1">
        <f t="shared" si="18"/>
        <v>0</v>
      </c>
    </row>
    <row r="45" spans="1:34" ht="15">
      <c r="A45" s="1">
        <v>44</v>
      </c>
      <c r="B45" s="1">
        <f t="shared" si="20"/>
        <v>0</v>
      </c>
      <c r="C45" s="1">
        <f t="shared" si="3"/>
        <v>-0.65627906976744199</v>
      </c>
      <c r="D45" s="1">
        <f t="shared" si="9"/>
        <v>2.8904350387596902</v>
      </c>
      <c r="E45">
        <v>353.77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discharge</v>
      </c>
      <c r="Y45" s="1">
        <f t="shared" si="1"/>
        <v>0.23217184651162792</v>
      </c>
      <c r="AA45" s="1">
        <f t="shared" si="6"/>
        <v>-1.2091432342965205</v>
      </c>
      <c r="AD45" s="1">
        <f t="shared" si="7"/>
        <v>0</v>
      </c>
      <c r="AF45" s="1">
        <f t="shared" si="8"/>
        <v>0</v>
      </c>
      <c r="AH45" s="1">
        <f t="shared" si="18"/>
        <v>0</v>
      </c>
    </row>
    <row r="46" spans="1:34" ht="15">
      <c r="A46" s="1">
        <v>45</v>
      </c>
      <c r="B46" s="1">
        <f t="shared" si="20"/>
        <v>0</v>
      </c>
      <c r="C46" s="1">
        <f t="shared" si="3"/>
        <v>-0.66914728682170543</v>
      </c>
      <c r="D46" s="1">
        <f t="shared" si="9"/>
        <v>2.0540009302325584</v>
      </c>
      <c r="E46">
        <v>358.77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discharge</v>
      </c>
      <c r="Y46" s="1">
        <f t="shared" si="1"/>
        <v>0.24006997209302325</v>
      </c>
      <c r="AA46" s="1">
        <f t="shared" si="6"/>
        <v>-1.8782905211182259</v>
      </c>
      <c r="AD46" s="1">
        <f t="shared" si="7"/>
        <v>0</v>
      </c>
      <c r="AF46" s="1">
        <f t="shared" si="8"/>
        <v>0</v>
      </c>
      <c r="AH46" s="1">
        <f t="shared" si="18"/>
        <v>0</v>
      </c>
    </row>
    <row r="47" spans="1:34" ht="15">
      <c r="A47" s="1">
        <v>46</v>
      </c>
      <c r="B47" s="1">
        <f t="shared" si="20"/>
        <v>0</v>
      </c>
      <c r="C47" s="1">
        <f t="shared" si="3"/>
        <v>-0.39891472868217059</v>
      </c>
      <c r="D47" s="1">
        <f t="shared" si="9"/>
        <v>1.5553575193798452</v>
      </c>
      <c r="E47">
        <v>284.52999999999997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discharge</v>
      </c>
      <c r="Y47" s="1">
        <f t="shared" si="1"/>
        <v>0.11350320775193799</v>
      </c>
      <c r="AA47" s="1">
        <f t="shared" si="6"/>
        <v>-2.2772052498003967</v>
      </c>
      <c r="AD47" s="1">
        <f t="shared" si="7"/>
        <v>0</v>
      </c>
      <c r="AF47" s="1">
        <f t="shared" si="8"/>
        <v>0</v>
      </c>
      <c r="AH47" s="1">
        <f t="shared" si="18"/>
        <v>0</v>
      </c>
    </row>
    <row r="48" spans="1:34" ht="15">
      <c r="A48" s="1">
        <v>47</v>
      </c>
      <c r="B48" s="1">
        <f t="shared" si="20"/>
        <v>0</v>
      </c>
      <c r="C48" s="1">
        <f t="shared" si="3"/>
        <v>-0.39891472868217059</v>
      </c>
      <c r="D48" s="1">
        <f t="shared" si="9"/>
        <v>1.0567141085271321</v>
      </c>
      <c r="E48">
        <v>268.66000000000003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discharge</v>
      </c>
      <c r="Y48" s="1">
        <f t="shared" si="1"/>
        <v>0.10717243100775196</v>
      </c>
      <c r="AA48" s="1">
        <f t="shared" si="6"/>
        <v>-2.6761199784825673</v>
      </c>
      <c r="AD48" s="1">
        <f t="shared" si="7"/>
        <v>0</v>
      </c>
      <c r="AF48" s="1">
        <f t="shared" si="8"/>
        <v>0</v>
      </c>
      <c r="AH48" s="1">
        <f t="shared" si="18"/>
        <v>0</v>
      </c>
    </row>
    <row r="49" spans="1:34" ht="15">
      <c r="A49" s="1">
        <v>48</v>
      </c>
      <c r="B49" s="1">
        <f t="shared" si="20"/>
        <v>0</v>
      </c>
      <c r="C49" s="1">
        <f t="shared" si="3"/>
        <v>-0.39891472868217059</v>
      </c>
      <c r="D49" s="1">
        <f t="shared" si="9"/>
        <v>0.55807069767441886</v>
      </c>
      <c r="E49">
        <v>262.99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discharge</v>
      </c>
      <c r="Y49" s="1">
        <f t="shared" si="1"/>
        <v>0.10491058449612405</v>
      </c>
      <c r="AA49" s="1">
        <f t="shared" si="6"/>
        <v>-3.0750347071647379</v>
      </c>
      <c r="AD49" s="1">
        <f t="shared" si="7"/>
        <v>0</v>
      </c>
      <c r="AF49" s="1">
        <f t="shared" si="8"/>
        <v>0</v>
      </c>
      <c r="AH49" s="1">
        <f t="shared" si="18"/>
        <v>0</v>
      </c>
    </row>
    <row r="50" spans="1:34" ht="15">
      <c r="A50" s="1">
        <v>49</v>
      </c>
      <c r="B50" s="1">
        <f t="shared" si="20"/>
        <v>0</v>
      </c>
      <c r="C50" s="1">
        <f t="shared" si="3"/>
        <v>-0.29596899224806206</v>
      </c>
      <c r="D50" s="1">
        <f t="shared" si="9"/>
        <v>0.18810945736434131</v>
      </c>
      <c r="E50">
        <v>349.17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ref="X50:X58" si="31">(M50*E50)/1000</f>
        <v>-0.10334349302325584</v>
      </c>
      <c r="Y50" s="1">
        <f t="shared" si="1"/>
        <v>0.10334349302325584</v>
      </c>
      <c r="AA50" s="1">
        <f t="shared" si="6"/>
        <v>-3.3710036994128001</v>
      </c>
      <c r="AC50" s="1">
        <f t="shared" ref="AC50:AC58" si="32">L50</f>
        <v>0.29596899224806206</v>
      </c>
      <c r="AD50" s="1">
        <f t="shared" si="7"/>
        <v>0.29596899224806206</v>
      </c>
      <c r="AF50" s="1">
        <f t="shared" si="8"/>
        <v>0</v>
      </c>
      <c r="AH50" s="1">
        <f t="shared" si="18"/>
        <v>0</v>
      </c>
    </row>
    <row r="51" spans="1:34" ht="15">
      <c r="A51" s="1">
        <v>50</v>
      </c>
      <c r="B51" s="1">
        <f t="shared" si="20"/>
        <v>0</v>
      </c>
      <c r="C51" s="1">
        <f t="shared" si="3"/>
        <v>0</v>
      </c>
      <c r="D51" s="1">
        <f t="shared" si="9"/>
        <v>0.18810945736434131</v>
      </c>
      <c r="E51">
        <v>274.10000000000002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-8.1125100775193817E-2</v>
      </c>
      <c r="Y51" s="1">
        <f t="shared" si="1"/>
        <v>8.1125100775193817E-2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  <c r="AF51" s="1">
        <f t="shared" si="8"/>
        <v>0</v>
      </c>
      <c r="AH51" s="1">
        <f t="shared" si="18"/>
        <v>0</v>
      </c>
    </row>
    <row r="52" spans="1:34" ht="15">
      <c r="A52" s="1">
        <v>51</v>
      </c>
      <c r="B52" s="1">
        <f t="shared" si="20"/>
        <v>0</v>
      </c>
      <c r="C52" s="1">
        <f t="shared" si="3"/>
        <v>0</v>
      </c>
      <c r="D52" s="1">
        <f t="shared" si="9"/>
        <v>0.18810945736434131</v>
      </c>
      <c r="E52">
        <v>271.25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-8.0281589147286836E-2</v>
      </c>
      <c r="Y52" s="1">
        <f t="shared" si="1"/>
        <v>8.0281589147286836E-2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  <c r="AF52" s="1">
        <f t="shared" si="8"/>
        <v>0</v>
      </c>
      <c r="AH52" s="1">
        <f t="shared" si="18"/>
        <v>0</v>
      </c>
    </row>
    <row r="53" spans="1:34" ht="15">
      <c r="A53" s="1">
        <v>52</v>
      </c>
      <c r="B53" s="1">
        <f t="shared" si="20"/>
        <v>0</v>
      </c>
      <c r="C53" s="1">
        <f t="shared" si="3"/>
        <v>0</v>
      </c>
      <c r="D53" s="1">
        <f t="shared" si="9"/>
        <v>0.18810945736434131</v>
      </c>
      <c r="E53">
        <v>172.78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-5.1137522480620159E-2</v>
      </c>
      <c r="Y53" s="1">
        <f t="shared" si="1"/>
        <v>5.1137522480620159E-2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  <c r="AF53" s="1">
        <f t="shared" si="8"/>
        <v>0</v>
      </c>
      <c r="AH53" s="1">
        <f t="shared" si="18"/>
        <v>0</v>
      </c>
    </row>
    <row r="54" spans="1:34" ht="15">
      <c r="A54" s="1">
        <v>53</v>
      </c>
      <c r="B54" s="1">
        <f t="shared" si="20"/>
        <v>0</v>
      </c>
      <c r="C54" s="1">
        <f t="shared" si="3"/>
        <v>0</v>
      </c>
      <c r="D54" s="1">
        <f t="shared" si="9"/>
        <v>0.18810945736434131</v>
      </c>
      <c r="E54">
        <v>272.85000000000002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-8.0755139534883738E-2</v>
      </c>
      <c r="Y54" s="1">
        <f t="shared" si="1"/>
        <v>8.0755139534883738E-2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  <c r="AF54" s="1">
        <f t="shared" si="8"/>
        <v>0</v>
      </c>
      <c r="AH54" s="1">
        <f t="shared" si="18"/>
        <v>0</v>
      </c>
    </row>
    <row r="55" spans="1:34" ht="15">
      <c r="A55" s="1">
        <v>54</v>
      </c>
      <c r="B55" s="1">
        <f t="shared" si="20"/>
        <v>0</v>
      </c>
      <c r="C55" s="1">
        <f t="shared" si="3"/>
        <v>0</v>
      </c>
      <c r="D55" s="1">
        <f t="shared" si="9"/>
        <v>0.18810945736434131</v>
      </c>
      <c r="E55">
        <v>354.17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-0.14128362945736436</v>
      </c>
      <c r="Y55" s="1">
        <f t="shared" si="1"/>
        <v>0.14128362945736436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  <c r="AF55" s="1">
        <f t="shared" si="8"/>
        <v>0</v>
      </c>
      <c r="AH55" s="1">
        <f t="shared" si="18"/>
        <v>0</v>
      </c>
    </row>
    <row r="56" spans="1:34" ht="15">
      <c r="A56" s="1">
        <v>55</v>
      </c>
      <c r="B56" s="1">
        <f t="shared" si="20"/>
        <v>0</v>
      </c>
      <c r="C56" s="1">
        <f t="shared" si="3"/>
        <v>0</v>
      </c>
      <c r="D56" s="1">
        <f t="shared" si="9"/>
        <v>0.18810945736434131</v>
      </c>
      <c r="E56">
        <v>359.17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-0.24033763100775196</v>
      </c>
      <c r="Y56" s="1">
        <f t="shared" si="1"/>
        <v>0.24033763100775196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  <c r="AF56" s="1">
        <f t="shared" si="8"/>
        <v>0</v>
      </c>
      <c r="AH56" s="1">
        <f t="shared" si="18"/>
        <v>0</v>
      </c>
    </row>
    <row r="57" spans="1:34" ht="15">
      <c r="A57" s="1">
        <v>56</v>
      </c>
      <c r="B57" s="1">
        <f t="shared" si="20"/>
        <v>0</v>
      </c>
      <c r="C57" s="1">
        <f t="shared" si="3"/>
        <v>0</v>
      </c>
      <c r="D57" s="1">
        <f t="shared" si="9"/>
        <v>0.18810945736434131</v>
      </c>
      <c r="E57">
        <v>349.17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-0.2279896041395349</v>
      </c>
      <c r="Y57" s="1">
        <f t="shared" si="1"/>
        <v>0.23364615813953488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  <c r="AF57" s="1">
        <f t="shared" si="8"/>
        <v>0</v>
      </c>
      <c r="AH57" s="1">
        <f t="shared" si="18"/>
        <v>0</v>
      </c>
    </row>
    <row r="58" spans="1:34" ht="15">
      <c r="A58" s="1">
        <v>57</v>
      </c>
      <c r="B58" s="1">
        <f t="shared" si="20"/>
        <v>0</v>
      </c>
      <c r="C58" s="1">
        <f t="shared" si="3"/>
        <v>0</v>
      </c>
      <c r="D58" s="1">
        <f t="shared" si="9"/>
        <v>0.18810945736434131</v>
      </c>
      <c r="E58">
        <v>269.99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-0.11456952396899224</v>
      </c>
      <c r="Y58" s="1">
        <f t="shared" si="1"/>
        <v>0.18066307596899225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  <c r="AF58" s="1">
        <f t="shared" si="8"/>
        <v>0</v>
      </c>
      <c r="AH58" s="1">
        <f t="shared" si="18"/>
        <v>0</v>
      </c>
    </row>
    <row r="59" spans="1:34" ht="15">
      <c r="A59" s="1">
        <v>58</v>
      </c>
      <c r="B59" s="1">
        <f t="shared" si="20"/>
        <v>0</v>
      </c>
      <c r="C59" s="1">
        <f t="shared" si="3"/>
        <v>0</v>
      </c>
      <c r="D59" s="1">
        <f t="shared" si="9"/>
        <v>0.18810945736434131</v>
      </c>
      <c r="E59">
        <v>198.49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101.14352014931426</v>
      </c>
      <c r="S59" s="1">
        <f t="shared" ref="S59:S67" si="36">((1/(E59+0.01))*LN(L59))+(E59*(K59-L59))</f>
        <v>71.587789742679433</v>
      </c>
      <c r="T59" s="1">
        <f t="shared" ref="T59:T67" si="37">(S59+((S59^2)-4*(K59-L59*P59)*LN(L59*P59))^(0.5))/(2*(K59-L59*P59))</f>
        <v>140.49775660127327</v>
      </c>
      <c r="U59" s="1" t="str">
        <f t="shared" ref="U59:U67" si="38">IF(E59&gt;=T59*1.2,"sell to the Grid","charge")</f>
        <v>sell to the Grid</v>
      </c>
      <c r="W59" s="1">
        <f>(Q59*E59)/1000</f>
        <v>0.101150504</v>
      </c>
      <c r="Y59" s="1">
        <f t="shared" si="1"/>
        <v>7.9180584496124043E-2</v>
      </c>
      <c r="AA59" s="1">
        <f t="shared" si="6"/>
        <v>-6.3395509862345047</v>
      </c>
      <c r="AD59" s="1">
        <f t="shared" si="7"/>
        <v>0.25</v>
      </c>
      <c r="AF59" s="1">
        <f t="shared" si="8"/>
        <v>168.59730792152791</v>
      </c>
      <c r="AG59" s="1">
        <f t="shared" ref="AG59" si="39">E59</f>
        <v>198.49</v>
      </c>
      <c r="AH59" s="1">
        <f t="shared" si="18"/>
        <v>101.150504</v>
      </c>
    </row>
    <row r="60" spans="1:34" ht="15">
      <c r="A60" s="1">
        <v>59</v>
      </c>
      <c r="B60" s="1">
        <f t="shared" si="20"/>
        <v>1.1828000000000001</v>
      </c>
      <c r="C60" s="1">
        <f t="shared" si="3"/>
        <v>0</v>
      </c>
      <c r="D60" s="1">
        <f t="shared" si="9"/>
        <v>1.1343494573643413</v>
      </c>
      <c r="E60">
        <v>191.58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226.59358826556127</v>
      </c>
      <c r="S60" s="1">
        <f t="shared" si="36"/>
        <v>198.06694353812554</v>
      </c>
      <c r="T60" s="1">
        <f t="shared" si="37"/>
        <v>167.46298761549153</v>
      </c>
      <c r="U60" s="1" t="str">
        <f t="shared" si="38"/>
        <v>charge</v>
      </c>
      <c r="Y60" s="1">
        <f t="shared" si="1"/>
        <v>7.6424083720930236E-2</v>
      </c>
      <c r="AA60" s="1">
        <f t="shared" si="6"/>
        <v>-5.3056657149166755</v>
      </c>
      <c r="AD60" s="1">
        <f t="shared" si="7"/>
        <v>0.25</v>
      </c>
      <c r="AF60" s="1">
        <f t="shared" si="8"/>
        <v>200.95558513858984</v>
      </c>
      <c r="AH60" s="1">
        <f t="shared" si="18"/>
        <v>0</v>
      </c>
    </row>
    <row r="61" spans="1:34" ht="15">
      <c r="A61" s="1">
        <v>60</v>
      </c>
      <c r="B61" s="1">
        <f t="shared" si="20"/>
        <v>1.6616000000000002</v>
      </c>
      <c r="C61" s="1">
        <f t="shared" si="3"/>
        <v>0</v>
      </c>
      <c r="D61" s="1">
        <f t="shared" si="9"/>
        <v>2.4636294573643416</v>
      </c>
      <c r="E61">
        <v>180.2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299.41262733943114</v>
      </c>
      <c r="S61" s="1">
        <f t="shared" si="36"/>
        <v>272.58078624329846</v>
      </c>
      <c r="T61" s="1">
        <f t="shared" si="37"/>
        <v>164.05226081179981</v>
      </c>
      <c r="U61" s="1" t="str">
        <f t="shared" si="38"/>
        <v>charge</v>
      </c>
      <c r="Y61" s="1">
        <f t="shared" si="1"/>
        <v>7.1884434108527129E-2</v>
      </c>
      <c r="AA61" s="1">
        <f t="shared" si="6"/>
        <v>-3.7929804435988457</v>
      </c>
      <c r="AD61" s="1">
        <f t="shared" si="7"/>
        <v>0.25</v>
      </c>
      <c r="AF61" s="1">
        <f t="shared" si="8"/>
        <v>196.86271297415976</v>
      </c>
      <c r="AH61" s="1">
        <f t="shared" si="18"/>
        <v>0</v>
      </c>
    </row>
    <row r="62" spans="1:34" ht="15">
      <c r="A62" s="1">
        <v>61</v>
      </c>
      <c r="B62" s="1">
        <f t="shared" si="20"/>
        <v>1.9388000000000001</v>
      </c>
      <c r="C62" s="1">
        <f t="shared" si="3"/>
        <v>0</v>
      </c>
      <c r="D62" s="1">
        <f t="shared" si="9"/>
        <v>4.0146694573643416</v>
      </c>
      <c r="E62">
        <v>175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339.28207877057815</v>
      </c>
      <c r="S62" s="1">
        <f t="shared" si="36"/>
        <v>313.22467130870132</v>
      </c>
      <c r="T62" s="1">
        <f t="shared" si="37"/>
        <v>161.56037340984841</v>
      </c>
      <c r="U62" s="1" t="str">
        <f t="shared" si="38"/>
        <v>charge</v>
      </c>
      <c r="Y62" s="1">
        <f t="shared" si="1"/>
        <v>6.9810077519379857E-2</v>
      </c>
      <c r="AA62" s="1">
        <f t="shared" si="6"/>
        <v>-2.0030951722810162</v>
      </c>
      <c r="AD62" s="1">
        <f t="shared" si="7"/>
        <v>0.25</v>
      </c>
      <c r="AF62" s="1">
        <f t="shared" si="8"/>
        <v>193.87244809181809</v>
      </c>
      <c r="AH62" s="1">
        <f t="shared" si="18"/>
        <v>0</v>
      </c>
    </row>
    <row r="63" spans="1:34" ht="15">
      <c r="A63" s="1">
        <v>62</v>
      </c>
      <c r="B63" s="1">
        <f t="shared" si="20"/>
        <v>2.1008</v>
      </c>
      <c r="C63" s="1">
        <f t="shared" si="3"/>
        <v>0</v>
      </c>
      <c r="D63" s="1">
        <f t="shared" si="9"/>
        <v>5.6953094573643419</v>
      </c>
      <c r="E63">
        <v>174.76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367.12787589288138</v>
      </c>
      <c r="S63" s="1">
        <f t="shared" si="36"/>
        <v>341.10621163250045</v>
      </c>
      <c r="T63" s="1">
        <f t="shared" si="37"/>
        <v>162.3737382466002</v>
      </c>
      <c r="U63" s="1" t="str">
        <f t="shared" si="38"/>
        <v>charge</v>
      </c>
      <c r="Y63" s="1">
        <f t="shared" si="1"/>
        <v>6.9714337984496125E-2</v>
      </c>
      <c r="AA63" s="1">
        <f t="shared" si="6"/>
        <v>-5.1209900963186783E-2</v>
      </c>
      <c r="AD63" s="1">
        <f t="shared" si="7"/>
        <v>0.25</v>
      </c>
      <c r="AF63" s="1">
        <f t="shared" si="8"/>
        <v>194.84848589592022</v>
      </c>
      <c r="AH63" s="1">
        <f t="shared" si="18"/>
        <v>0</v>
      </c>
    </row>
    <row r="64" spans="1:34" ht="15">
      <c r="A64" s="1">
        <v>63</v>
      </c>
      <c r="B64" s="1">
        <f t="shared" si="20"/>
        <v>1.9855999999999998</v>
      </c>
      <c r="C64" s="1">
        <f t="shared" si="3"/>
        <v>0</v>
      </c>
      <c r="D64" s="1">
        <f t="shared" si="9"/>
        <v>7.2837894573643416</v>
      </c>
      <c r="E64">
        <v>180.2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357.79742733943107</v>
      </c>
      <c r="S64" s="1">
        <f t="shared" si="36"/>
        <v>330.96558624329839</v>
      </c>
      <c r="T64" s="1">
        <f t="shared" si="37"/>
        <v>166.68709860490614</v>
      </c>
      <c r="U64" s="1" t="str">
        <f t="shared" si="38"/>
        <v>charge</v>
      </c>
      <c r="Y64" s="1">
        <f t="shared" si="1"/>
        <v>7.1884434108527129E-2</v>
      </c>
      <c r="AA64" s="1">
        <f t="shared" si="6"/>
        <v>1.7854753703546424</v>
      </c>
      <c r="AD64" s="1">
        <f t="shared" si="7"/>
        <v>0.25</v>
      </c>
      <c r="AF64" s="1">
        <f t="shared" si="8"/>
        <v>200.02451832588736</v>
      </c>
      <c r="AH64" s="1">
        <f t="shared" si="18"/>
        <v>0</v>
      </c>
    </row>
    <row r="65" spans="1:34" ht="15">
      <c r="A65" s="1">
        <v>64</v>
      </c>
      <c r="B65" s="1">
        <f t="shared" si="20"/>
        <v>1.6976</v>
      </c>
      <c r="C65" s="1">
        <f t="shared" si="3"/>
        <v>0</v>
      </c>
      <c r="D65" s="1">
        <f t="shared" si="9"/>
        <v>8.6418694573643418</v>
      </c>
      <c r="E65">
        <v>269.97000000000003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458.29593719608448</v>
      </c>
      <c r="S65" s="1">
        <f t="shared" si="36"/>
        <v>418.09515871368484</v>
      </c>
      <c r="T65" s="1">
        <f t="shared" si="37"/>
        <v>246.28934226919174</v>
      </c>
      <c r="U65" s="1" t="str">
        <f t="shared" si="38"/>
        <v>charge</v>
      </c>
      <c r="Y65" s="1">
        <f t="shared" si="1"/>
        <v>0.1076950093023256</v>
      </c>
      <c r="AA65" s="1">
        <f t="shared" si="6"/>
        <v>3.3341606416724718</v>
      </c>
      <c r="AD65" s="1">
        <f t="shared" si="7"/>
        <v>0.25</v>
      </c>
      <c r="AF65" s="1">
        <f t="shared" si="8"/>
        <v>295.54721072303005</v>
      </c>
      <c r="AH65" s="1">
        <f t="shared" si="18"/>
        <v>0</v>
      </c>
    </row>
    <row r="66" spans="1:34" ht="15">
      <c r="A66" s="1">
        <v>65</v>
      </c>
      <c r="B66" s="1">
        <f t="shared" si="20"/>
        <v>1.2547999999999999</v>
      </c>
      <c r="C66" s="1">
        <f t="shared" si="3"/>
        <v>0</v>
      </c>
      <c r="D66" s="1">
        <f t="shared" si="9"/>
        <v>9.645709457364342</v>
      </c>
      <c r="E66">
        <v>354.17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444.40860190445215</v>
      </c>
      <c r="S66" s="1">
        <f t="shared" si="36"/>
        <v>391.66879179533902</v>
      </c>
      <c r="T66" s="1">
        <f t="shared" si="37"/>
        <v>312.13996896243685</v>
      </c>
      <c r="U66" s="1" t="str">
        <f t="shared" si="38"/>
        <v>charge</v>
      </c>
      <c r="Y66" s="1">
        <f t="shared" ref="Y66:Y129" si="40">(L66*E66)/1000</f>
        <v>0.14128362945736436</v>
      </c>
      <c r="AA66" s="1">
        <f t="shared" si="6"/>
        <v>4.4400459129903016</v>
      </c>
      <c r="AD66" s="1">
        <f t="shared" si="7"/>
        <v>0.25</v>
      </c>
      <c r="AF66" s="1">
        <f t="shared" si="8"/>
        <v>374.56796275492422</v>
      </c>
      <c r="AH66" s="1">
        <f t="shared" si="18"/>
        <v>0</v>
      </c>
    </row>
    <row r="67" spans="1:34" ht="15">
      <c r="A67" s="1">
        <v>66</v>
      </c>
      <c r="B67" s="1">
        <f t="shared" si="20"/>
        <v>0</v>
      </c>
      <c r="C67" s="1">
        <f t="shared" ref="C67:C130" si="41">IF(V66="discharge",M67,0)</f>
        <v>0</v>
      </c>
      <c r="D67" s="1">
        <f t="shared" si="9"/>
        <v>9.645709457364342</v>
      </c>
      <c r="E67">
        <v>369.17</v>
      </c>
      <c r="K67" s="1">
        <f>'Solar Availability and Gener GR'!F67</f>
        <v>0.9396000000000001</v>
      </c>
      <c r="L67" s="1">
        <v>0.65627906976744199</v>
      </c>
      <c r="M67" s="1">
        <f t="shared" ref="M67:M130" si="42">K67-L67</f>
        <v>0.28332093023255811</v>
      </c>
      <c r="N67" s="1" t="str">
        <f t="shared" ref="N67:N130" si="43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254.57587693645078</v>
      </c>
      <c r="S67" s="1">
        <f t="shared" si="36"/>
        <v>104.59244699059016</v>
      </c>
      <c r="T67" s="1">
        <f t="shared" si="37"/>
        <v>151.68443492208235</v>
      </c>
      <c r="U67" s="1" t="str">
        <f t="shared" si="38"/>
        <v>sell to the Grid</v>
      </c>
      <c r="W67" s="1">
        <f>(Q67*E67)/1000</f>
        <v>0.25457963200000006</v>
      </c>
      <c r="Y67" s="1">
        <f t="shared" si="40"/>
        <v>0.24227854418604655</v>
      </c>
      <c r="AA67" s="1">
        <f t="shared" ref="AA67:AA130" si="44">M67+AA66</f>
        <v>4.7233668432228599</v>
      </c>
      <c r="AD67" s="1">
        <f t="shared" ref="AD67:AD130" si="45">AC67+O67</f>
        <v>0.25</v>
      </c>
      <c r="AF67" s="1">
        <f t="shared" ref="AF67:AF130" si="46">T67*1.2</f>
        <v>182.0213219064988</v>
      </c>
      <c r="AG67" s="1">
        <f>AF66</f>
        <v>374.56796275492422</v>
      </c>
      <c r="AH67" s="1">
        <f t="shared" si="18"/>
        <v>258.30206711579581</v>
      </c>
    </row>
    <row r="68" spans="1:34" ht="15">
      <c r="A68" s="1">
        <v>67</v>
      </c>
      <c r="B68" s="1">
        <f t="shared" si="20"/>
        <v>0</v>
      </c>
      <c r="C68" s="1">
        <f t="shared" si="41"/>
        <v>0</v>
      </c>
      <c r="D68" s="1">
        <f t="shared" ref="D68:D131" si="47">(D67)+(B68*0.8)+(C68/0.8)</f>
        <v>9.645709457364342</v>
      </c>
      <c r="E68">
        <v>344.5</v>
      </c>
      <c r="K68" s="1">
        <f>'Solar Availability and Gener GR'!F68</f>
        <v>0.34559999999999996</v>
      </c>
      <c r="L68" s="1">
        <v>0.66914728682170543</v>
      </c>
      <c r="M68" s="1">
        <f t="shared" si="42"/>
        <v>-0.32354728682170547</v>
      </c>
      <c r="N68" s="1" t="str">
        <f t="shared" si="43"/>
        <v>Buy from Grid</v>
      </c>
      <c r="V68" s="1" t="str">
        <f t="shared" ref="V68:V82" si="48">IF(D68+M68&gt;0,"discharge","buy from the Grid")</f>
        <v>discharge</v>
      </c>
      <c r="Y68" s="1">
        <f t="shared" si="40"/>
        <v>0.23052124031007754</v>
      </c>
      <c r="AA68" s="1">
        <f t="shared" si="44"/>
        <v>4.3998195564011544</v>
      </c>
      <c r="AD68" s="1">
        <f t="shared" si="45"/>
        <v>0</v>
      </c>
      <c r="AF68" s="1">
        <f t="shared" si="46"/>
        <v>0</v>
      </c>
      <c r="AH68" s="1">
        <f t="shared" si="18"/>
        <v>0</v>
      </c>
    </row>
    <row r="69" spans="1:34" ht="15">
      <c r="A69" s="1">
        <v>68</v>
      </c>
      <c r="B69" s="1">
        <f t="shared" si="20"/>
        <v>0</v>
      </c>
      <c r="C69" s="1">
        <f t="shared" si="41"/>
        <v>-0.62747906976744194</v>
      </c>
      <c r="D69" s="1">
        <f t="shared" si="47"/>
        <v>8.8613606201550397</v>
      </c>
      <c r="E69">
        <v>349.17</v>
      </c>
      <c r="K69" s="1">
        <f>'Solar Availability and Gener GR'!F69</f>
        <v>2.8799999999999999E-2</v>
      </c>
      <c r="L69" s="1">
        <v>0.65627906976744199</v>
      </c>
      <c r="M69" s="1">
        <f t="shared" si="42"/>
        <v>-0.62747906976744194</v>
      </c>
      <c r="N69" s="1" t="str">
        <f t="shared" si="43"/>
        <v>Buy from Grid</v>
      </c>
      <c r="V69" s="1" t="str">
        <f t="shared" si="48"/>
        <v>discharge</v>
      </c>
      <c r="Y69" s="1">
        <f t="shared" si="40"/>
        <v>0.22915296279069772</v>
      </c>
      <c r="AA69" s="1">
        <f t="shared" si="44"/>
        <v>3.7723404866337127</v>
      </c>
      <c r="AD69" s="1">
        <f t="shared" si="45"/>
        <v>0</v>
      </c>
      <c r="AF69" s="1">
        <f t="shared" si="46"/>
        <v>0</v>
      </c>
      <c r="AH69" s="1">
        <f t="shared" si="18"/>
        <v>0</v>
      </c>
    </row>
    <row r="70" spans="1:34" ht="15">
      <c r="A70" s="1">
        <v>69</v>
      </c>
      <c r="B70" s="1">
        <f t="shared" si="20"/>
        <v>0</v>
      </c>
      <c r="C70" s="1">
        <f t="shared" si="41"/>
        <v>-0.66914728682170543</v>
      </c>
      <c r="D70" s="1">
        <f t="shared" si="47"/>
        <v>8.0249265116279087</v>
      </c>
      <c r="E70">
        <v>343</v>
      </c>
      <c r="K70" s="1">
        <f>'Solar Availability and Gener GR'!F70</f>
        <v>0</v>
      </c>
      <c r="L70" s="1">
        <v>0.66914728682170543</v>
      </c>
      <c r="M70" s="1">
        <f t="shared" si="42"/>
        <v>-0.66914728682170543</v>
      </c>
      <c r="N70" s="1" t="str">
        <f t="shared" si="43"/>
        <v>Buy from Grid</v>
      </c>
      <c r="V70" s="1" t="str">
        <f t="shared" si="48"/>
        <v>discharge</v>
      </c>
      <c r="Y70" s="1">
        <f t="shared" si="40"/>
        <v>0.22951751937984496</v>
      </c>
      <c r="AA70" s="1">
        <f t="shared" si="44"/>
        <v>3.103193199812007</v>
      </c>
      <c r="AD70" s="1">
        <f t="shared" si="45"/>
        <v>0</v>
      </c>
      <c r="AF70" s="1">
        <f t="shared" si="46"/>
        <v>0</v>
      </c>
      <c r="AH70" s="1">
        <f t="shared" si="18"/>
        <v>0</v>
      </c>
    </row>
    <row r="71" spans="1:34" ht="15">
      <c r="A71" s="1">
        <v>70</v>
      </c>
      <c r="B71" s="1">
        <f t="shared" si="20"/>
        <v>0</v>
      </c>
      <c r="C71" s="1">
        <f t="shared" si="41"/>
        <v>-0.39891472868217059</v>
      </c>
      <c r="D71" s="1">
        <f t="shared" si="47"/>
        <v>7.5262831007751956</v>
      </c>
      <c r="E71">
        <v>270.76</v>
      </c>
      <c r="K71" s="1">
        <f>'Solar Availability and Gener GR'!F71</f>
        <v>0</v>
      </c>
      <c r="L71" s="1">
        <v>0.39891472868217059</v>
      </c>
      <c r="M71" s="1">
        <f t="shared" si="42"/>
        <v>-0.39891472868217059</v>
      </c>
      <c r="N71" s="1" t="str">
        <f t="shared" si="43"/>
        <v>Buy from Grid</v>
      </c>
      <c r="V71" s="1" t="str">
        <f t="shared" si="48"/>
        <v>discharge</v>
      </c>
      <c r="Y71" s="1">
        <f t="shared" si="40"/>
        <v>0.10801015193798451</v>
      </c>
      <c r="AA71" s="1">
        <f t="shared" si="44"/>
        <v>2.7042784711298364</v>
      </c>
      <c r="AD71" s="1">
        <f t="shared" si="45"/>
        <v>0</v>
      </c>
      <c r="AF71" s="1">
        <f t="shared" si="46"/>
        <v>0</v>
      </c>
      <c r="AH71" s="1">
        <f t="shared" si="18"/>
        <v>0</v>
      </c>
    </row>
    <row r="72" spans="1:34" ht="15">
      <c r="A72" s="1">
        <v>71</v>
      </c>
      <c r="B72" s="1">
        <f t="shared" si="20"/>
        <v>0</v>
      </c>
      <c r="C72" s="1">
        <f t="shared" si="41"/>
        <v>-0.39891472868217059</v>
      </c>
      <c r="D72" s="1">
        <f t="shared" si="47"/>
        <v>7.0276396899224824</v>
      </c>
      <c r="E72">
        <v>243.82</v>
      </c>
      <c r="K72" s="1">
        <f>'Solar Availability and Gener GR'!F72</f>
        <v>0</v>
      </c>
      <c r="L72" s="1">
        <v>0.39891472868217059</v>
      </c>
      <c r="M72" s="1">
        <f t="shared" si="42"/>
        <v>-0.39891472868217059</v>
      </c>
      <c r="N72" s="1" t="str">
        <f t="shared" si="43"/>
        <v>Buy from Grid</v>
      </c>
      <c r="V72" s="1" t="str">
        <f t="shared" si="48"/>
        <v>discharge</v>
      </c>
      <c r="Y72" s="1">
        <f t="shared" si="40"/>
        <v>9.7263389147286827E-2</v>
      </c>
      <c r="AA72" s="1">
        <f t="shared" si="44"/>
        <v>2.3053637424476658</v>
      </c>
      <c r="AD72" s="1">
        <f t="shared" si="45"/>
        <v>0</v>
      </c>
      <c r="AF72" s="1">
        <f t="shared" si="46"/>
        <v>0</v>
      </c>
      <c r="AH72" s="1">
        <f t="shared" si="18"/>
        <v>0</v>
      </c>
    </row>
    <row r="73" spans="1:34" ht="15">
      <c r="A73" s="1">
        <v>72</v>
      </c>
      <c r="B73" s="1">
        <f t="shared" si="20"/>
        <v>0</v>
      </c>
      <c r="C73" s="1">
        <f t="shared" si="41"/>
        <v>-0.39891472868217059</v>
      </c>
      <c r="D73" s="1">
        <f t="shared" si="47"/>
        <v>6.5289962790697693</v>
      </c>
      <c r="E73">
        <v>149.99</v>
      </c>
      <c r="K73" s="1">
        <f>'Solar Availability and Gener GR'!F73</f>
        <v>0</v>
      </c>
      <c r="L73" s="1">
        <v>0.39891472868217059</v>
      </c>
      <c r="M73" s="1">
        <f t="shared" si="42"/>
        <v>-0.39891472868217059</v>
      </c>
      <c r="N73" s="1" t="str">
        <f t="shared" si="43"/>
        <v>Buy from Grid</v>
      </c>
      <c r="V73" s="1" t="str">
        <f t="shared" si="48"/>
        <v>discharge</v>
      </c>
      <c r="Y73" s="1">
        <f t="shared" si="40"/>
        <v>5.9833220155038773E-2</v>
      </c>
      <c r="AA73" s="1">
        <f t="shared" si="44"/>
        <v>1.9064490137654952</v>
      </c>
      <c r="AD73" s="1">
        <f t="shared" si="45"/>
        <v>0</v>
      </c>
      <c r="AF73" s="1">
        <f t="shared" si="46"/>
        <v>0</v>
      </c>
      <c r="AH73" s="1">
        <f t="shared" si="18"/>
        <v>0</v>
      </c>
    </row>
    <row r="74" spans="1:34" ht="15">
      <c r="A74" s="1">
        <v>73</v>
      </c>
      <c r="B74" s="1">
        <f t="shared" si="20"/>
        <v>0</v>
      </c>
      <c r="C74" s="1">
        <f t="shared" si="41"/>
        <v>-0.29596899224806206</v>
      </c>
      <c r="D74" s="1">
        <f t="shared" si="47"/>
        <v>6.1590350387596917</v>
      </c>
      <c r="E74">
        <v>151.68</v>
      </c>
      <c r="K74" s="1">
        <f>'Solar Availability and Gener GR'!F74</f>
        <v>0</v>
      </c>
      <c r="L74" s="1">
        <v>0.29596899224806206</v>
      </c>
      <c r="M74" s="1">
        <f t="shared" si="42"/>
        <v>-0.29596899224806206</v>
      </c>
      <c r="N74" s="1" t="str">
        <f t="shared" si="43"/>
        <v>Buy from Grid</v>
      </c>
      <c r="V74" s="1" t="str">
        <f t="shared" si="48"/>
        <v>discharge</v>
      </c>
      <c r="Y74" s="1">
        <f t="shared" si="40"/>
        <v>4.489257674418605E-2</v>
      </c>
      <c r="AA74" s="1">
        <f t="shared" si="44"/>
        <v>1.6104800215174331</v>
      </c>
      <c r="AD74" s="1">
        <f t="shared" si="45"/>
        <v>0</v>
      </c>
      <c r="AF74" s="1">
        <f t="shared" si="46"/>
        <v>0</v>
      </c>
      <c r="AH74" s="1">
        <f t="shared" si="18"/>
        <v>0</v>
      </c>
    </row>
    <row r="75" spans="1:34" ht="15">
      <c r="A75" s="1">
        <v>74</v>
      </c>
      <c r="B75" s="1">
        <f t="shared" si="20"/>
        <v>0</v>
      </c>
      <c r="C75" s="1">
        <f t="shared" si="41"/>
        <v>-0.29596899224806206</v>
      </c>
      <c r="D75" s="1">
        <f t="shared" si="47"/>
        <v>5.7890737984496141</v>
      </c>
      <c r="E75">
        <v>216.29</v>
      </c>
      <c r="K75" s="1">
        <f>'Solar Availability and Gener GR'!F75</f>
        <v>0</v>
      </c>
      <c r="L75" s="1">
        <v>0.29596899224806206</v>
      </c>
      <c r="M75" s="1">
        <f t="shared" si="42"/>
        <v>-0.29596899224806206</v>
      </c>
      <c r="N75" s="1" t="str">
        <f t="shared" si="43"/>
        <v>Buy from Grid</v>
      </c>
      <c r="V75" s="1" t="str">
        <f t="shared" si="48"/>
        <v>discharge</v>
      </c>
      <c r="Y75" s="1">
        <f t="shared" si="40"/>
        <v>6.4015133333333335E-2</v>
      </c>
      <c r="AA75" s="1">
        <f t="shared" si="44"/>
        <v>1.3145110292693709</v>
      </c>
      <c r="AD75" s="1">
        <f t="shared" si="45"/>
        <v>0</v>
      </c>
      <c r="AF75" s="1">
        <f t="shared" si="46"/>
        <v>0</v>
      </c>
      <c r="AH75" s="1">
        <f t="shared" si="18"/>
        <v>0</v>
      </c>
    </row>
    <row r="76" spans="1:34" ht="15">
      <c r="A76" s="1">
        <v>75</v>
      </c>
      <c r="B76" s="1">
        <f t="shared" si="20"/>
        <v>0</v>
      </c>
      <c r="C76" s="1">
        <f t="shared" si="41"/>
        <v>-0.29596899224806206</v>
      </c>
      <c r="D76" s="1">
        <f t="shared" si="47"/>
        <v>5.4191125581395365</v>
      </c>
      <c r="E76">
        <v>155.18</v>
      </c>
      <c r="K76" s="1">
        <f>'Solar Availability and Gener GR'!F76</f>
        <v>0</v>
      </c>
      <c r="L76" s="1">
        <v>0.29596899224806206</v>
      </c>
      <c r="M76" s="1">
        <f t="shared" si="42"/>
        <v>-0.29596899224806206</v>
      </c>
      <c r="N76" s="1" t="str">
        <f t="shared" si="43"/>
        <v>Buy from Grid</v>
      </c>
      <c r="V76" s="1" t="str">
        <f t="shared" si="48"/>
        <v>discharge</v>
      </c>
      <c r="Y76" s="1">
        <f t="shared" si="40"/>
        <v>4.592846821705427E-2</v>
      </c>
      <c r="AA76" s="1">
        <f t="shared" si="44"/>
        <v>1.0185420370213087</v>
      </c>
      <c r="AD76" s="1">
        <f t="shared" si="45"/>
        <v>0</v>
      </c>
      <c r="AF76" s="1">
        <f t="shared" si="46"/>
        <v>0</v>
      </c>
      <c r="AH76" s="1">
        <f t="shared" si="18"/>
        <v>0</v>
      </c>
    </row>
    <row r="77" spans="1:34" ht="15">
      <c r="A77" s="1">
        <v>76</v>
      </c>
      <c r="B77" s="1">
        <f t="shared" si="20"/>
        <v>0</v>
      </c>
      <c r="C77" s="1">
        <f t="shared" si="41"/>
        <v>-0.29596899224806206</v>
      </c>
      <c r="D77" s="1">
        <f t="shared" si="47"/>
        <v>5.0491513178294589</v>
      </c>
      <c r="E77">
        <v>130</v>
      </c>
      <c r="K77" s="1">
        <f>'Solar Availability and Gener GR'!F77</f>
        <v>0</v>
      </c>
      <c r="L77" s="1">
        <v>0.29596899224806206</v>
      </c>
      <c r="M77" s="1">
        <f t="shared" si="42"/>
        <v>-0.29596899224806206</v>
      </c>
      <c r="N77" s="1" t="str">
        <f t="shared" si="43"/>
        <v>Buy from Grid</v>
      </c>
      <c r="V77" s="1" t="str">
        <f t="shared" si="48"/>
        <v>discharge</v>
      </c>
      <c r="Y77" s="1">
        <f t="shared" si="40"/>
        <v>3.8475968992248068E-2</v>
      </c>
      <c r="AA77" s="1">
        <f t="shared" si="44"/>
        <v>0.72257304477324669</v>
      </c>
      <c r="AD77" s="1">
        <f t="shared" si="45"/>
        <v>0</v>
      </c>
      <c r="AF77" s="1">
        <f t="shared" si="46"/>
        <v>0</v>
      </c>
      <c r="AH77" s="1">
        <f t="shared" ref="AH77:AH140" si="49">AG77*Q77</f>
        <v>0</v>
      </c>
    </row>
    <row r="78" spans="1:34" ht="15">
      <c r="A78" s="1">
        <v>77</v>
      </c>
      <c r="B78" s="1">
        <f t="shared" si="20"/>
        <v>0</v>
      </c>
      <c r="C78" s="1">
        <f t="shared" si="41"/>
        <v>-0.29596899224806206</v>
      </c>
      <c r="D78" s="1">
        <f t="shared" si="47"/>
        <v>4.6791900775193813</v>
      </c>
      <c r="E78">
        <v>150.13</v>
      </c>
      <c r="K78" s="1">
        <f>'Solar Availability and Gener GR'!F78</f>
        <v>0</v>
      </c>
      <c r="L78" s="1">
        <v>0.29596899224806206</v>
      </c>
      <c r="M78" s="1">
        <f t="shared" si="42"/>
        <v>-0.29596899224806206</v>
      </c>
      <c r="N78" s="1" t="str">
        <f t="shared" si="43"/>
        <v>Buy from Grid</v>
      </c>
      <c r="V78" s="1" t="str">
        <f t="shared" si="48"/>
        <v>discharge</v>
      </c>
      <c r="Y78" s="1">
        <f t="shared" si="40"/>
        <v>4.4433824806201554E-2</v>
      </c>
      <c r="AA78" s="1">
        <f t="shared" si="44"/>
        <v>0.42660405252518463</v>
      </c>
      <c r="AD78" s="1">
        <f t="shared" si="45"/>
        <v>0</v>
      </c>
      <c r="AF78" s="1">
        <f t="shared" si="46"/>
        <v>0</v>
      </c>
      <c r="AH78" s="1">
        <f t="shared" si="49"/>
        <v>0</v>
      </c>
    </row>
    <row r="79" spans="1:34" ht="15">
      <c r="A79" s="1">
        <v>78</v>
      </c>
      <c r="B79" s="1">
        <f t="shared" si="20"/>
        <v>0</v>
      </c>
      <c r="C79" s="1">
        <f t="shared" si="41"/>
        <v>-0.39891472868217059</v>
      </c>
      <c r="D79" s="1">
        <f t="shared" si="47"/>
        <v>4.1805466666666682</v>
      </c>
      <c r="E79">
        <v>257.31</v>
      </c>
      <c r="K79" s="1">
        <f>'Solar Availability and Gener GR'!F79</f>
        <v>0</v>
      </c>
      <c r="L79" s="1">
        <v>0.39891472868217059</v>
      </c>
      <c r="M79" s="1">
        <f t="shared" si="42"/>
        <v>-0.39891472868217059</v>
      </c>
      <c r="N79" s="1" t="str">
        <f t="shared" si="43"/>
        <v>Buy from Grid</v>
      </c>
      <c r="V79" s="1" t="str">
        <f t="shared" si="48"/>
        <v>discharge</v>
      </c>
      <c r="Y79" s="1">
        <f t="shared" si="40"/>
        <v>0.10264474883720932</v>
      </c>
      <c r="AA79" s="1">
        <f t="shared" si="44"/>
        <v>2.7689323843014035E-2</v>
      </c>
      <c r="AD79" s="1">
        <f t="shared" si="45"/>
        <v>0</v>
      </c>
      <c r="AF79" s="1">
        <f t="shared" si="46"/>
        <v>0</v>
      </c>
      <c r="AH79" s="1">
        <f t="shared" si="49"/>
        <v>0</v>
      </c>
    </row>
    <row r="80" spans="1:34" ht="15">
      <c r="A80" s="1">
        <v>79</v>
      </c>
      <c r="B80" s="1">
        <f t="shared" ref="B80:B143" si="50">IF(U80="charge",Q80,0)</f>
        <v>0</v>
      </c>
      <c r="C80" s="1">
        <f t="shared" si="41"/>
        <v>-0.65627906976744199</v>
      </c>
      <c r="D80" s="1">
        <f t="shared" si="47"/>
        <v>3.3601978294573658</v>
      </c>
      <c r="E80">
        <v>260.79000000000002</v>
      </c>
      <c r="K80" s="1">
        <f>'Solar Availability and Gener GR'!F80</f>
        <v>0</v>
      </c>
      <c r="L80" s="1">
        <v>0.65627906976744199</v>
      </c>
      <c r="M80" s="1">
        <f t="shared" si="42"/>
        <v>-0.65627906976744199</v>
      </c>
      <c r="N80" s="1" t="str">
        <f t="shared" si="43"/>
        <v>Buy from Grid</v>
      </c>
      <c r="V80" s="1" t="str">
        <f t="shared" si="48"/>
        <v>discharge</v>
      </c>
      <c r="Y80" s="1">
        <f t="shared" si="40"/>
        <v>0.17115101860465121</v>
      </c>
      <c r="AA80" s="1">
        <f t="shared" si="44"/>
        <v>-0.62858974592442796</v>
      </c>
      <c r="AD80" s="1">
        <f t="shared" si="45"/>
        <v>0</v>
      </c>
      <c r="AF80" s="1">
        <f t="shared" si="46"/>
        <v>0</v>
      </c>
      <c r="AH80" s="1">
        <f t="shared" si="49"/>
        <v>0</v>
      </c>
    </row>
    <row r="81" spans="1:34" ht="15">
      <c r="A81" s="1">
        <v>80</v>
      </c>
      <c r="B81" s="1">
        <f t="shared" si="50"/>
        <v>0</v>
      </c>
      <c r="C81" s="1">
        <f t="shared" si="41"/>
        <v>-0.52667906976744194</v>
      </c>
      <c r="D81" s="1">
        <f t="shared" si="47"/>
        <v>2.7018489922480633</v>
      </c>
      <c r="E81">
        <v>261.18</v>
      </c>
      <c r="K81" s="1">
        <f>'Solar Availability and Gener GR'!F81</f>
        <v>0.12959999999999999</v>
      </c>
      <c r="L81" s="1">
        <v>0.65627906976744199</v>
      </c>
      <c r="M81" s="1">
        <f t="shared" si="42"/>
        <v>-0.52667906976744194</v>
      </c>
      <c r="N81" s="1" t="str">
        <f t="shared" si="43"/>
        <v>Buy from Grid</v>
      </c>
      <c r="V81" s="1" t="str">
        <f t="shared" si="48"/>
        <v>discharge</v>
      </c>
      <c r="Y81" s="1">
        <f t="shared" si="40"/>
        <v>0.17140696744186051</v>
      </c>
      <c r="AA81" s="1">
        <f t="shared" si="44"/>
        <v>-1.15526881569187</v>
      </c>
      <c r="AD81" s="1">
        <f t="shared" si="45"/>
        <v>0</v>
      </c>
      <c r="AF81" s="1">
        <f t="shared" si="46"/>
        <v>0</v>
      </c>
      <c r="AH81" s="1">
        <f t="shared" si="49"/>
        <v>0</v>
      </c>
    </row>
    <row r="82" spans="1:34" ht="15">
      <c r="A82" s="1">
        <v>81</v>
      </c>
      <c r="B82" s="1">
        <f t="shared" si="50"/>
        <v>0</v>
      </c>
      <c r="C82" s="1">
        <f t="shared" si="41"/>
        <v>-0.10547906976744204</v>
      </c>
      <c r="D82" s="1">
        <f t="shared" si="47"/>
        <v>2.5700001550387608</v>
      </c>
      <c r="E82">
        <v>217.72</v>
      </c>
      <c r="K82" s="1">
        <f>'Solar Availability and Gener GR'!F82</f>
        <v>0.55079999999999996</v>
      </c>
      <c r="L82" s="1">
        <v>0.65627906976744199</v>
      </c>
      <c r="M82" s="1">
        <f t="shared" si="42"/>
        <v>-0.10547906976744204</v>
      </c>
      <c r="N82" s="1" t="str">
        <f t="shared" si="43"/>
        <v>Buy from Grid</v>
      </c>
      <c r="V82" s="1" t="str">
        <f t="shared" si="48"/>
        <v>discharge</v>
      </c>
      <c r="Y82" s="1">
        <f t="shared" si="40"/>
        <v>0.14288507906976747</v>
      </c>
      <c r="AA82" s="1">
        <f t="shared" si="44"/>
        <v>-1.2607478854593119</v>
      </c>
      <c r="AD82" s="1">
        <f t="shared" si="45"/>
        <v>0</v>
      </c>
      <c r="AF82" s="1">
        <f t="shared" si="46"/>
        <v>0</v>
      </c>
      <c r="AH82" s="1">
        <f t="shared" si="49"/>
        <v>0</v>
      </c>
    </row>
    <row r="83" spans="1:34" ht="15">
      <c r="A83" s="1">
        <v>82</v>
      </c>
      <c r="B83" s="1">
        <f t="shared" si="50"/>
        <v>0</v>
      </c>
      <c r="C83" s="1">
        <f t="shared" si="41"/>
        <v>0.67028527131782933</v>
      </c>
      <c r="D83" s="1">
        <f t="shared" si="47"/>
        <v>3.4078567441860477</v>
      </c>
      <c r="E83">
        <v>191.22</v>
      </c>
      <c r="K83" s="1">
        <f>'Solar Availability and Gener GR'!F83</f>
        <v>1.0691999999999999</v>
      </c>
      <c r="L83" s="1">
        <v>0.39891472868217059</v>
      </c>
      <c r="M83" s="1">
        <f t="shared" si="42"/>
        <v>0.67028527131782933</v>
      </c>
      <c r="N83" s="1" t="str">
        <f t="shared" si="43"/>
        <v>sell the surplus or charge</v>
      </c>
      <c r="O83" s="1">
        <v>0.25</v>
      </c>
      <c r="P83" s="1">
        <f t="shared" ref="P83:P92" si="51">0.25/L83</f>
        <v>0.62670034978624167</v>
      </c>
      <c r="Q83" s="1">
        <f t="shared" ref="Q83:Q92" si="52">K83-P83*L83</f>
        <v>0.81919999999999993</v>
      </c>
      <c r="R83" s="1">
        <f t="shared" ref="R83:R92" si="53">((1/(E83+0.01))*LN(0.25))+(E83*(K83-0.25))</f>
        <v>156.64017464393075</v>
      </c>
      <c r="S83" s="1">
        <f t="shared" ref="S83:S92" si="54">((1/(E83+0.01))*LN(L83))+(E83*(K83-L83))</f>
        <v>128.16714381034734</v>
      </c>
      <c r="T83" s="1">
        <f t="shared" ref="T83:T92" si="55">(S83+((S83^2)-4*(K83-L83*P83)*LN(L83*P83))^(0.5))/(2*(K83-L83*P83))</f>
        <v>156.46484852459582</v>
      </c>
      <c r="U83" s="1" t="str">
        <f t="shared" ref="U83:U92" si="56">IF(E83&gt;=T83*1.2,"sell to the Grid","charge")</f>
        <v>sell to the Grid</v>
      </c>
      <c r="W83" s="1">
        <f>(Q83*E83)/1000</f>
        <v>0.15664742399999998</v>
      </c>
      <c r="Y83" s="1">
        <f t="shared" si="40"/>
        <v>7.6280474418604652E-2</v>
      </c>
      <c r="AA83" s="1">
        <f t="shared" si="44"/>
        <v>-0.5904626141414826</v>
      </c>
      <c r="AD83" s="1">
        <f t="shared" si="45"/>
        <v>0.25</v>
      </c>
      <c r="AF83" s="1">
        <f t="shared" si="46"/>
        <v>187.75781822951498</v>
      </c>
      <c r="AG83" s="1">
        <f>E83</f>
        <v>191.22</v>
      </c>
      <c r="AH83" s="1">
        <f t="shared" si="49"/>
        <v>156.64742399999997</v>
      </c>
    </row>
    <row r="84" spans="1:34" ht="15">
      <c r="A84" s="1">
        <v>83</v>
      </c>
      <c r="B84" s="1">
        <f t="shared" si="50"/>
        <v>1.64</v>
      </c>
      <c r="C84" s="1">
        <f t="shared" si="41"/>
        <v>0</v>
      </c>
      <c r="D84" s="1">
        <f t="shared" si="47"/>
        <v>4.7198567441860479</v>
      </c>
      <c r="E84">
        <v>183.83</v>
      </c>
      <c r="K84" s="1">
        <f>'Solar Availability and Gener GR'!F84</f>
        <v>1.89</v>
      </c>
      <c r="L84" s="1">
        <v>0.39891472868217059</v>
      </c>
      <c r="M84" s="1">
        <f t="shared" si="42"/>
        <v>1.4910852713178293</v>
      </c>
      <c r="N84" s="1" t="str">
        <f t="shared" si="43"/>
        <v>sell the surplus or charge</v>
      </c>
      <c r="O84" s="1">
        <v>0.25</v>
      </c>
      <c r="P84" s="1">
        <f t="shared" si="51"/>
        <v>0.62670034978624167</v>
      </c>
      <c r="Q84" s="1">
        <f t="shared" si="52"/>
        <v>1.64</v>
      </c>
      <c r="R84" s="1">
        <f t="shared" si="53"/>
        <v>301.47365923432812</v>
      </c>
      <c r="S84" s="1">
        <f t="shared" si="54"/>
        <v>274.10120647293235</v>
      </c>
      <c r="T84" s="1">
        <f t="shared" si="55"/>
        <v>167.13993944301589</v>
      </c>
      <c r="U84" s="1" t="str">
        <f t="shared" si="56"/>
        <v>charge</v>
      </c>
      <c r="Y84" s="1">
        <f t="shared" si="40"/>
        <v>7.3332494573643436E-2</v>
      </c>
      <c r="AA84" s="1">
        <f t="shared" si="44"/>
        <v>0.90062265717634671</v>
      </c>
      <c r="AD84" s="1">
        <f t="shared" si="45"/>
        <v>0.25</v>
      </c>
      <c r="AF84" s="1">
        <f t="shared" si="46"/>
        <v>200.56792733161907</v>
      </c>
      <c r="AH84" s="1">
        <f t="shared" si="49"/>
        <v>0</v>
      </c>
    </row>
    <row r="85" spans="1:34" ht="15">
      <c r="A85" s="1">
        <v>84</v>
      </c>
      <c r="B85" s="1">
        <f t="shared" si="50"/>
        <v>2.1764000000000001</v>
      </c>
      <c r="C85" s="1">
        <f t="shared" si="41"/>
        <v>0</v>
      </c>
      <c r="D85" s="1">
        <f t="shared" si="47"/>
        <v>6.4609767441860484</v>
      </c>
      <c r="E85">
        <v>173.5</v>
      </c>
      <c r="K85" s="1">
        <f>'Solar Availability and Gener GR'!F85</f>
        <v>2.4264000000000001</v>
      </c>
      <c r="L85" s="1">
        <v>0.39891472868217059</v>
      </c>
      <c r="M85" s="1">
        <f t="shared" si="42"/>
        <v>2.0274852713178295</v>
      </c>
      <c r="N85" s="1" t="str">
        <f t="shared" si="43"/>
        <v>sell the surplus or charge</v>
      </c>
      <c r="O85" s="1">
        <v>0.25</v>
      </c>
      <c r="P85" s="1">
        <f t="shared" si="51"/>
        <v>0.62670034978624167</v>
      </c>
      <c r="Q85" s="1">
        <f t="shared" si="52"/>
        <v>2.1764000000000001</v>
      </c>
      <c r="R85" s="1">
        <f t="shared" si="53"/>
        <v>377.5974102912736</v>
      </c>
      <c r="S85" s="1">
        <f t="shared" si="54"/>
        <v>351.7633980051603</v>
      </c>
      <c r="T85" s="1">
        <f t="shared" si="55"/>
        <v>161.6302035270709</v>
      </c>
      <c r="U85" s="1" t="str">
        <f t="shared" si="56"/>
        <v>charge</v>
      </c>
      <c r="Y85" s="1">
        <f t="shared" si="40"/>
        <v>6.9211705426356601E-2</v>
      </c>
      <c r="AA85" s="1">
        <f t="shared" si="44"/>
        <v>2.9281079284941764</v>
      </c>
      <c r="AD85" s="1">
        <f t="shared" si="45"/>
        <v>0.25</v>
      </c>
      <c r="AF85" s="1">
        <f t="shared" si="46"/>
        <v>193.95624423248509</v>
      </c>
      <c r="AH85" s="1">
        <f t="shared" si="49"/>
        <v>0</v>
      </c>
    </row>
    <row r="86" spans="1:34" ht="15">
      <c r="A86" s="1">
        <v>85</v>
      </c>
      <c r="B86" s="1">
        <f t="shared" si="50"/>
        <v>2.4247999999999998</v>
      </c>
      <c r="C86" s="1">
        <f t="shared" si="41"/>
        <v>0</v>
      </c>
      <c r="D86" s="1">
        <f t="shared" si="47"/>
        <v>8.4008167441860486</v>
      </c>
      <c r="E86">
        <v>169.41</v>
      </c>
      <c r="K86" s="1">
        <f>'Solar Availability and Gener GR'!F86</f>
        <v>2.6747999999999998</v>
      </c>
      <c r="L86" s="1">
        <v>0.39891472868217059</v>
      </c>
      <c r="M86" s="1">
        <f t="shared" si="42"/>
        <v>2.2758852713178293</v>
      </c>
      <c r="N86" s="1" t="str">
        <f t="shared" si="43"/>
        <v>sell the surplus or charge</v>
      </c>
      <c r="O86" s="1">
        <v>0.25</v>
      </c>
      <c r="P86" s="1">
        <f t="shared" si="51"/>
        <v>0.62670034978624167</v>
      </c>
      <c r="Q86" s="1">
        <f t="shared" si="52"/>
        <v>2.4247999999999998</v>
      </c>
      <c r="R86" s="1">
        <f t="shared" si="53"/>
        <v>410.77718541021648</v>
      </c>
      <c r="S86" s="1">
        <f t="shared" si="54"/>
        <v>385.55229938001702</v>
      </c>
      <c r="T86" s="1">
        <f t="shared" si="55"/>
        <v>159.00734815636599</v>
      </c>
      <c r="U86" s="1" t="str">
        <f t="shared" si="56"/>
        <v>charge</v>
      </c>
      <c r="Y86" s="1">
        <f t="shared" si="40"/>
        <v>6.758014418604652E-2</v>
      </c>
      <c r="AA86" s="1">
        <f t="shared" si="44"/>
        <v>5.2039931998120057</v>
      </c>
      <c r="AD86" s="1">
        <f t="shared" si="45"/>
        <v>0.25</v>
      </c>
      <c r="AF86" s="1">
        <f t="shared" si="46"/>
        <v>190.80881778763919</v>
      </c>
      <c r="AH86" s="1">
        <f t="shared" si="49"/>
        <v>0</v>
      </c>
    </row>
    <row r="87" spans="1:34" ht="15">
      <c r="A87" s="1">
        <v>86</v>
      </c>
      <c r="B87" s="1">
        <f t="shared" si="50"/>
        <v>2.54</v>
      </c>
      <c r="C87" s="1">
        <f t="shared" si="41"/>
        <v>0</v>
      </c>
      <c r="D87" s="1">
        <f t="shared" si="47"/>
        <v>10.432816744186049</v>
      </c>
      <c r="E87">
        <v>172</v>
      </c>
      <c r="K87" s="1">
        <f>'Solar Availability and Gener GR'!F87</f>
        <v>2.79</v>
      </c>
      <c r="L87" s="1">
        <v>0.39891472868217059</v>
      </c>
      <c r="M87" s="1">
        <f t="shared" si="42"/>
        <v>2.3910852713178294</v>
      </c>
      <c r="N87" s="1" t="str">
        <f t="shared" si="43"/>
        <v>sell the surplus or charge</v>
      </c>
      <c r="O87" s="1">
        <v>0.25</v>
      </c>
      <c r="P87" s="1">
        <f t="shared" si="51"/>
        <v>0.62670034978624167</v>
      </c>
      <c r="Q87" s="1">
        <f t="shared" si="52"/>
        <v>2.54</v>
      </c>
      <c r="R87" s="1">
        <f t="shared" si="53"/>
        <v>436.87194061763199</v>
      </c>
      <c r="S87" s="1">
        <f t="shared" si="54"/>
        <v>411.2613239098647</v>
      </c>
      <c r="T87" s="1">
        <f t="shared" si="55"/>
        <v>161.91727781667493</v>
      </c>
      <c r="U87" s="1" t="str">
        <f t="shared" si="56"/>
        <v>charge</v>
      </c>
      <c r="Y87" s="1">
        <f t="shared" si="40"/>
        <v>6.8613333333333346E-2</v>
      </c>
      <c r="AA87" s="1">
        <f t="shared" si="44"/>
        <v>7.5950784711298347</v>
      </c>
      <c r="AD87" s="1">
        <f t="shared" si="45"/>
        <v>0.25</v>
      </c>
      <c r="AF87" s="1">
        <f t="shared" si="46"/>
        <v>194.30073338000992</v>
      </c>
      <c r="AH87" s="1">
        <f t="shared" si="49"/>
        <v>0</v>
      </c>
    </row>
    <row r="88" spans="1:34" ht="15">
      <c r="A88" s="1">
        <v>87</v>
      </c>
      <c r="B88" s="1">
        <f t="shared" si="50"/>
        <v>2.3852000000000002</v>
      </c>
      <c r="C88" s="1">
        <f t="shared" si="41"/>
        <v>0</v>
      </c>
      <c r="D88" s="1">
        <f t="shared" si="47"/>
        <v>12.340976744186049</v>
      </c>
      <c r="E88">
        <v>216.43</v>
      </c>
      <c r="K88" s="1">
        <f>'Solar Availability and Gener GR'!F88</f>
        <v>2.6352000000000002</v>
      </c>
      <c r="L88" s="1">
        <v>0.39891472868217059</v>
      </c>
      <c r="M88" s="1">
        <f t="shared" si="42"/>
        <v>2.2362852713178296</v>
      </c>
      <c r="N88" s="1" t="str">
        <f t="shared" si="43"/>
        <v>sell the surplus or charge</v>
      </c>
      <c r="O88" s="1">
        <v>0.25</v>
      </c>
      <c r="P88" s="1">
        <f t="shared" si="51"/>
        <v>0.62670034978624167</v>
      </c>
      <c r="Q88" s="1">
        <f t="shared" si="52"/>
        <v>2.3852000000000002</v>
      </c>
      <c r="R88" s="1">
        <f t="shared" si="53"/>
        <v>516.22243101773654</v>
      </c>
      <c r="S88" s="1">
        <f t="shared" si="54"/>
        <v>483.99497525580546</v>
      </c>
      <c r="T88" s="1">
        <f t="shared" si="55"/>
        <v>202.91875189770005</v>
      </c>
      <c r="U88" s="1" t="str">
        <f t="shared" si="56"/>
        <v>charge</v>
      </c>
      <c r="Y88" s="1">
        <f t="shared" si="40"/>
        <v>8.6337114728682177E-2</v>
      </c>
      <c r="AA88" s="1">
        <f t="shared" si="44"/>
        <v>9.8313637424476639</v>
      </c>
      <c r="AD88" s="1">
        <f t="shared" si="45"/>
        <v>0.25</v>
      </c>
      <c r="AF88" s="1">
        <f t="shared" si="46"/>
        <v>243.50250227724004</v>
      </c>
      <c r="AH88" s="1">
        <f t="shared" si="49"/>
        <v>0</v>
      </c>
    </row>
    <row r="89" spans="1:34" ht="15">
      <c r="A89" s="1">
        <v>88</v>
      </c>
      <c r="B89" s="1">
        <f t="shared" si="50"/>
        <v>0</v>
      </c>
      <c r="C89" s="1">
        <f t="shared" si="41"/>
        <v>0</v>
      </c>
      <c r="D89" s="1">
        <f t="shared" si="47"/>
        <v>12.340976744186049</v>
      </c>
      <c r="E89">
        <v>301.95</v>
      </c>
      <c r="K89" s="1">
        <f>'Solar Availability and Gener GR'!F89</f>
        <v>2.3508</v>
      </c>
      <c r="L89" s="1">
        <v>0.66914728682170543</v>
      </c>
      <c r="M89" s="1">
        <f t="shared" si="42"/>
        <v>1.6816527131782946</v>
      </c>
      <c r="N89" s="1" t="str">
        <f t="shared" si="43"/>
        <v>sell the surplus or charge</v>
      </c>
      <c r="O89" s="1">
        <v>0.25</v>
      </c>
      <c r="P89" s="1">
        <f t="shared" si="51"/>
        <v>0.3736098239110287</v>
      </c>
      <c r="Q89" s="1">
        <f t="shared" si="52"/>
        <v>2.1008</v>
      </c>
      <c r="R89" s="1">
        <f t="shared" si="53"/>
        <v>634.331969013243</v>
      </c>
      <c r="S89" s="1">
        <f t="shared" si="54"/>
        <v>507.77370626636309</v>
      </c>
      <c r="T89" s="1">
        <f t="shared" si="55"/>
        <v>241.70765502858711</v>
      </c>
      <c r="U89" s="1" t="str">
        <f t="shared" si="56"/>
        <v>sell to the Grid</v>
      </c>
      <c r="W89" s="1">
        <f>(Q89*E89)/1000</f>
        <v>0.63433655999999994</v>
      </c>
      <c r="Y89" s="1">
        <f t="shared" si="40"/>
        <v>0.20204902325581395</v>
      </c>
      <c r="AA89" s="1">
        <f t="shared" si="44"/>
        <v>11.513016455625959</v>
      </c>
      <c r="AD89" s="1">
        <f t="shared" si="45"/>
        <v>0.25</v>
      </c>
      <c r="AF89" s="1">
        <f t="shared" si="46"/>
        <v>290.04918603430451</v>
      </c>
      <c r="AH89" s="1">
        <f t="shared" si="49"/>
        <v>0</v>
      </c>
    </row>
    <row r="90" spans="1:34" ht="15">
      <c r="A90" s="1">
        <v>89</v>
      </c>
      <c r="B90" s="1">
        <f t="shared" si="50"/>
        <v>0</v>
      </c>
      <c r="C90" s="1">
        <f t="shared" si="41"/>
        <v>0</v>
      </c>
      <c r="D90" s="1">
        <f t="shared" si="47"/>
        <v>12.340976744186049</v>
      </c>
      <c r="E90">
        <v>362.31</v>
      </c>
      <c r="K90" s="1">
        <f>'Solar Availability and Gener GR'!F90</f>
        <v>1.9260000000000002</v>
      </c>
      <c r="L90" s="1">
        <v>0.66914728682170543</v>
      </c>
      <c r="M90" s="1">
        <f t="shared" si="42"/>
        <v>1.2568527131782947</v>
      </c>
      <c r="N90" s="1" t="str">
        <f t="shared" si="43"/>
        <v>sell the surplus or charge</v>
      </c>
      <c r="O90" s="1">
        <v>0.25</v>
      </c>
      <c r="P90" s="1">
        <f t="shared" si="51"/>
        <v>0.3736098239110287</v>
      </c>
      <c r="Q90" s="1">
        <f t="shared" si="52"/>
        <v>1.6760000000000002</v>
      </c>
      <c r="R90" s="1">
        <f t="shared" si="53"/>
        <v>607.22773383980712</v>
      </c>
      <c r="S90" s="1">
        <f t="shared" si="54"/>
        <v>455.36919768218598</v>
      </c>
      <c r="T90" s="1">
        <f t="shared" si="55"/>
        <v>271.70304291349822</v>
      </c>
      <c r="U90" s="1" t="str">
        <f t="shared" si="56"/>
        <v>sell to the Grid</v>
      </c>
      <c r="W90" s="1">
        <f>(Q90*E90)/1000</f>
        <v>0.60723156</v>
      </c>
      <c r="Y90" s="1">
        <f t="shared" si="40"/>
        <v>0.2424387534883721</v>
      </c>
      <c r="AA90" s="1">
        <f t="shared" si="44"/>
        <v>12.769869168804254</v>
      </c>
      <c r="AD90" s="1">
        <f t="shared" si="45"/>
        <v>0.25</v>
      </c>
      <c r="AF90" s="1">
        <f t="shared" si="46"/>
        <v>326.04365149619787</v>
      </c>
      <c r="AH90" s="1">
        <f t="shared" si="49"/>
        <v>0</v>
      </c>
    </row>
    <row r="91" spans="1:34" ht="15">
      <c r="A91" s="1">
        <v>90</v>
      </c>
      <c r="B91" s="1">
        <f t="shared" si="50"/>
        <v>1.0639999999999998</v>
      </c>
      <c r="C91" s="1">
        <f t="shared" si="41"/>
        <v>0</v>
      </c>
      <c r="D91" s="1">
        <f t="shared" si="47"/>
        <v>13.19217674418605</v>
      </c>
      <c r="E91">
        <v>329.48</v>
      </c>
      <c r="K91" s="1">
        <f>'Solar Availability and Gener GR'!F91</f>
        <v>1.3139999999999998</v>
      </c>
      <c r="L91" s="1">
        <v>0.39891472868217059</v>
      </c>
      <c r="M91" s="1">
        <f t="shared" si="42"/>
        <v>0.91508527131782924</v>
      </c>
      <c r="N91" s="1" t="str">
        <f t="shared" si="43"/>
        <v>sell the surplus or charge</v>
      </c>
      <c r="O91" s="1">
        <v>0.25</v>
      </c>
      <c r="P91" s="1">
        <f t="shared" si="51"/>
        <v>0.62670034978624167</v>
      </c>
      <c r="Q91" s="1">
        <f t="shared" si="52"/>
        <v>1.0639999999999998</v>
      </c>
      <c r="R91" s="1">
        <f t="shared" si="53"/>
        <v>350.56251260565989</v>
      </c>
      <c r="S91" s="1">
        <f t="shared" si="54"/>
        <v>301.49950601173668</v>
      </c>
      <c r="T91" s="1">
        <f t="shared" si="55"/>
        <v>283.36879530362603</v>
      </c>
      <c r="U91" s="1" t="str">
        <f t="shared" si="56"/>
        <v>charge</v>
      </c>
      <c r="Y91" s="1">
        <f t="shared" si="40"/>
        <v>0.13143442480620157</v>
      </c>
      <c r="AA91" s="1">
        <f t="shared" si="44"/>
        <v>13.684954440122084</v>
      </c>
      <c r="AD91" s="1">
        <f t="shared" si="45"/>
        <v>0.25</v>
      </c>
      <c r="AF91" s="1">
        <f t="shared" si="46"/>
        <v>340.04255436435125</v>
      </c>
      <c r="AH91" s="1">
        <f t="shared" si="49"/>
        <v>0</v>
      </c>
    </row>
    <row r="92" spans="1:34" ht="15">
      <c r="A92" s="1">
        <v>91</v>
      </c>
      <c r="B92" s="1">
        <f t="shared" si="50"/>
        <v>0</v>
      </c>
      <c r="C92" s="1">
        <f t="shared" si="41"/>
        <v>0</v>
      </c>
      <c r="D92" s="1">
        <f t="shared" si="47"/>
        <v>13.19217674418605</v>
      </c>
      <c r="E92">
        <v>317</v>
      </c>
      <c r="K92" s="1">
        <f>'Solar Availability and Gener GR'!F92</f>
        <v>0.67320000000000002</v>
      </c>
      <c r="L92" s="1">
        <v>0.39891472868217059</v>
      </c>
      <c r="M92" s="1">
        <f t="shared" si="42"/>
        <v>0.27428527131782943</v>
      </c>
      <c r="N92" s="1" t="str">
        <f t="shared" si="43"/>
        <v>sell the surplus or charge</v>
      </c>
      <c r="O92" s="1">
        <v>0.25</v>
      </c>
      <c r="P92" s="1">
        <f t="shared" si="51"/>
        <v>0.62670034978624167</v>
      </c>
      <c r="Q92" s="1">
        <f t="shared" si="52"/>
        <v>0.42320000000000002</v>
      </c>
      <c r="R92" s="1">
        <f t="shared" si="53"/>
        <v>134.15002696961889</v>
      </c>
      <c r="S92" s="1">
        <f t="shared" si="54"/>
        <v>86.945532021607946</v>
      </c>
      <c r="T92" s="1">
        <f t="shared" si="55"/>
        <v>205.46379765641538</v>
      </c>
      <c r="U92" s="1" t="str">
        <f t="shared" si="56"/>
        <v>sell to the Grid</v>
      </c>
      <c r="W92" s="1">
        <f>(Q92*E92)/1000</f>
        <v>0.13415440000000001</v>
      </c>
      <c r="Y92" s="1">
        <f t="shared" si="40"/>
        <v>0.12645596899224806</v>
      </c>
      <c r="AA92" s="1">
        <f t="shared" si="44"/>
        <v>13.959239711439913</v>
      </c>
      <c r="AD92" s="1">
        <f t="shared" si="45"/>
        <v>0.25</v>
      </c>
      <c r="AF92" s="1">
        <f t="shared" si="46"/>
        <v>246.55655718769844</v>
      </c>
      <c r="AH92" s="1">
        <f t="shared" si="49"/>
        <v>0</v>
      </c>
    </row>
    <row r="93" spans="1:34" ht="15">
      <c r="A93" s="1">
        <v>92</v>
      </c>
      <c r="B93" s="1">
        <f t="shared" si="50"/>
        <v>0</v>
      </c>
      <c r="C93" s="1">
        <f t="shared" si="41"/>
        <v>0</v>
      </c>
      <c r="D93" s="1">
        <f t="shared" si="47"/>
        <v>13.19217674418605</v>
      </c>
      <c r="E93">
        <v>255.28</v>
      </c>
      <c r="K93" s="1">
        <f>'Solar Availability and Gener GR'!F93</f>
        <v>0.14399999999999999</v>
      </c>
      <c r="L93" s="1">
        <v>0.65627906976744199</v>
      </c>
      <c r="M93" s="1">
        <f t="shared" si="42"/>
        <v>-0.51227906976744197</v>
      </c>
      <c r="N93" s="1" t="str">
        <f t="shared" si="43"/>
        <v>Buy from Grid</v>
      </c>
      <c r="V93" s="1" t="str">
        <f t="shared" ref="V93:V105" si="57">IF(D93+M93&gt;0,"discharge","buy from the Grid")</f>
        <v>discharge</v>
      </c>
      <c r="Y93" s="1">
        <f t="shared" si="40"/>
        <v>0.16753492093023259</v>
      </c>
      <c r="AA93" s="1">
        <f t="shared" si="44"/>
        <v>13.446960641672472</v>
      </c>
      <c r="AD93" s="1">
        <f t="shared" si="45"/>
        <v>0</v>
      </c>
      <c r="AF93" s="1">
        <f t="shared" si="46"/>
        <v>0</v>
      </c>
      <c r="AH93" s="1">
        <f t="shared" si="49"/>
        <v>0</v>
      </c>
    </row>
    <row r="94" spans="1:34" ht="15">
      <c r="A94" s="1">
        <v>93</v>
      </c>
      <c r="B94" s="1">
        <f t="shared" si="50"/>
        <v>0</v>
      </c>
      <c r="C94" s="1">
        <f t="shared" si="41"/>
        <v>-0.65505506976744199</v>
      </c>
      <c r="D94" s="1">
        <f t="shared" si="47"/>
        <v>12.373357906976747</v>
      </c>
      <c r="E94">
        <v>255.8</v>
      </c>
      <c r="K94" s="1">
        <f>'Solar Availability and Gener GR'!F94</f>
        <v>1.224E-3</v>
      </c>
      <c r="L94" s="1">
        <v>0.65627906976744199</v>
      </c>
      <c r="M94" s="1">
        <f t="shared" si="42"/>
        <v>-0.65505506976744199</v>
      </c>
      <c r="N94" s="1" t="str">
        <f t="shared" si="43"/>
        <v>Buy from Grid</v>
      </c>
      <c r="V94" s="1" t="str">
        <f t="shared" si="57"/>
        <v>discharge</v>
      </c>
      <c r="Y94" s="1">
        <f t="shared" si="40"/>
        <v>0.16787618604651167</v>
      </c>
      <c r="AA94" s="1">
        <f t="shared" si="44"/>
        <v>12.79190557190503</v>
      </c>
      <c r="AD94" s="1">
        <f t="shared" si="45"/>
        <v>0</v>
      </c>
      <c r="AF94" s="1">
        <f t="shared" si="46"/>
        <v>0</v>
      </c>
      <c r="AH94" s="1">
        <f t="shared" si="49"/>
        <v>0</v>
      </c>
    </row>
    <row r="95" spans="1:34" ht="15">
      <c r="A95" s="1">
        <v>94</v>
      </c>
      <c r="B95" s="1">
        <f t="shared" si="50"/>
        <v>0</v>
      </c>
      <c r="C95" s="1">
        <f t="shared" si="41"/>
        <v>-0.39891472868217059</v>
      </c>
      <c r="D95" s="1">
        <f t="shared" si="47"/>
        <v>11.874714496124033</v>
      </c>
      <c r="E95">
        <v>190.06</v>
      </c>
      <c r="K95" s="1">
        <f>'Solar Availability and Gener GR'!F95</f>
        <v>0</v>
      </c>
      <c r="L95" s="1">
        <v>0.39891472868217059</v>
      </c>
      <c r="M95" s="1">
        <f t="shared" si="42"/>
        <v>-0.39891472868217059</v>
      </c>
      <c r="N95" s="1" t="str">
        <f t="shared" si="43"/>
        <v>Buy from Grid</v>
      </c>
      <c r="V95" s="1" t="str">
        <f t="shared" si="57"/>
        <v>discharge</v>
      </c>
      <c r="Y95" s="1">
        <f t="shared" si="40"/>
        <v>7.5817733333333345E-2</v>
      </c>
      <c r="AA95" s="1">
        <f t="shared" si="44"/>
        <v>12.39299084322286</v>
      </c>
      <c r="AD95" s="1">
        <f t="shared" si="45"/>
        <v>0</v>
      </c>
      <c r="AF95" s="1">
        <f t="shared" si="46"/>
        <v>0</v>
      </c>
      <c r="AH95" s="1">
        <f t="shared" si="49"/>
        <v>0</v>
      </c>
    </row>
    <row r="96" spans="1:34" ht="15">
      <c r="A96" s="1">
        <v>95</v>
      </c>
      <c r="B96" s="1">
        <f t="shared" si="50"/>
        <v>0</v>
      </c>
      <c r="C96" s="1">
        <f t="shared" si="41"/>
        <v>-0.39891472868217059</v>
      </c>
      <c r="D96" s="1">
        <f t="shared" si="47"/>
        <v>11.37607108527132</v>
      </c>
      <c r="E96">
        <v>179.99</v>
      </c>
      <c r="K96" s="1">
        <f>'Solar Availability and Gener GR'!F96</f>
        <v>0</v>
      </c>
      <c r="L96" s="1">
        <v>0.39891472868217059</v>
      </c>
      <c r="M96" s="1">
        <f t="shared" si="42"/>
        <v>-0.39891472868217059</v>
      </c>
      <c r="N96" s="1" t="str">
        <f t="shared" si="43"/>
        <v>Buy from Grid</v>
      </c>
      <c r="V96" s="1" t="str">
        <f t="shared" si="57"/>
        <v>discharge</v>
      </c>
      <c r="Y96" s="1">
        <f t="shared" si="40"/>
        <v>7.1800662015503891E-2</v>
      </c>
      <c r="AA96" s="1">
        <f t="shared" si="44"/>
        <v>11.99407611454069</v>
      </c>
      <c r="AD96" s="1">
        <f t="shared" si="45"/>
        <v>0</v>
      </c>
      <c r="AF96" s="1">
        <f t="shared" si="46"/>
        <v>0</v>
      </c>
      <c r="AH96" s="1">
        <f t="shared" si="49"/>
        <v>0</v>
      </c>
    </row>
    <row r="97" spans="1:34" ht="15">
      <c r="A97" s="1">
        <v>96</v>
      </c>
      <c r="B97" s="1">
        <f t="shared" si="50"/>
        <v>0</v>
      </c>
      <c r="C97" s="1">
        <f t="shared" si="41"/>
        <v>-0.39891472868217059</v>
      </c>
      <c r="D97" s="1">
        <f t="shared" si="47"/>
        <v>10.877427674418607</v>
      </c>
      <c r="E97">
        <v>137.9</v>
      </c>
      <c r="K97" s="1">
        <f>'Solar Availability and Gener GR'!F97</f>
        <v>0</v>
      </c>
      <c r="L97" s="1">
        <v>0.39891472868217059</v>
      </c>
      <c r="M97" s="1">
        <f t="shared" si="42"/>
        <v>-0.39891472868217059</v>
      </c>
      <c r="N97" s="1" t="str">
        <f t="shared" si="43"/>
        <v>Buy from Grid</v>
      </c>
      <c r="V97" s="1" t="str">
        <f t="shared" si="57"/>
        <v>discharge</v>
      </c>
      <c r="Y97" s="1">
        <f t="shared" si="40"/>
        <v>5.5010341085271329E-2</v>
      </c>
      <c r="AA97" s="1">
        <f t="shared" si="44"/>
        <v>11.595161385858519</v>
      </c>
      <c r="AD97" s="1">
        <f t="shared" si="45"/>
        <v>0</v>
      </c>
      <c r="AF97" s="1">
        <f t="shared" si="46"/>
        <v>0</v>
      </c>
      <c r="AH97" s="1">
        <f t="shared" si="49"/>
        <v>0</v>
      </c>
    </row>
    <row r="98" spans="1:34" ht="15">
      <c r="A98" s="1">
        <v>97</v>
      </c>
      <c r="B98" s="1">
        <f t="shared" si="50"/>
        <v>0</v>
      </c>
      <c r="C98" s="1">
        <f t="shared" si="41"/>
        <v>-0.30883720930232561</v>
      </c>
      <c r="D98" s="1">
        <f t="shared" si="47"/>
        <v>10.491381162790701</v>
      </c>
      <c r="E98">
        <v>150.97999999999999</v>
      </c>
      <c r="K98" s="1">
        <f>'Solar Availability and Gener GR'!F98</f>
        <v>0</v>
      </c>
      <c r="L98" s="1">
        <v>0.30883720930232561</v>
      </c>
      <c r="M98" s="1">
        <f t="shared" si="42"/>
        <v>-0.30883720930232561</v>
      </c>
      <c r="N98" s="1" t="str">
        <f t="shared" si="43"/>
        <v>Buy from Grid</v>
      </c>
      <c r="V98" s="1" t="str">
        <f t="shared" si="57"/>
        <v>discharge</v>
      </c>
      <c r="Y98" s="1">
        <f t="shared" si="40"/>
        <v>4.6628241860465117E-2</v>
      </c>
      <c r="AA98" s="1">
        <f t="shared" si="44"/>
        <v>11.286324176556194</v>
      </c>
      <c r="AD98" s="1">
        <f t="shared" si="45"/>
        <v>0</v>
      </c>
      <c r="AF98" s="1">
        <f t="shared" si="46"/>
        <v>0</v>
      </c>
      <c r="AH98" s="1">
        <f t="shared" si="49"/>
        <v>0</v>
      </c>
    </row>
    <row r="99" spans="1:34" ht="15">
      <c r="A99" s="1">
        <v>98</v>
      </c>
      <c r="B99" s="1">
        <f t="shared" si="50"/>
        <v>0</v>
      </c>
      <c r="C99" s="1">
        <f t="shared" si="41"/>
        <v>-0.29596899224806206</v>
      </c>
      <c r="D99" s="1">
        <f t="shared" si="47"/>
        <v>10.121419922480623</v>
      </c>
      <c r="E99">
        <v>123</v>
      </c>
      <c r="K99" s="1">
        <f>'Solar Availability and Gener GR'!F99</f>
        <v>0</v>
      </c>
      <c r="L99" s="1">
        <v>0.29596899224806206</v>
      </c>
      <c r="M99" s="1">
        <f t="shared" si="42"/>
        <v>-0.29596899224806206</v>
      </c>
      <c r="N99" s="1" t="str">
        <f t="shared" si="43"/>
        <v>Buy from Grid</v>
      </c>
      <c r="V99" s="1" t="str">
        <f t="shared" si="57"/>
        <v>discharge</v>
      </c>
      <c r="Y99" s="1">
        <f t="shared" si="40"/>
        <v>3.6404186046511633E-2</v>
      </c>
      <c r="AA99" s="1">
        <f t="shared" si="44"/>
        <v>10.990355184308132</v>
      </c>
      <c r="AD99" s="1">
        <f t="shared" si="45"/>
        <v>0</v>
      </c>
      <c r="AF99" s="1">
        <f t="shared" si="46"/>
        <v>0</v>
      </c>
      <c r="AH99" s="1">
        <f t="shared" si="49"/>
        <v>0</v>
      </c>
    </row>
    <row r="100" spans="1:34" ht="15">
      <c r="A100" s="1">
        <v>99</v>
      </c>
      <c r="B100" s="1">
        <f t="shared" si="50"/>
        <v>0</v>
      </c>
      <c r="C100" s="1">
        <f t="shared" si="41"/>
        <v>-0.29596899224806206</v>
      </c>
      <c r="D100" s="1">
        <f t="shared" si="47"/>
        <v>9.7514586821705453</v>
      </c>
      <c r="E100">
        <v>107</v>
      </c>
      <c r="K100" s="1">
        <f>'Solar Availability and Gener GR'!F100</f>
        <v>0</v>
      </c>
      <c r="L100" s="1">
        <v>0.29596899224806206</v>
      </c>
      <c r="M100" s="1">
        <f t="shared" si="42"/>
        <v>-0.29596899224806206</v>
      </c>
      <c r="N100" s="1" t="str">
        <f t="shared" si="43"/>
        <v>Buy from Grid</v>
      </c>
      <c r="V100" s="1" t="str">
        <f t="shared" si="57"/>
        <v>discharge</v>
      </c>
      <c r="Y100" s="1">
        <f t="shared" si="40"/>
        <v>3.1668682170542639E-2</v>
      </c>
      <c r="AA100" s="1">
        <f t="shared" si="44"/>
        <v>10.694386192060071</v>
      </c>
      <c r="AD100" s="1">
        <f t="shared" si="45"/>
        <v>0</v>
      </c>
      <c r="AF100" s="1">
        <f t="shared" si="46"/>
        <v>0</v>
      </c>
      <c r="AH100" s="1">
        <f t="shared" si="49"/>
        <v>0</v>
      </c>
    </row>
    <row r="101" spans="1:34" ht="15">
      <c r="A101" s="1">
        <v>100</v>
      </c>
      <c r="B101" s="1">
        <f t="shared" si="50"/>
        <v>0</v>
      </c>
      <c r="C101" s="1">
        <f t="shared" si="41"/>
        <v>-0.29596899224806206</v>
      </c>
      <c r="D101" s="1">
        <f t="shared" si="47"/>
        <v>9.3814974418604677</v>
      </c>
      <c r="E101">
        <v>100</v>
      </c>
      <c r="K101" s="1">
        <f>'Solar Availability and Gener GR'!F101</f>
        <v>0</v>
      </c>
      <c r="L101" s="1">
        <v>0.29596899224806206</v>
      </c>
      <c r="M101" s="1">
        <f t="shared" si="42"/>
        <v>-0.29596899224806206</v>
      </c>
      <c r="N101" s="1" t="str">
        <f t="shared" si="43"/>
        <v>Buy from Grid</v>
      </c>
      <c r="V101" s="1" t="str">
        <f t="shared" si="57"/>
        <v>discharge</v>
      </c>
      <c r="Y101" s="1">
        <f t="shared" si="40"/>
        <v>2.9596899224806204E-2</v>
      </c>
      <c r="AA101" s="1">
        <f t="shared" si="44"/>
        <v>10.398417199812009</v>
      </c>
      <c r="AD101" s="1">
        <f t="shared" si="45"/>
        <v>0</v>
      </c>
      <c r="AF101" s="1">
        <f t="shared" si="46"/>
        <v>0</v>
      </c>
      <c r="AH101" s="1">
        <f t="shared" si="49"/>
        <v>0</v>
      </c>
    </row>
    <row r="102" spans="1:34" ht="15">
      <c r="A102" s="1">
        <v>101</v>
      </c>
      <c r="B102" s="1">
        <f t="shared" si="50"/>
        <v>0</v>
      </c>
      <c r="C102" s="1">
        <f t="shared" si="41"/>
        <v>-0.29596899224806206</v>
      </c>
      <c r="D102" s="1">
        <f t="shared" si="47"/>
        <v>9.0115362015503901</v>
      </c>
      <c r="E102">
        <v>160</v>
      </c>
      <c r="K102" s="1">
        <f>'Solar Availability and Gener GR'!F102</f>
        <v>0</v>
      </c>
      <c r="L102" s="1">
        <v>0.29596899224806206</v>
      </c>
      <c r="M102" s="1">
        <f t="shared" si="42"/>
        <v>-0.29596899224806206</v>
      </c>
      <c r="N102" s="1" t="str">
        <f t="shared" si="43"/>
        <v>Buy from Grid</v>
      </c>
      <c r="V102" s="1" t="str">
        <f t="shared" si="57"/>
        <v>discharge</v>
      </c>
      <c r="Y102" s="1">
        <f t="shared" si="40"/>
        <v>4.7355038759689931E-2</v>
      </c>
      <c r="AA102" s="1">
        <f t="shared" si="44"/>
        <v>10.102448207563947</v>
      </c>
      <c r="AD102" s="1">
        <f t="shared" si="45"/>
        <v>0</v>
      </c>
      <c r="AF102" s="1">
        <f t="shared" si="46"/>
        <v>0</v>
      </c>
      <c r="AH102" s="1">
        <f t="shared" si="49"/>
        <v>0</v>
      </c>
    </row>
    <row r="103" spans="1:34" ht="15">
      <c r="A103" s="1">
        <v>102</v>
      </c>
      <c r="B103" s="1">
        <f t="shared" si="50"/>
        <v>0</v>
      </c>
      <c r="C103" s="1">
        <f t="shared" si="41"/>
        <v>-0.39891472868217059</v>
      </c>
      <c r="D103" s="1">
        <f t="shared" si="47"/>
        <v>8.512892790697677</v>
      </c>
      <c r="E103">
        <v>263.11</v>
      </c>
      <c r="K103" s="1">
        <f>'Solar Availability and Gener GR'!F103</f>
        <v>0</v>
      </c>
      <c r="L103" s="1">
        <v>0.39891472868217059</v>
      </c>
      <c r="M103" s="1">
        <f t="shared" si="42"/>
        <v>-0.39891472868217059</v>
      </c>
      <c r="N103" s="1" t="str">
        <f t="shared" si="43"/>
        <v>Buy from Grid</v>
      </c>
      <c r="V103" s="1" t="str">
        <f t="shared" si="57"/>
        <v>discharge</v>
      </c>
      <c r="Y103" s="1">
        <f t="shared" si="40"/>
        <v>0.10495845426356591</v>
      </c>
      <c r="AA103" s="1">
        <f t="shared" si="44"/>
        <v>9.7035334788817771</v>
      </c>
      <c r="AD103" s="1">
        <f t="shared" si="45"/>
        <v>0</v>
      </c>
      <c r="AF103" s="1">
        <f t="shared" si="46"/>
        <v>0</v>
      </c>
      <c r="AH103" s="1">
        <f t="shared" si="49"/>
        <v>0</v>
      </c>
    </row>
    <row r="104" spans="1:34" ht="15">
      <c r="A104" s="1">
        <v>103</v>
      </c>
      <c r="B104" s="1">
        <f t="shared" si="50"/>
        <v>0</v>
      </c>
      <c r="C104" s="1">
        <f t="shared" si="41"/>
        <v>-0.61514728682170539</v>
      </c>
      <c r="D104" s="1">
        <f t="shared" si="47"/>
        <v>7.7439586821705451</v>
      </c>
      <c r="E104">
        <v>356.04</v>
      </c>
      <c r="K104" s="1">
        <f>'Solar Availability and Gener GR'!F104</f>
        <v>5.3999999999999999E-2</v>
      </c>
      <c r="L104" s="1">
        <v>0.66914728682170543</v>
      </c>
      <c r="M104" s="1">
        <f t="shared" si="42"/>
        <v>-0.61514728682170539</v>
      </c>
      <c r="N104" s="1" t="str">
        <f t="shared" si="43"/>
        <v>Buy from Grid</v>
      </c>
      <c r="V104" s="1" t="str">
        <f t="shared" si="57"/>
        <v>discharge</v>
      </c>
      <c r="Y104" s="1">
        <f t="shared" si="40"/>
        <v>0.23824320000000004</v>
      </c>
      <c r="AA104" s="1">
        <f t="shared" si="44"/>
        <v>9.0883861920600708</v>
      </c>
      <c r="AD104" s="1">
        <f t="shared" si="45"/>
        <v>0</v>
      </c>
      <c r="AF104" s="1">
        <f t="shared" si="46"/>
        <v>0</v>
      </c>
      <c r="AH104" s="1">
        <f t="shared" si="49"/>
        <v>0</v>
      </c>
    </row>
    <row r="105" spans="1:34" ht="15">
      <c r="A105" s="1">
        <v>104</v>
      </c>
      <c r="B105" s="1">
        <f t="shared" si="50"/>
        <v>0</v>
      </c>
      <c r="C105" s="1">
        <f t="shared" si="41"/>
        <v>-0.33794728682170549</v>
      </c>
      <c r="D105" s="1">
        <f t="shared" si="47"/>
        <v>7.3215245736434129</v>
      </c>
      <c r="E105">
        <v>361.04</v>
      </c>
      <c r="K105" s="1">
        <f>'Solar Availability and Gener GR'!F105</f>
        <v>0.33119999999999994</v>
      </c>
      <c r="L105" s="1">
        <v>0.66914728682170543</v>
      </c>
      <c r="M105" s="1">
        <f t="shared" si="42"/>
        <v>-0.33794728682170549</v>
      </c>
      <c r="N105" s="1" t="str">
        <f t="shared" si="43"/>
        <v>Buy from Grid</v>
      </c>
      <c r="V105" s="1" t="str">
        <f t="shared" si="57"/>
        <v>discharge</v>
      </c>
      <c r="Y105" s="1">
        <f t="shared" si="40"/>
        <v>0.24158893643410856</v>
      </c>
      <c r="AA105" s="1">
        <f t="shared" si="44"/>
        <v>8.7504389052383651</v>
      </c>
      <c r="AD105" s="1">
        <f t="shared" si="45"/>
        <v>0</v>
      </c>
      <c r="AF105" s="1">
        <f t="shared" si="46"/>
        <v>0</v>
      </c>
      <c r="AH105" s="1">
        <f t="shared" si="49"/>
        <v>0</v>
      </c>
    </row>
    <row r="106" spans="1:34" ht="15">
      <c r="A106" s="1">
        <v>105</v>
      </c>
      <c r="B106" s="1">
        <f t="shared" si="50"/>
        <v>0</v>
      </c>
      <c r="C106" s="1">
        <f t="shared" si="41"/>
        <v>7.2452713178294603E-2</v>
      </c>
      <c r="D106" s="1">
        <f t="shared" si="47"/>
        <v>7.4120904651162816</v>
      </c>
      <c r="E106">
        <v>264.11</v>
      </c>
      <c r="K106" s="1">
        <f>'Solar Availability and Gener GR'!F106</f>
        <v>0.74160000000000004</v>
      </c>
      <c r="L106" s="1">
        <v>0.66914728682170543</v>
      </c>
      <c r="M106" s="1">
        <f t="shared" si="42"/>
        <v>7.2452713178294603E-2</v>
      </c>
      <c r="N106" s="1" t="str">
        <f t="shared" si="43"/>
        <v>sell the surplus or charge</v>
      </c>
      <c r="O106" s="1">
        <v>0.25</v>
      </c>
      <c r="P106" s="1">
        <f t="shared" ref="P106:P116" si="58">0.25/L106</f>
        <v>0.3736098239110287</v>
      </c>
      <c r="Q106" s="1">
        <f t="shared" ref="Q106:Q116" si="59">K106-P106*L106</f>
        <v>0.49160000000000004</v>
      </c>
      <c r="R106" s="1">
        <f t="shared" ref="R106:R116" si="60">((1/(E106+0.01))*LN(0.25))+(E106*(K106-0.25))</f>
        <v>129.83122727078177</v>
      </c>
      <c r="S106" s="1">
        <f t="shared" ref="S106:S116" si="61">((1/(E106+0.01))*LN(L106))+(E106*(K106-L106))</f>
        <v>19.133964984518435</v>
      </c>
      <c r="T106" s="1">
        <f t="shared" ref="T106:T116" si="62">(S106+((S106^2)-4*(K106-L106*P106)*LN(L106*P106))^(0.5))/(2*(K106-L106*P106))</f>
        <v>38.994134135360383</v>
      </c>
      <c r="U106" s="1" t="str">
        <f t="shared" ref="U106:U116" si="63">IF(E106&gt;=T106*1.2,"sell to the Grid","charge")</f>
        <v>sell to the Grid</v>
      </c>
      <c r="W106" s="1">
        <f>(Q106*E106)/1000</f>
        <v>0.12983647600000001</v>
      </c>
      <c r="Y106" s="1">
        <f t="shared" si="40"/>
        <v>0.17672848992248064</v>
      </c>
      <c r="AA106" s="1">
        <f t="shared" si="44"/>
        <v>8.8228916184166604</v>
      </c>
      <c r="AD106" s="1">
        <f t="shared" si="45"/>
        <v>0.25</v>
      </c>
      <c r="AF106" s="1">
        <f t="shared" si="46"/>
        <v>46.79296096243246</v>
      </c>
      <c r="AG106" s="1">
        <f>E106</f>
        <v>264.11</v>
      </c>
      <c r="AH106" s="1">
        <f t="shared" si="49"/>
        <v>129.836476</v>
      </c>
    </row>
    <row r="107" spans="1:34" ht="15">
      <c r="A107" s="1">
        <v>106</v>
      </c>
      <c r="B107" s="1">
        <f t="shared" si="50"/>
        <v>1.0676000000000001</v>
      </c>
      <c r="C107" s="1">
        <f t="shared" si="41"/>
        <v>0</v>
      </c>
      <c r="D107" s="1">
        <f t="shared" si="47"/>
        <v>8.2661704651162822</v>
      </c>
      <c r="E107">
        <v>242.65</v>
      </c>
      <c r="K107" s="1">
        <f>'Solar Availability and Gener GR'!F107</f>
        <v>1.3176000000000001</v>
      </c>
      <c r="L107" s="1">
        <v>0.39891472868217059</v>
      </c>
      <c r="M107" s="1">
        <f t="shared" si="42"/>
        <v>0.91868527131782951</v>
      </c>
      <c r="N107" s="1" t="str">
        <f t="shared" si="43"/>
        <v>sell the surplus or charge</v>
      </c>
      <c r="O107" s="1">
        <v>0.25</v>
      </c>
      <c r="P107" s="1">
        <f t="shared" si="58"/>
        <v>0.62670034978624167</v>
      </c>
      <c r="Q107" s="1">
        <f t="shared" si="59"/>
        <v>1.0676000000000001</v>
      </c>
      <c r="R107" s="1">
        <f t="shared" si="60"/>
        <v>259.04742709156386</v>
      </c>
      <c r="S107" s="1">
        <f t="shared" si="61"/>
        <v>222.91519386200622</v>
      </c>
      <c r="T107" s="1">
        <f t="shared" si="62"/>
        <v>208.80651273485688</v>
      </c>
      <c r="U107" s="1" t="str">
        <f t="shared" si="63"/>
        <v>charge</v>
      </c>
      <c r="Y107" s="1">
        <f t="shared" si="40"/>
        <v>9.6796658914728689E-2</v>
      </c>
      <c r="AA107" s="1">
        <f t="shared" si="44"/>
        <v>9.741576889734489</v>
      </c>
      <c r="AD107" s="1">
        <f t="shared" si="45"/>
        <v>0.25</v>
      </c>
      <c r="AF107" s="1">
        <f t="shared" si="46"/>
        <v>250.56781528182825</v>
      </c>
      <c r="AH107" s="1">
        <f t="shared" si="49"/>
        <v>0</v>
      </c>
    </row>
    <row r="108" spans="1:34" ht="15">
      <c r="A108" s="1">
        <v>107</v>
      </c>
      <c r="B108" s="1">
        <f t="shared" si="50"/>
        <v>1.9100000000000001</v>
      </c>
      <c r="C108" s="1">
        <f t="shared" si="41"/>
        <v>0</v>
      </c>
      <c r="D108" s="1">
        <f t="shared" si="47"/>
        <v>9.7941704651162826</v>
      </c>
      <c r="E108">
        <v>192.94</v>
      </c>
      <c r="K108" s="1">
        <f>'Solar Availability and Gener GR'!F108</f>
        <v>2.16</v>
      </c>
      <c r="L108" s="1">
        <v>0.39891472868217059</v>
      </c>
      <c r="M108" s="1">
        <f t="shared" si="42"/>
        <v>1.7610852713178295</v>
      </c>
      <c r="N108" s="1" t="str">
        <f t="shared" si="43"/>
        <v>sell the surplus or charge</v>
      </c>
      <c r="O108" s="1">
        <v>0.25</v>
      </c>
      <c r="P108" s="1">
        <f t="shared" si="58"/>
        <v>0.62670034978624167</v>
      </c>
      <c r="Q108" s="1">
        <f t="shared" si="59"/>
        <v>1.9100000000000001</v>
      </c>
      <c r="R108" s="1">
        <f t="shared" si="60"/>
        <v>368.50821526633263</v>
      </c>
      <c r="S108" s="1">
        <f t="shared" si="61"/>
        <v>339.77902931674555</v>
      </c>
      <c r="T108" s="1">
        <f t="shared" si="62"/>
        <v>177.89885964141422</v>
      </c>
      <c r="U108" s="1" t="str">
        <f t="shared" si="63"/>
        <v>charge</v>
      </c>
      <c r="Y108" s="1">
        <f t="shared" si="40"/>
        <v>7.6966607751938004E-2</v>
      </c>
      <c r="AA108" s="1">
        <f t="shared" si="44"/>
        <v>11.502662161052319</v>
      </c>
      <c r="AD108" s="1">
        <f t="shared" si="45"/>
        <v>0.25</v>
      </c>
      <c r="AF108" s="1">
        <f t="shared" si="46"/>
        <v>213.47863156969706</v>
      </c>
      <c r="AH108" s="1">
        <f t="shared" si="49"/>
        <v>0</v>
      </c>
    </row>
    <row r="109" spans="1:34" ht="15">
      <c r="A109" s="1">
        <v>108</v>
      </c>
      <c r="B109" s="1">
        <f t="shared" si="50"/>
        <v>2.4068000000000001</v>
      </c>
      <c r="C109" s="1">
        <f t="shared" si="41"/>
        <v>0</v>
      </c>
      <c r="D109" s="1">
        <f t="shared" si="47"/>
        <v>11.719610465116283</v>
      </c>
      <c r="E109">
        <v>184.38</v>
      </c>
      <c r="K109" s="1">
        <f>'Solar Availability and Gener GR'!F109</f>
        <v>2.6568000000000001</v>
      </c>
      <c r="L109" s="1">
        <v>0.39891472868217059</v>
      </c>
      <c r="M109" s="1">
        <f t="shared" si="42"/>
        <v>2.2578852713178295</v>
      </c>
      <c r="N109" s="1" t="str">
        <f t="shared" si="43"/>
        <v>sell the surplus or charge</v>
      </c>
      <c r="O109" s="1">
        <v>0.25</v>
      </c>
      <c r="P109" s="1">
        <f t="shared" si="58"/>
        <v>0.62670034978624167</v>
      </c>
      <c r="Q109" s="1">
        <f t="shared" si="59"/>
        <v>2.4068000000000001</v>
      </c>
      <c r="R109" s="1">
        <f t="shared" si="60"/>
        <v>443.7582657269856</v>
      </c>
      <c r="S109" s="1">
        <f t="shared" si="61"/>
        <v>416.30390228307635</v>
      </c>
      <c r="T109" s="1">
        <f t="shared" si="62"/>
        <v>172.97320790529594</v>
      </c>
      <c r="U109" s="1" t="str">
        <f t="shared" si="63"/>
        <v>charge</v>
      </c>
      <c r="Y109" s="1">
        <f t="shared" si="40"/>
        <v>7.3551897674418609E-2</v>
      </c>
      <c r="AA109" s="1">
        <f t="shared" si="44"/>
        <v>13.760547432370149</v>
      </c>
      <c r="AD109" s="1">
        <f t="shared" si="45"/>
        <v>0.25</v>
      </c>
      <c r="AF109" s="1">
        <f t="shared" si="46"/>
        <v>207.56784948635513</v>
      </c>
      <c r="AH109" s="1">
        <f t="shared" si="49"/>
        <v>0</v>
      </c>
    </row>
    <row r="110" spans="1:34" ht="15">
      <c r="A110" s="1">
        <v>109</v>
      </c>
      <c r="B110" s="1">
        <f t="shared" si="50"/>
        <v>2.6732000000000005</v>
      </c>
      <c r="C110" s="1">
        <f t="shared" si="41"/>
        <v>0</v>
      </c>
      <c r="D110" s="1">
        <f t="shared" si="47"/>
        <v>13.858170465116283</v>
      </c>
      <c r="E110">
        <v>165</v>
      </c>
      <c r="K110" s="1">
        <f>'Solar Availability and Gener GR'!F110</f>
        <v>2.9232000000000005</v>
      </c>
      <c r="L110" s="1">
        <v>0.39891472868217059</v>
      </c>
      <c r="M110" s="1">
        <f t="shared" si="42"/>
        <v>2.5242852713178299</v>
      </c>
      <c r="N110" s="1" t="str">
        <f t="shared" si="43"/>
        <v>sell the surplus or charge</v>
      </c>
      <c r="O110" s="1">
        <v>0.25</v>
      </c>
      <c r="P110" s="1">
        <f t="shared" si="58"/>
        <v>0.62670034978624167</v>
      </c>
      <c r="Q110" s="1">
        <f t="shared" si="59"/>
        <v>2.6732000000000005</v>
      </c>
      <c r="R110" s="1">
        <f t="shared" si="60"/>
        <v>441.06959872516148</v>
      </c>
      <c r="S110" s="1">
        <f t="shared" si="61"/>
        <v>416.50150036196646</v>
      </c>
      <c r="T110" s="1">
        <f t="shared" si="62"/>
        <v>155.80966546456941</v>
      </c>
      <c r="U110" s="1" t="str">
        <f t="shared" si="63"/>
        <v>charge</v>
      </c>
      <c r="Y110" s="1">
        <f t="shared" si="40"/>
        <v>6.5820930232558153E-2</v>
      </c>
      <c r="AA110" s="1">
        <f t="shared" si="44"/>
        <v>16.284832703687979</v>
      </c>
      <c r="AD110" s="1">
        <f t="shared" si="45"/>
        <v>0.25</v>
      </c>
      <c r="AF110" s="1">
        <f t="shared" si="46"/>
        <v>186.97159855748328</v>
      </c>
      <c r="AH110" s="1">
        <f t="shared" si="49"/>
        <v>0</v>
      </c>
    </row>
    <row r="111" spans="1:34" ht="15">
      <c r="A111" s="1">
        <v>110</v>
      </c>
      <c r="B111" s="1">
        <f t="shared" si="50"/>
        <v>2.7307999999999995</v>
      </c>
      <c r="C111" s="1">
        <f t="shared" si="41"/>
        <v>0</v>
      </c>
      <c r="D111" s="1">
        <f t="shared" si="47"/>
        <v>16.042810465116283</v>
      </c>
      <c r="E111">
        <v>165.1</v>
      </c>
      <c r="K111" s="1">
        <f>'Solar Availability and Gener GR'!F111</f>
        <v>2.9807999999999995</v>
      </c>
      <c r="L111" s="1">
        <v>0.39891472868217059</v>
      </c>
      <c r="M111" s="1">
        <f t="shared" si="42"/>
        <v>2.5818852713178289</v>
      </c>
      <c r="N111" s="1" t="str">
        <f t="shared" si="43"/>
        <v>sell the surplus or charge</v>
      </c>
      <c r="O111" s="1">
        <v>0.25</v>
      </c>
      <c r="P111" s="1">
        <f t="shared" si="58"/>
        <v>0.62670034978624167</v>
      </c>
      <c r="Q111" s="1">
        <f t="shared" si="59"/>
        <v>2.7307999999999995</v>
      </c>
      <c r="R111" s="1">
        <f t="shared" si="60"/>
        <v>450.8466838134508</v>
      </c>
      <c r="S111" s="1">
        <f t="shared" si="61"/>
        <v>426.26369226224654</v>
      </c>
      <c r="T111" s="1">
        <f t="shared" si="62"/>
        <v>156.09805668020184</v>
      </c>
      <c r="U111" s="1" t="str">
        <f t="shared" si="63"/>
        <v>charge</v>
      </c>
      <c r="Y111" s="1">
        <f t="shared" si="40"/>
        <v>6.5860821705426356E-2</v>
      </c>
      <c r="AA111" s="1">
        <f t="shared" si="44"/>
        <v>18.866717975005809</v>
      </c>
      <c r="AD111" s="1">
        <f t="shared" si="45"/>
        <v>0.25</v>
      </c>
      <c r="AF111" s="1">
        <f t="shared" si="46"/>
        <v>187.31766801624221</v>
      </c>
      <c r="AH111" s="1">
        <f t="shared" si="49"/>
        <v>0</v>
      </c>
    </row>
    <row r="112" spans="1:34" ht="15">
      <c r="A112" s="1">
        <v>111</v>
      </c>
      <c r="B112" s="1">
        <f t="shared" si="50"/>
        <v>2.5580000000000003</v>
      </c>
      <c r="C112" s="1">
        <f t="shared" si="41"/>
        <v>0</v>
      </c>
      <c r="D112" s="1">
        <f t="shared" si="47"/>
        <v>18.089210465116281</v>
      </c>
      <c r="E112">
        <v>202.42</v>
      </c>
      <c r="K112" s="1">
        <f>'Solar Availability and Gener GR'!F112</f>
        <v>2.8080000000000003</v>
      </c>
      <c r="L112" s="1">
        <v>0.39891472868217059</v>
      </c>
      <c r="M112" s="1">
        <f t="shared" si="42"/>
        <v>2.4090852713178297</v>
      </c>
      <c r="N112" s="1" t="str">
        <f t="shared" si="43"/>
        <v>sell the surplus or charge</v>
      </c>
      <c r="O112" s="1">
        <v>0.25</v>
      </c>
      <c r="P112" s="1">
        <f t="shared" si="58"/>
        <v>0.62670034978624167</v>
      </c>
      <c r="Q112" s="1">
        <f t="shared" si="59"/>
        <v>2.5580000000000003</v>
      </c>
      <c r="R112" s="1">
        <f t="shared" si="60"/>
        <v>517.78351173461886</v>
      </c>
      <c r="S112" s="1">
        <f t="shared" si="61"/>
        <v>487.64250074169087</v>
      </c>
      <c r="T112" s="1">
        <f t="shared" si="62"/>
        <v>190.63712769464777</v>
      </c>
      <c r="U112" s="1" t="str">
        <f t="shared" si="63"/>
        <v>charge</v>
      </c>
      <c r="Y112" s="1">
        <f t="shared" si="40"/>
        <v>8.0748319379844974E-2</v>
      </c>
      <c r="AA112" s="1">
        <f t="shared" si="44"/>
        <v>21.27580324632364</v>
      </c>
      <c r="AD112" s="1">
        <f t="shared" si="45"/>
        <v>0.25</v>
      </c>
      <c r="AF112" s="1">
        <f t="shared" si="46"/>
        <v>228.76455323357732</v>
      </c>
      <c r="AH112" s="1">
        <f t="shared" si="49"/>
        <v>0</v>
      </c>
    </row>
    <row r="113" spans="1:34" ht="15">
      <c r="A113" s="1">
        <v>112</v>
      </c>
      <c r="B113" s="1">
        <f t="shared" si="50"/>
        <v>2.27</v>
      </c>
      <c r="C113" s="1">
        <f t="shared" si="41"/>
        <v>0</v>
      </c>
      <c r="D113" s="1">
        <f t="shared" si="47"/>
        <v>19.90521046511628</v>
      </c>
      <c r="E113">
        <v>261.05</v>
      </c>
      <c r="K113" s="1">
        <f>'Solar Availability and Gener GR'!F113</f>
        <v>2.52</v>
      </c>
      <c r="L113" s="1">
        <v>0.39891472868217059</v>
      </c>
      <c r="M113" s="1">
        <f t="shared" si="42"/>
        <v>2.1210852713178294</v>
      </c>
      <c r="N113" s="1" t="str">
        <f t="shared" si="43"/>
        <v>sell the surplus or charge</v>
      </c>
      <c r="O113" s="1">
        <v>0.25</v>
      </c>
      <c r="P113" s="1">
        <f t="shared" si="58"/>
        <v>0.62670034978624167</v>
      </c>
      <c r="Q113" s="1">
        <f t="shared" si="59"/>
        <v>2.27</v>
      </c>
      <c r="R113" s="1">
        <f t="shared" si="60"/>
        <v>592.5781897480997</v>
      </c>
      <c r="S113" s="1">
        <f t="shared" si="61"/>
        <v>553.70578978487595</v>
      </c>
      <c r="T113" s="1">
        <f t="shared" si="62"/>
        <v>243.92575905214434</v>
      </c>
      <c r="U113" s="1" t="str">
        <f t="shared" si="63"/>
        <v>charge</v>
      </c>
      <c r="Y113" s="1">
        <f t="shared" si="40"/>
        <v>0.10413668992248064</v>
      </c>
      <c r="AA113" s="1">
        <f t="shared" si="44"/>
        <v>23.396888517641472</v>
      </c>
      <c r="AD113" s="1">
        <f t="shared" si="45"/>
        <v>0.25</v>
      </c>
      <c r="AF113" s="1">
        <f t="shared" si="46"/>
        <v>292.7109108625732</v>
      </c>
      <c r="AH113" s="1">
        <f t="shared" si="49"/>
        <v>0</v>
      </c>
    </row>
    <row r="114" spans="1:34" ht="15">
      <c r="A114" s="1">
        <v>113</v>
      </c>
      <c r="B114" s="1">
        <f t="shared" si="50"/>
        <v>1.8487999999999998</v>
      </c>
      <c r="C114" s="1">
        <f t="shared" si="41"/>
        <v>0</v>
      </c>
      <c r="D114" s="1">
        <f t="shared" si="47"/>
        <v>21.384250465116281</v>
      </c>
      <c r="E114">
        <v>261.04000000000002</v>
      </c>
      <c r="K114" s="1">
        <f>'Solar Availability and Gener GR'!F114</f>
        <v>2.0987999999999998</v>
      </c>
      <c r="L114" s="1">
        <v>0.39891472868217059</v>
      </c>
      <c r="M114" s="1">
        <f t="shared" si="42"/>
        <v>1.6998852713178292</v>
      </c>
      <c r="N114" s="1" t="str">
        <f t="shared" si="43"/>
        <v>sell the surplus or charge</v>
      </c>
      <c r="O114" s="1">
        <v>0.25</v>
      </c>
      <c r="P114" s="1">
        <f t="shared" si="58"/>
        <v>0.62670034978624167</v>
      </c>
      <c r="Q114" s="1">
        <f t="shared" si="59"/>
        <v>1.8487999999999998</v>
      </c>
      <c r="R114" s="1">
        <f t="shared" si="60"/>
        <v>482.60544154468062</v>
      </c>
      <c r="S114" s="1">
        <f t="shared" si="61"/>
        <v>443.73453079731138</v>
      </c>
      <c r="T114" s="1">
        <f t="shared" si="62"/>
        <v>240.01531082612755</v>
      </c>
      <c r="U114" s="1" t="str">
        <f t="shared" si="63"/>
        <v>charge</v>
      </c>
      <c r="Y114" s="1">
        <f t="shared" si="40"/>
        <v>0.10413270077519382</v>
      </c>
      <c r="AA114" s="1">
        <f t="shared" si="44"/>
        <v>25.0967737889593</v>
      </c>
      <c r="AD114" s="1">
        <f t="shared" si="45"/>
        <v>0.25</v>
      </c>
      <c r="AF114" s="1">
        <f t="shared" si="46"/>
        <v>288.01837299135303</v>
      </c>
      <c r="AH114" s="1">
        <f t="shared" si="49"/>
        <v>0</v>
      </c>
    </row>
    <row r="115" spans="1:34" ht="15">
      <c r="A115" s="1">
        <v>114</v>
      </c>
      <c r="B115" s="1">
        <f t="shared" si="50"/>
        <v>0</v>
      </c>
      <c r="C115" s="1">
        <f t="shared" si="41"/>
        <v>0</v>
      </c>
      <c r="D115" s="1">
        <f t="shared" si="47"/>
        <v>21.384250465116281</v>
      </c>
      <c r="E115">
        <v>293</v>
      </c>
      <c r="K115" s="1">
        <f>'Solar Availability and Gener GR'!F115</f>
        <v>1.4867999999999999</v>
      </c>
      <c r="L115" s="1">
        <v>0.66914728682170543</v>
      </c>
      <c r="M115" s="1">
        <f t="shared" si="42"/>
        <v>0.81765271317829447</v>
      </c>
      <c r="N115" s="1" t="str">
        <f t="shared" si="43"/>
        <v>sell the surplus or charge</v>
      </c>
      <c r="O115" s="1">
        <v>0.25</v>
      </c>
      <c r="P115" s="1">
        <f t="shared" si="58"/>
        <v>0.3736098239110287</v>
      </c>
      <c r="Q115" s="1">
        <f t="shared" si="59"/>
        <v>1.2367999999999999</v>
      </c>
      <c r="R115" s="1">
        <f t="shared" si="60"/>
        <v>362.37766878140292</v>
      </c>
      <c r="S115" s="1">
        <f t="shared" si="61"/>
        <v>239.57087384392887</v>
      </c>
      <c r="T115" s="1">
        <f t="shared" si="62"/>
        <v>193.70798064657546</v>
      </c>
      <c r="U115" s="1" t="str">
        <f t="shared" si="63"/>
        <v>sell to the Grid</v>
      </c>
      <c r="W115" s="1">
        <f>(Q115*E115)/1000</f>
        <v>0.36238239999999994</v>
      </c>
      <c r="Y115" s="1">
        <f t="shared" si="40"/>
        <v>0.19606015503875968</v>
      </c>
      <c r="AA115" s="1">
        <f t="shared" si="44"/>
        <v>25.914426502137594</v>
      </c>
      <c r="AD115" s="1">
        <f t="shared" si="45"/>
        <v>0.25</v>
      </c>
      <c r="AF115" s="1">
        <f t="shared" si="46"/>
        <v>232.44957677589053</v>
      </c>
      <c r="AG115" s="1">
        <f>AF114</f>
        <v>288.01837299135303</v>
      </c>
      <c r="AH115" s="1">
        <f t="shared" si="49"/>
        <v>356.2211237157054</v>
      </c>
    </row>
    <row r="116" spans="1:34" ht="15">
      <c r="A116" s="1">
        <v>115</v>
      </c>
      <c r="B116" s="1">
        <f t="shared" si="50"/>
        <v>0</v>
      </c>
      <c r="C116" s="1">
        <f t="shared" si="41"/>
        <v>0</v>
      </c>
      <c r="D116" s="1">
        <f t="shared" si="47"/>
        <v>21.384250465116281</v>
      </c>
      <c r="E116">
        <v>261.22000000000003</v>
      </c>
      <c r="K116" s="1">
        <f>'Solar Availability and Gener GR'!F116</f>
        <v>0.89279999999999993</v>
      </c>
      <c r="L116" s="1">
        <v>0.66914728682170543</v>
      </c>
      <c r="M116" s="1">
        <f t="shared" si="42"/>
        <v>0.22365271317829449</v>
      </c>
      <c r="N116" s="1" t="str">
        <f t="shared" si="43"/>
        <v>sell the surplus or charge</v>
      </c>
      <c r="O116" s="1">
        <v>0.25</v>
      </c>
      <c r="P116" s="1">
        <f t="shared" si="58"/>
        <v>0.3736098239110287</v>
      </c>
      <c r="Q116" s="1">
        <f t="shared" si="59"/>
        <v>0.64279999999999993</v>
      </c>
      <c r="R116" s="1">
        <f t="shared" si="60"/>
        <v>167.90690920383906</v>
      </c>
      <c r="S116" s="1">
        <f t="shared" si="61"/>
        <v>58.421023815508427</v>
      </c>
      <c r="T116" s="1">
        <f t="shared" si="62"/>
        <v>90.908950026622023</v>
      </c>
      <c r="U116" s="1" t="str">
        <f t="shared" si="63"/>
        <v>sell to the Grid</v>
      </c>
      <c r="W116" s="1">
        <f>(Q116*E116)/1000</f>
        <v>0.167912216</v>
      </c>
      <c r="Y116" s="1">
        <f t="shared" si="40"/>
        <v>0.17479465426356591</v>
      </c>
      <c r="AA116" s="1">
        <f t="shared" si="44"/>
        <v>26.138079215315887</v>
      </c>
      <c r="AD116" s="1">
        <f t="shared" si="45"/>
        <v>0.25</v>
      </c>
      <c r="AF116" s="1">
        <f t="shared" si="46"/>
        <v>109.09074003194642</v>
      </c>
      <c r="AG116" s="1">
        <f>AF115</f>
        <v>232.44957677589053</v>
      </c>
      <c r="AH116" s="1">
        <f t="shared" si="49"/>
        <v>149.41858795154241</v>
      </c>
    </row>
    <row r="117" spans="1:34" ht="15">
      <c r="A117" s="1">
        <v>116</v>
      </c>
      <c r="B117" s="1">
        <f t="shared" si="50"/>
        <v>0</v>
      </c>
      <c r="C117" s="1">
        <f t="shared" si="41"/>
        <v>0</v>
      </c>
      <c r="D117" s="1">
        <f t="shared" si="47"/>
        <v>21.384250465116281</v>
      </c>
      <c r="E117">
        <v>261.79000000000002</v>
      </c>
      <c r="K117" s="1">
        <f>'Solar Availability and Gener GR'!F117</f>
        <v>0.31679999999999997</v>
      </c>
      <c r="L117" s="1">
        <v>0.66914728682170543</v>
      </c>
      <c r="M117" s="1">
        <f t="shared" si="42"/>
        <v>-0.35234728682170546</v>
      </c>
      <c r="N117" s="1" t="str">
        <f t="shared" si="43"/>
        <v>Buy from Grid</v>
      </c>
      <c r="V117" s="1" t="str">
        <f t="shared" ref="V117:V129" si="64">IF(D117+M117&gt;0,"discharge","buy from the Grid")</f>
        <v>discharge</v>
      </c>
      <c r="Y117" s="1">
        <f t="shared" si="40"/>
        <v>0.17517606821705428</v>
      </c>
      <c r="AA117" s="1">
        <f t="shared" si="44"/>
        <v>25.785731928494183</v>
      </c>
      <c r="AD117" s="1">
        <f t="shared" si="45"/>
        <v>0</v>
      </c>
      <c r="AF117" s="1">
        <f t="shared" si="46"/>
        <v>0</v>
      </c>
      <c r="AH117" s="1">
        <f t="shared" si="49"/>
        <v>0</v>
      </c>
    </row>
    <row r="118" spans="1:34" ht="15">
      <c r="A118" s="1">
        <v>117</v>
      </c>
      <c r="B118" s="1">
        <f t="shared" si="50"/>
        <v>0</v>
      </c>
      <c r="C118" s="1">
        <f t="shared" si="41"/>
        <v>-0.64754728682170548</v>
      </c>
      <c r="D118" s="1">
        <f t="shared" si="47"/>
        <v>20.57481635658915</v>
      </c>
      <c r="E118">
        <v>216.3</v>
      </c>
      <c r="K118" s="1">
        <f>'Solar Availability and Gener GR'!F118</f>
        <v>2.1599999999999998E-2</v>
      </c>
      <c r="L118" s="1">
        <v>0.66914728682170543</v>
      </c>
      <c r="M118" s="1">
        <f t="shared" si="42"/>
        <v>-0.64754728682170548</v>
      </c>
      <c r="N118" s="1" t="str">
        <f t="shared" si="43"/>
        <v>Buy from Grid</v>
      </c>
      <c r="V118" s="1" t="str">
        <f t="shared" si="64"/>
        <v>discharge</v>
      </c>
      <c r="Y118" s="1">
        <f t="shared" si="40"/>
        <v>0.1447365581395349</v>
      </c>
      <c r="AA118" s="1">
        <f t="shared" si="44"/>
        <v>25.138184641672478</v>
      </c>
      <c r="AD118" s="1">
        <f t="shared" si="45"/>
        <v>0</v>
      </c>
      <c r="AF118" s="1">
        <f t="shared" si="46"/>
        <v>0</v>
      </c>
      <c r="AH118" s="1">
        <f t="shared" si="49"/>
        <v>0</v>
      </c>
    </row>
    <row r="119" spans="1:34" ht="15">
      <c r="A119" s="1">
        <v>118</v>
      </c>
      <c r="B119" s="1">
        <f t="shared" si="50"/>
        <v>0</v>
      </c>
      <c r="C119" s="1">
        <f t="shared" si="41"/>
        <v>-0.39891472868217059</v>
      </c>
      <c r="D119" s="1">
        <f t="shared" si="47"/>
        <v>20.076172945736435</v>
      </c>
      <c r="E119">
        <v>205</v>
      </c>
      <c r="K119" s="1">
        <f>'Solar Availability and Gener GR'!F119</f>
        <v>0</v>
      </c>
      <c r="L119" s="1">
        <v>0.39891472868217059</v>
      </c>
      <c r="M119" s="1">
        <f t="shared" si="42"/>
        <v>-0.39891472868217059</v>
      </c>
      <c r="N119" s="1" t="str">
        <f t="shared" si="43"/>
        <v>Buy from Grid</v>
      </c>
      <c r="V119" s="1" t="str">
        <f t="shared" si="64"/>
        <v>discharge</v>
      </c>
      <c r="Y119" s="1">
        <f t="shared" si="40"/>
        <v>8.1777519379844982E-2</v>
      </c>
      <c r="AA119" s="1">
        <f t="shared" si="44"/>
        <v>24.739269912990306</v>
      </c>
      <c r="AD119" s="1">
        <f t="shared" si="45"/>
        <v>0</v>
      </c>
      <c r="AF119" s="1">
        <f t="shared" si="46"/>
        <v>0</v>
      </c>
      <c r="AH119" s="1">
        <f t="shared" si="49"/>
        <v>0</v>
      </c>
    </row>
    <row r="120" spans="1:34" ht="15">
      <c r="A120" s="1">
        <v>119</v>
      </c>
      <c r="B120" s="1">
        <f t="shared" si="50"/>
        <v>0</v>
      </c>
      <c r="C120" s="1">
        <f t="shared" si="41"/>
        <v>-0.39891472868217059</v>
      </c>
      <c r="D120" s="1">
        <f t="shared" si="47"/>
        <v>19.57752953488372</v>
      </c>
      <c r="E120">
        <v>184.99</v>
      </c>
      <c r="K120" s="1">
        <f>'Solar Availability and Gener GR'!F120</f>
        <v>0</v>
      </c>
      <c r="L120" s="1">
        <v>0.39891472868217059</v>
      </c>
      <c r="M120" s="1">
        <f t="shared" si="42"/>
        <v>-0.39891472868217059</v>
      </c>
      <c r="N120" s="1" t="str">
        <f t="shared" si="43"/>
        <v>Buy from Grid</v>
      </c>
      <c r="V120" s="1" t="str">
        <f t="shared" si="64"/>
        <v>discharge</v>
      </c>
      <c r="Y120" s="1">
        <f t="shared" si="40"/>
        <v>7.3795235658914743E-2</v>
      </c>
      <c r="AA120" s="1">
        <f t="shared" si="44"/>
        <v>24.340355184308134</v>
      </c>
      <c r="AD120" s="1">
        <f t="shared" si="45"/>
        <v>0</v>
      </c>
      <c r="AF120" s="1">
        <f t="shared" si="46"/>
        <v>0</v>
      </c>
      <c r="AH120" s="1">
        <f t="shared" si="49"/>
        <v>0</v>
      </c>
    </row>
    <row r="121" spans="1:34" ht="15">
      <c r="A121" s="1">
        <v>120</v>
      </c>
      <c r="B121" s="1">
        <f t="shared" si="50"/>
        <v>0</v>
      </c>
      <c r="C121" s="1">
        <f t="shared" si="41"/>
        <v>-0.29596899224806206</v>
      </c>
      <c r="D121" s="1">
        <f t="shared" si="47"/>
        <v>19.207568294573644</v>
      </c>
      <c r="E121">
        <v>160.86000000000001</v>
      </c>
      <c r="K121" s="1">
        <f>'Solar Availability and Gener GR'!F121</f>
        <v>0</v>
      </c>
      <c r="L121" s="1">
        <v>0.29596899224806206</v>
      </c>
      <c r="M121" s="1">
        <f t="shared" si="42"/>
        <v>-0.29596899224806206</v>
      </c>
      <c r="N121" s="1" t="str">
        <f t="shared" si="43"/>
        <v>Buy from Grid</v>
      </c>
      <c r="V121" s="1" t="str">
        <f t="shared" si="64"/>
        <v>discharge</v>
      </c>
      <c r="Y121" s="1">
        <f t="shared" si="40"/>
        <v>4.7609572093023265E-2</v>
      </c>
      <c r="AA121" s="1">
        <f t="shared" si="44"/>
        <v>24.04438619206007</v>
      </c>
      <c r="AD121" s="1">
        <f t="shared" si="45"/>
        <v>0</v>
      </c>
      <c r="AF121" s="1">
        <f t="shared" si="46"/>
        <v>0</v>
      </c>
      <c r="AH121" s="1">
        <f t="shared" si="49"/>
        <v>0</v>
      </c>
    </row>
    <row r="122" spans="1:34" ht="15">
      <c r="A122" s="1">
        <v>121</v>
      </c>
      <c r="B122" s="1">
        <f t="shared" si="50"/>
        <v>0</v>
      </c>
      <c r="C122" s="1">
        <f t="shared" si="41"/>
        <v>-0.29596899224806206</v>
      </c>
      <c r="D122" s="1">
        <f t="shared" si="47"/>
        <v>18.837607054263568</v>
      </c>
      <c r="E122">
        <v>173.13</v>
      </c>
      <c r="K122" s="1">
        <f>'Solar Availability and Gener GR'!F122</f>
        <v>0</v>
      </c>
      <c r="L122" s="1">
        <v>0.29596899224806206</v>
      </c>
      <c r="M122" s="1">
        <f t="shared" si="42"/>
        <v>-0.29596899224806206</v>
      </c>
      <c r="N122" s="1" t="str">
        <f t="shared" si="43"/>
        <v>Buy from Grid</v>
      </c>
      <c r="V122" s="1" t="str">
        <f t="shared" si="64"/>
        <v>discharge</v>
      </c>
      <c r="Y122" s="1">
        <f t="shared" si="40"/>
        <v>5.1241111627906982E-2</v>
      </c>
      <c r="AA122" s="1">
        <f t="shared" si="44"/>
        <v>23.748417199812007</v>
      </c>
      <c r="AD122" s="1">
        <f t="shared" si="45"/>
        <v>0</v>
      </c>
      <c r="AF122" s="1">
        <f t="shared" si="46"/>
        <v>0</v>
      </c>
      <c r="AH122" s="1">
        <f t="shared" si="49"/>
        <v>0</v>
      </c>
    </row>
    <row r="123" spans="1:34" ht="15">
      <c r="A123" s="1">
        <v>122</v>
      </c>
      <c r="B123" s="1">
        <f t="shared" si="50"/>
        <v>0</v>
      </c>
      <c r="C123" s="1">
        <f t="shared" si="41"/>
        <v>-0.30883720930232561</v>
      </c>
      <c r="D123" s="1">
        <f t="shared" si="47"/>
        <v>18.451560542635661</v>
      </c>
      <c r="E123">
        <v>170.77</v>
      </c>
      <c r="K123" s="1">
        <f>'Solar Availability and Gener GR'!F123</f>
        <v>0</v>
      </c>
      <c r="L123" s="1">
        <v>0.30883720930232561</v>
      </c>
      <c r="M123" s="1">
        <f t="shared" si="42"/>
        <v>-0.30883720930232561</v>
      </c>
      <c r="N123" s="1" t="str">
        <f t="shared" si="43"/>
        <v>Buy from Grid</v>
      </c>
      <c r="V123" s="1" t="str">
        <f t="shared" si="64"/>
        <v>discharge</v>
      </c>
      <c r="Y123" s="1">
        <f t="shared" si="40"/>
        <v>5.2740130232558149E-2</v>
      </c>
      <c r="AA123" s="1">
        <f t="shared" si="44"/>
        <v>23.439579990509682</v>
      </c>
      <c r="AD123" s="1">
        <f t="shared" si="45"/>
        <v>0</v>
      </c>
      <c r="AF123" s="1">
        <f t="shared" si="46"/>
        <v>0</v>
      </c>
      <c r="AH123" s="1">
        <f t="shared" si="49"/>
        <v>0</v>
      </c>
    </row>
    <row r="124" spans="1:34" ht="15">
      <c r="A124" s="1">
        <v>123</v>
      </c>
      <c r="B124" s="1">
        <f t="shared" si="50"/>
        <v>0</v>
      </c>
      <c r="C124" s="1">
        <f t="shared" si="41"/>
        <v>-0.30883720930232561</v>
      </c>
      <c r="D124" s="1">
        <f t="shared" si="47"/>
        <v>18.065514031007755</v>
      </c>
      <c r="E124">
        <v>160</v>
      </c>
      <c r="K124" s="1">
        <f>'Solar Availability and Gener GR'!F124</f>
        <v>0</v>
      </c>
      <c r="L124" s="1">
        <v>0.30883720930232561</v>
      </c>
      <c r="M124" s="1">
        <f t="shared" si="42"/>
        <v>-0.30883720930232561</v>
      </c>
      <c r="N124" s="1" t="str">
        <f t="shared" si="43"/>
        <v>Buy from Grid</v>
      </c>
      <c r="V124" s="1" t="str">
        <f t="shared" si="64"/>
        <v>discharge</v>
      </c>
      <c r="Y124" s="1">
        <f t="shared" si="40"/>
        <v>4.9413953488372103E-2</v>
      </c>
      <c r="AA124" s="1">
        <f t="shared" si="44"/>
        <v>23.130742781207356</v>
      </c>
      <c r="AD124" s="1">
        <f t="shared" si="45"/>
        <v>0</v>
      </c>
      <c r="AF124" s="1">
        <f t="shared" si="46"/>
        <v>0</v>
      </c>
      <c r="AH124" s="1">
        <f t="shared" si="49"/>
        <v>0</v>
      </c>
    </row>
    <row r="125" spans="1:34" ht="15">
      <c r="A125" s="1">
        <v>124</v>
      </c>
      <c r="B125" s="1">
        <f t="shared" si="50"/>
        <v>0</v>
      </c>
      <c r="C125" s="1">
        <f t="shared" si="41"/>
        <v>-0.30883720930232561</v>
      </c>
      <c r="D125" s="1">
        <f t="shared" si="47"/>
        <v>17.679467519379848</v>
      </c>
      <c r="E125">
        <v>150</v>
      </c>
      <c r="K125" s="1">
        <f>'Solar Availability and Gener GR'!F125</f>
        <v>0</v>
      </c>
      <c r="L125" s="1">
        <v>0.30883720930232561</v>
      </c>
      <c r="M125" s="1">
        <f t="shared" si="42"/>
        <v>-0.30883720930232561</v>
      </c>
      <c r="N125" s="1" t="str">
        <f t="shared" si="43"/>
        <v>Buy from Grid</v>
      </c>
      <c r="V125" s="1" t="str">
        <f t="shared" si="64"/>
        <v>discharge</v>
      </c>
      <c r="Y125" s="1">
        <f t="shared" si="40"/>
        <v>4.6325581395348842E-2</v>
      </c>
      <c r="AA125" s="1">
        <f t="shared" si="44"/>
        <v>22.821905571905031</v>
      </c>
      <c r="AD125" s="1">
        <f t="shared" si="45"/>
        <v>0</v>
      </c>
      <c r="AF125" s="1">
        <f t="shared" si="46"/>
        <v>0</v>
      </c>
      <c r="AH125" s="1">
        <f t="shared" si="49"/>
        <v>0</v>
      </c>
    </row>
    <row r="126" spans="1:34" ht="15">
      <c r="A126" s="1">
        <v>125</v>
      </c>
      <c r="B126" s="1">
        <f t="shared" si="50"/>
        <v>0</v>
      </c>
      <c r="C126" s="1">
        <f t="shared" si="41"/>
        <v>-0.39891472868217059</v>
      </c>
      <c r="D126" s="1">
        <f t="shared" si="47"/>
        <v>17.180824108527133</v>
      </c>
      <c r="E126">
        <v>152.1</v>
      </c>
      <c r="K126" s="1">
        <f>'Solar Availability and Gener GR'!F126</f>
        <v>0</v>
      </c>
      <c r="L126" s="1">
        <v>0.39891472868217059</v>
      </c>
      <c r="M126" s="1">
        <f t="shared" si="42"/>
        <v>-0.39891472868217059</v>
      </c>
      <c r="N126" s="1" t="str">
        <f t="shared" si="43"/>
        <v>Buy from Grid</v>
      </c>
      <c r="V126" s="1" t="str">
        <f t="shared" si="64"/>
        <v>discharge</v>
      </c>
      <c r="Y126" s="1">
        <f t="shared" si="40"/>
        <v>6.0674930232558148E-2</v>
      </c>
      <c r="AA126" s="1">
        <f t="shared" si="44"/>
        <v>22.422990843222859</v>
      </c>
      <c r="AD126" s="1">
        <f t="shared" si="45"/>
        <v>0</v>
      </c>
      <c r="AF126" s="1">
        <f t="shared" si="46"/>
        <v>0</v>
      </c>
      <c r="AH126" s="1">
        <f t="shared" si="49"/>
        <v>0</v>
      </c>
    </row>
    <row r="127" spans="1:34" ht="15">
      <c r="A127" s="1">
        <v>126</v>
      </c>
      <c r="B127" s="1">
        <f t="shared" si="50"/>
        <v>0</v>
      </c>
      <c r="C127" s="1">
        <f t="shared" si="41"/>
        <v>-0.65627906976744199</v>
      </c>
      <c r="D127" s="1">
        <f t="shared" si="47"/>
        <v>16.360475271317831</v>
      </c>
      <c r="E127">
        <v>160.08000000000001</v>
      </c>
      <c r="K127" s="1">
        <f>'Solar Availability and Gener GR'!F127</f>
        <v>0</v>
      </c>
      <c r="L127" s="1">
        <v>0.65627906976744199</v>
      </c>
      <c r="M127" s="1">
        <f t="shared" si="42"/>
        <v>-0.65627906976744199</v>
      </c>
      <c r="N127" s="1" t="str">
        <f t="shared" si="43"/>
        <v>Buy from Grid</v>
      </c>
      <c r="V127" s="1" t="str">
        <f t="shared" si="64"/>
        <v>discharge</v>
      </c>
      <c r="Y127" s="1">
        <f t="shared" si="40"/>
        <v>0.10505715348837212</v>
      </c>
      <c r="AA127" s="1">
        <f t="shared" si="44"/>
        <v>21.766711773455416</v>
      </c>
      <c r="AD127" s="1">
        <f t="shared" si="45"/>
        <v>0</v>
      </c>
      <c r="AF127" s="1">
        <f t="shared" si="46"/>
        <v>0</v>
      </c>
      <c r="AH127" s="1">
        <f t="shared" si="49"/>
        <v>0</v>
      </c>
    </row>
    <row r="128" spans="1:34" ht="15">
      <c r="A128" s="1">
        <v>127</v>
      </c>
      <c r="B128" s="1">
        <f t="shared" si="50"/>
        <v>0</v>
      </c>
      <c r="C128" s="1">
        <f t="shared" si="41"/>
        <v>-0.59504864887992681</v>
      </c>
      <c r="D128" s="1">
        <f t="shared" si="47"/>
        <v>15.616664460217923</v>
      </c>
      <c r="E128">
        <v>262.60000000000002</v>
      </c>
      <c r="K128" s="1">
        <f>'Solar Availability and Gener GR'!F128</f>
        <v>7.4098637941778636E-2</v>
      </c>
      <c r="L128" s="1">
        <v>0.66914728682170543</v>
      </c>
      <c r="M128" s="1">
        <f t="shared" si="42"/>
        <v>-0.59504864887992681</v>
      </c>
      <c r="N128" s="1" t="str">
        <f t="shared" si="43"/>
        <v>Buy from Grid</v>
      </c>
      <c r="V128" s="1" t="str">
        <f t="shared" si="64"/>
        <v>discharge</v>
      </c>
      <c r="Y128" s="1">
        <f t="shared" si="40"/>
        <v>0.17571807751937987</v>
      </c>
      <c r="AA128" s="1">
        <f t="shared" si="44"/>
        <v>21.171663124575488</v>
      </c>
      <c r="AD128" s="1">
        <f t="shared" si="45"/>
        <v>0</v>
      </c>
      <c r="AF128" s="1">
        <f t="shared" si="46"/>
        <v>0</v>
      </c>
      <c r="AH128" s="1">
        <f t="shared" si="49"/>
        <v>0</v>
      </c>
    </row>
    <row r="129" spans="1:34" ht="15">
      <c r="A129" s="1">
        <v>128</v>
      </c>
      <c r="B129" s="1">
        <f t="shared" si="50"/>
        <v>0</v>
      </c>
      <c r="C129" s="1">
        <f t="shared" si="41"/>
        <v>-0.25706247580323083</v>
      </c>
      <c r="D129" s="1">
        <f t="shared" si="47"/>
        <v>15.295336365463884</v>
      </c>
      <c r="E129">
        <v>203.15</v>
      </c>
      <c r="K129" s="1">
        <f>'Solar Availability and Gener GR'!F129</f>
        <v>0.39921659396421116</v>
      </c>
      <c r="L129" s="1">
        <v>0.65627906976744199</v>
      </c>
      <c r="M129" s="1">
        <f t="shared" si="42"/>
        <v>-0.25706247580323083</v>
      </c>
      <c r="N129" s="1" t="str">
        <f t="shared" si="43"/>
        <v>Buy from Grid</v>
      </c>
      <c r="V129" s="1" t="str">
        <f t="shared" si="64"/>
        <v>discharge</v>
      </c>
      <c r="Y129" s="1">
        <f t="shared" si="40"/>
        <v>0.13332309302325585</v>
      </c>
      <c r="AA129" s="1">
        <f t="shared" si="44"/>
        <v>20.914600648772257</v>
      </c>
      <c r="AD129" s="1">
        <f t="shared" si="45"/>
        <v>0</v>
      </c>
      <c r="AF129" s="1">
        <f t="shared" si="46"/>
        <v>0</v>
      </c>
      <c r="AH129" s="1">
        <f t="shared" si="49"/>
        <v>0</v>
      </c>
    </row>
    <row r="130" spans="1:34" ht="15">
      <c r="A130" s="1">
        <v>129</v>
      </c>
      <c r="B130" s="1">
        <f t="shared" si="50"/>
        <v>0</v>
      </c>
      <c r="C130" s="1">
        <f t="shared" si="41"/>
        <v>0.42115114864356307</v>
      </c>
      <c r="D130" s="1">
        <f t="shared" si="47"/>
        <v>15.821775301268337</v>
      </c>
      <c r="E130">
        <v>174.34</v>
      </c>
      <c r="K130" s="1">
        <f>'Solar Availability and Gener GR'!F130</f>
        <v>0.82006587732573366</v>
      </c>
      <c r="L130" s="1">
        <v>0.39891472868217059</v>
      </c>
      <c r="M130" s="1">
        <f t="shared" si="42"/>
        <v>0.42115114864356307</v>
      </c>
      <c r="N130" s="1" t="str">
        <f t="shared" si="43"/>
        <v>sell the surplus or charge</v>
      </c>
      <c r="O130" s="1">
        <v>0.25</v>
      </c>
      <c r="P130" s="1">
        <f t="shared" ref="P130:P140" si="65">0.25/L130</f>
        <v>0.62670034978624167</v>
      </c>
      <c r="Q130" s="1">
        <f t="shared" ref="Q130:Q140" si="66">K130-P130*L130</f>
        <v>0.57006587732573366</v>
      </c>
      <c r="R130" s="1">
        <f t="shared" ref="R130:R140" si="67">((1/(E130+0.01))*LN(0.25))+(E130*(K130-0.25))</f>
        <v>99.377333837820032</v>
      </c>
      <c r="S130" s="1">
        <f t="shared" ref="S130:S140" si="68">((1/(E130+0.01))*LN(L130))+(E130*(K130-L130))</f>
        <v>73.418220204346667</v>
      </c>
      <c r="T130" s="1">
        <f t="shared" ref="T130:T140" si="69">(S130+((S130^2)-4*(K130-L130*P130)*LN(L130*P130))^(0.5))/(2*(K130-L130*P130))</f>
        <v>128.80788979077641</v>
      </c>
      <c r="U130" s="1" t="str">
        <f t="shared" ref="U130:U140" si="70">IF(E130&gt;=T130*1.2,"sell to the Grid","charge")</f>
        <v>sell to the Grid</v>
      </c>
      <c r="W130" s="1">
        <f>(Q130*E130)/1000</f>
        <v>9.9385285052968411E-2</v>
      </c>
      <c r="Y130" s="1">
        <f t="shared" ref="Y130:Y193" si="71">(L130*E130)/1000</f>
        <v>6.9546793798449622E-2</v>
      </c>
      <c r="AA130" s="1">
        <f t="shared" si="44"/>
        <v>21.335751797415821</v>
      </c>
      <c r="AD130" s="1">
        <f t="shared" si="45"/>
        <v>0.25</v>
      </c>
      <c r="AF130" s="1">
        <f t="shared" si="46"/>
        <v>154.56946774893169</v>
      </c>
      <c r="AG130" s="1">
        <f>E130</f>
        <v>174.34</v>
      </c>
      <c r="AH130" s="1">
        <f t="shared" si="49"/>
        <v>99.385285052968413</v>
      </c>
    </row>
    <row r="131" spans="1:34" ht="15">
      <c r="A131" s="1">
        <v>130</v>
      </c>
      <c r="B131" s="1">
        <f t="shared" si="50"/>
        <v>1.1632288791952279</v>
      </c>
      <c r="C131" s="1">
        <f t="shared" ref="C131:C194" si="72">IF(V130="discharge",M131,0)</f>
        <v>0</v>
      </c>
      <c r="D131" s="1">
        <f t="shared" si="47"/>
        <v>16.75235840462452</v>
      </c>
      <c r="E131">
        <v>174.14</v>
      </c>
      <c r="K131" s="1">
        <f>'Solar Availability and Gener GR'!F131</f>
        <v>1.4132288791952279</v>
      </c>
      <c r="L131" s="1">
        <v>0.39891472868217059</v>
      </c>
      <c r="M131" s="1">
        <f t="shared" ref="M131:M194" si="73">K131-L131</f>
        <v>1.0143141505130573</v>
      </c>
      <c r="N131" s="1" t="str">
        <f t="shared" ref="N131:N194" si="74">IF(M131&lt;0,"Buy from Grid","sell the surplus or charge")</f>
        <v>sell the surplus or charge</v>
      </c>
      <c r="O131" s="1">
        <v>0.25</v>
      </c>
      <c r="P131" s="1">
        <f t="shared" si="65"/>
        <v>0.62670034978624167</v>
      </c>
      <c r="Q131" s="1">
        <f t="shared" si="66"/>
        <v>1.1632288791952279</v>
      </c>
      <c r="R131" s="1">
        <f t="shared" si="67"/>
        <v>202.55671667645277</v>
      </c>
      <c r="S131" s="1">
        <f t="shared" si="68"/>
        <v>176.6273890667118</v>
      </c>
      <c r="T131" s="1">
        <f t="shared" si="69"/>
        <v>151.85018321139376</v>
      </c>
      <c r="U131" s="1" t="str">
        <f t="shared" si="70"/>
        <v>charge</v>
      </c>
      <c r="Y131" s="1">
        <f t="shared" si="71"/>
        <v>6.9467010852713187E-2</v>
      </c>
      <c r="AA131" s="1">
        <f t="shared" ref="AA131:AA194" si="75">M131+AA130</f>
        <v>22.350065947928879</v>
      </c>
      <c r="AD131" s="1">
        <f t="shared" ref="AD131:AD194" si="76">AC131+O131</f>
        <v>0.25</v>
      </c>
      <c r="AF131" s="1">
        <f t="shared" ref="AF131:AF194" si="77">T131*1.2</f>
        <v>182.22021985367249</v>
      </c>
      <c r="AH131" s="1">
        <f t="shared" si="49"/>
        <v>0</v>
      </c>
    </row>
    <row r="132" spans="1:34" ht="15">
      <c r="A132" s="1">
        <v>131</v>
      </c>
      <c r="B132" s="1">
        <f t="shared" si="50"/>
        <v>2.1777485978812412</v>
      </c>
      <c r="C132" s="1">
        <f t="shared" si="72"/>
        <v>0</v>
      </c>
      <c r="D132" s="1">
        <f t="shared" ref="D132:D195" si="78">(D131)+(B132*0.8)+(C132/0.8)</f>
        <v>18.494557282929513</v>
      </c>
      <c r="E132">
        <v>156.68</v>
      </c>
      <c r="K132" s="1">
        <f>'Solar Availability and Gener GR'!F132</f>
        <v>2.4277485978812412</v>
      </c>
      <c r="L132" s="1">
        <v>0.39891472868217059</v>
      </c>
      <c r="M132" s="1">
        <f t="shared" si="73"/>
        <v>2.0288338691990706</v>
      </c>
      <c r="N132" s="1" t="str">
        <f t="shared" si="74"/>
        <v>sell the surplus or charge</v>
      </c>
      <c r="O132" s="1">
        <v>0.25</v>
      </c>
      <c r="P132" s="1">
        <f t="shared" si="65"/>
        <v>0.62670034978624167</v>
      </c>
      <c r="Q132" s="1">
        <f t="shared" si="66"/>
        <v>2.1777485978812412</v>
      </c>
      <c r="R132" s="1">
        <f t="shared" si="67"/>
        <v>341.20080294631481</v>
      </c>
      <c r="S132" s="1">
        <f t="shared" si="68"/>
        <v>317.87182549369919</v>
      </c>
      <c r="T132" s="1">
        <f t="shared" si="69"/>
        <v>145.96786932151767</v>
      </c>
      <c r="U132" s="1" t="str">
        <f t="shared" si="70"/>
        <v>charge</v>
      </c>
      <c r="Y132" s="1">
        <f t="shared" si="71"/>
        <v>6.250195968992249E-2</v>
      </c>
      <c r="AA132" s="1">
        <f t="shared" si="75"/>
        <v>24.378899817127952</v>
      </c>
      <c r="AD132" s="1">
        <f t="shared" si="76"/>
        <v>0.25</v>
      </c>
      <c r="AF132" s="1">
        <f t="shared" si="77"/>
        <v>175.16144318582118</v>
      </c>
      <c r="AH132" s="1">
        <f t="shared" si="49"/>
        <v>0</v>
      </c>
    </row>
    <row r="133" spans="1:34" ht="15">
      <c r="A133" s="1">
        <v>132</v>
      </c>
      <c r="B133" s="1">
        <f t="shared" si="50"/>
        <v>2.6751936259236153</v>
      </c>
      <c r="C133" s="1">
        <f t="shared" si="72"/>
        <v>0</v>
      </c>
      <c r="D133" s="1">
        <f t="shared" si="78"/>
        <v>20.634712183668405</v>
      </c>
      <c r="E133">
        <v>147.6</v>
      </c>
      <c r="K133" s="1">
        <f>'Solar Availability and Gener GR'!F133</f>
        <v>2.9251936259236153</v>
      </c>
      <c r="L133" s="1">
        <v>0.39891472868217059</v>
      </c>
      <c r="M133" s="1">
        <f t="shared" si="73"/>
        <v>2.5262788972414447</v>
      </c>
      <c r="N133" s="1" t="str">
        <f t="shared" si="74"/>
        <v>sell the surplus or charge</v>
      </c>
      <c r="O133" s="1">
        <v>0.25</v>
      </c>
      <c r="P133" s="1">
        <f t="shared" si="65"/>
        <v>0.62670034978624167</v>
      </c>
      <c r="Q133" s="1">
        <f t="shared" si="66"/>
        <v>2.6751936259236153</v>
      </c>
      <c r="R133" s="1">
        <f t="shared" si="67"/>
        <v>394.84918758439403</v>
      </c>
      <c r="S133" s="1">
        <f t="shared" si="68"/>
        <v>372.87253931591079</v>
      </c>
      <c r="T133" s="1">
        <f t="shared" si="69"/>
        <v>139.3852323357049</v>
      </c>
      <c r="U133" s="1" t="str">
        <f t="shared" si="70"/>
        <v>charge</v>
      </c>
      <c r="Y133" s="1">
        <f t="shared" si="71"/>
        <v>5.8879813953488382E-2</v>
      </c>
      <c r="AA133" s="1">
        <f t="shared" si="75"/>
        <v>26.905178714369395</v>
      </c>
      <c r="AD133" s="1">
        <f t="shared" si="76"/>
        <v>0.25</v>
      </c>
      <c r="AF133" s="1">
        <f t="shared" si="77"/>
        <v>167.26227880284588</v>
      </c>
      <c r="AH133" s="1">
        <f t="shared" si="49"/>
        <v>0</v>
      </c>
    </row>
    <row r="134" spans="1:34" ht="15">
      <c r="A134" s="1">
        <v>133</v>
      </c>
      <c r="B134" s="1">
        <f t="shared" si="50"/>
        <v>2.9428647734354128</v>
      </c>
      <c r="C134" s="1">
        <f t="shared" si="72"/>
        <v>0</v>
      </c>
      <c r="D134" s="1">
        <f t="shared" si="78"/>
        <v>22.989004002416735</v>
      </c>
      <c r="E134">
        <v>145.5</v>
      </c>
      <c r="K134" s="1">
        <f>'Solar Availability and Gener GR'!F134</f>
        <v>3.1928647734354128</v>
      </c>
      <c r="L134" s="1">
        <v>0.38604651162790704</v>
      </c>
      <c r="M134" s="1">
        <f t="shared" si="73"/>
        <v>2.8068182618075057</v>
      </c>
      <c r="N134" s="1" t="str">
        <f t="shared" si="74"/>
        <v>sell the surplus or charge</v>
      </c>
      <c r="O134" s="1">
        <v>0.25</v>
      </c>
      <c r="P134" s="1">
        <f t="shared" si="65"/>
        <v>0.64759036144578308</v>
      </c>
      <c r="Q134" s="1">
        <f t="shared" si="66"/>
        <v>2.9428647734354128</v>
      </c>
      <c r="R134" s="1">
        <f t="shared" si="67"/>
        <v>428.1772973933426</v>
      </c>
      <c r="S134" s="1">
        <f t="shared" si="68"/>
        <v>408.38551597952682</v>
      </c>
      <c r="T134" s="1">
        <f t="shared" si="69"/>
        <v>138.77481194187325</v>
      </c>
      <c r="U134" s="1" t="str">
        <f t="shared" si="70"/>
        <v>charge</v>
      </c>
      <c r="Y134" s="1">
        <f t="shared" si="71"/>
        <v>5.6169767441860474E-2</v>
      </c>
      <c r="AA134" s="1">
        <f t="shared" si="75"/>
        <v>29.711996976176902</v>
      </c>
      <c r="AD134" s="1">
        <f t="shared" si="76"/>
        <v>0.25</v>
      </c>
      <c r="AF134" s="1">
        <f t="shared" si="77"/>
        <v>166.5297743302479</v>
      </c>
      <c r="AH134" s="1">
        <f t="shared" si="49"/>
        <v>0</v>
      </c>
    </row>
    <row r="135" spans="1:34" ht="15">
      <c r="A135" s="1">
        <v>134</v>
      </c>
      <c r="B135" s="1">
        <f t="shared" si="50"/>
        <v>2.9424241075402815</v>
      </c>
      <c r="C135" s="1">
        <f t="shared" si="72"/>
        <v>0</v>
      </c>
      <c r="D135" s="1">
        <f t="shared" si="78"/>
        <v>25.342943288448961</v>
      </c>
      <c r="E135">
        <v>135.44999999999999</v>
      </c>
      <c r="K135" s="1">
        <f>'Solar Availability and Gener GR'!F135</f>
        <v>3.1924241075402815</v>
      </c>
      <c r="L135" s="1">
        <v>0.39891472868217059</v>
      </c>
      <c r="M135" s="1">
        <f t="shared" si="73"/>
        <v>2.7935093788581109</v>
      </c>
      <c r="N135" s="1" t="str">
        <f t="shared" si="74"/>
        <v>sell the surplus or charge</v>
      </c>
      <c r="O135" s="1">
        <v>0.25</v>
      </c>
      <c r="P135" s="1">
        <f t="shared" si="65"/>
        <v>0.62670034978624167</v>
      </c>
      <c r="Q135" s="1">
        <f t="shared" si="66"/>
        <v>2.9424241075402815</v>
      </c>
      <c r="R135" s="1">
        <f t="shared" si="67"/>
        <v>398.54111139053663</v>
      </c>
      <c r="S135" s="1">
        <f t="shared" si="68"/>
        <v>378.37406101967889</v>
      </c>
      <c r="T135" s="1">
        <f t="shared" si="69"/>
        <v>128.59629590937431</v>
      </c>
      <c r="U135" s="1" t="str">
        <f t="shared" si="70"/>
        <v>charge</v>
      </c>
      <c r="Y135" s="1">
        <f t="shared" si="71"/>
        <v>5.4033000000000005E-2</v>
      </c>
      <c r="AA135" s="1">
        <f t="shared" si="75"/>
        <v>32.50550635503501</v>
      </c>
      <c r="AD135" s="1">
        <f t="shared" si="76"/>
        <v>0.25</v>
      </c>
      <c r="AF135" s="1">
        <f t="shared" si="77"/>
        <v>154.31555509124917</v>
      </c>
      <c r="AH135" s="1">
        <f t="shared" si="49"/>
        <v>0</v>
      </c>
    </row>
    <row r="136" spans="1:34" ht="15">
      <c r="A136" s="1">
        <v>135</v>
      </c>
      <c r="B136" s="1">
        <f t="shared" si="50"/>
        <v>2.8079809489895817</v>
      </c>
      <c r="C136" s="1">
        <f t="shared" si="72"/>
        <v>0</v>
      </c>
      <c r="D136" s="1">
        <f t="shared" si="78"/>
        <v>27.589328047640628</v>
      </c>
      <c r="E136">
        <v>149.99</v>
      </c>
      <c r="K136" s="1">
        <f>'Solar Availability and Gener GR'!F136</f>
        <v>3.0579809489895817</v>
      </c>
      <c r="L136" s="1">
        <v>0.39891472868217059</v>
      </c>
      <c r="M136" s="1">
        <f t="shared" si="73"/>
        <v>2.6590662203074111</v>
      </c>
      <c r="N136" s="1" t="str">
        <f t="shared" si="74"/>
        <v>sell the surplus or charge</v>
      </c>
      <c r="O136" s="1">
        <v>0.25</v>
      </c>
      <c r="P136" s="1">
        <f t="shared" si="65"/>
        <v>0.62670034978624167</v>
      </c>
      <c r="Q136" s="1">
        <f t="shared" si="66"/>
        <v>2.8079809489895817</v>
      </c>
      <c r="R136" s="1">
        <f t="shared" si="67"/>
        <v>421.15982057653991</v>
      </c>
      <c r="S136" s="1">
        <f t="shared" si="68"/>
        <v>398.82721566659194</v>
      </c>
      <c r="T136" s="1">
        <f t="shared" si="69"/>
        <v>142.03692368659964</v>
      </c>
      <c r="U136" s="1" t="str">
        <f t="shared" si="70"/>
        <v>charge</v>
      </c>
      <c r="Y136" s="1">
        <f t="shared" si="71"/>
        <v>5.9833220155038773E-2</v>
      </c>
      <c r="AA136" s="1">
        <f t="shared" si="75"/>
        <v>35.164572575342419</v>
      </c>
      <c r="AD136" s="1">
        <f t="shared" si="76"/>
        <v>0.25</v>
      </c>
      <c r="AF136" s="1">
        <f t="shared" si="77"/>
        <v>170.44430842391955</v>
      </c>
      <c r="AH136" s="1">
        <f t="shared" si="49"/>
        <v>0</v>
      </c>
    </row>
    <row r="137" spans="1:34" ht="15">
      <c r="A137" s="1">
        <v>136</v>
      </c>
      <c r="B137" s="1">
        <f t="shared" si="50"/>
        <v>2.5394952372473929</v>
      </c>
      <c r="C137" s="1">
        <f t="shared" si="72"/>
        <v>0</v>
      </c>
      <c r="D137" s="1">
        <f t="shared" si="78"/>
        <v>29.62092423743854</v>
      </c>
      <c r="E137">
        <v>227.23</v>
      </c>
      <c r="K137" s="1">
        <f>'Solar Availability and Gener GR'!F137</f>
        <v>2.7894952372473929</v>
      </c>
      <c r="L137" s="1">
        <v>0.39891472868217059</v>
      </c>
      <c r="M137" s="1">
        <f t="shared" si="73"/>
        <v>2.3905805085652223</v>
      </c>
      <c r="N137" s="1" t="str">
        <f t="shared" si="74"/>
        <v>sell the surplus or charge</v>
      </c>
      <c r="O137" s="1">
        <v>0.25</v>
      </c>
      <c r="P137" s="1">
        <f t="shared" si="65"/>
        <v>0.62670034978624167</v>
      </c>
      <c r="Q137" s="1">
        <f t="shared" si="66"/>
        <v>2.5394952372473929</v>
      </c>
      <c r="R137" s="1">
        <f t="shared" si="67"/>
        <v>577.04340218605353</v>
      </c>
      <c r="S137" s="1">
        <f t="shared" si="68"/>
        <v>543.20756474547943</v>
      </c>
      <c r="T137" s="1">
        <f t="shared" si="69"/>
        <v>213.90630611411189</v>
      </c>
      <c r="U137" s="1" t="str">
        <f t="shared" si="70"/>
        <v>charge</v>
      </c>
      <c r="Y137" s="1">
        <f t="shared" si="71"/>
        <v>9.0645393798449617E-2</v>
      </c>
      <c r="AA137" s="1">
        <f t="shared" si="75"/>
        <v>37.555153083907641</v>
      </c>
      <c r="AD137" s="1">
        <f t="shared" si="76"/>
        <v>0.25</v>
      </c>
      <c r="AF137" s="1">
        <f t="shared" si="77"/>
        <v>256.68756733693425</v>
      </c>
      <c r="AH137" s="1">
        <f t="shared" si="49"/>
        <v>0</v>
      </c>
    </row>
    <row r="138" spans="1:34" ht="15">
      <c r="A138" s="1">
        <v>137</v>
      </c>
      <c r="B138" s="1">
        <f t="shared" si="50"/>
        <v>0</v>
      </c>
      <c r="C138" s="1">
        <f t="shared" si="72"/>
        <v>0</v>
      </c>
      <c r="D138" s="1">
        <f t="shared" si="78"/>
        <v>29.62092423743854</v>
      </c>
      <c r="E138">
        <v>265.91000000000003</v>
      </c>
      <c r="K138" s="1">
        <f>'Solar Availability and Gener GR'!F138</f>
        <v>2.3678046826315309</v>
      </c>
      <c r="L138" s="1">
        <v>0.66914728682170543</v>
      </c>
      <c r="M138" s="1">
        <f t="shared" si="73"/>
        <v>1.6986573958098254</v>
      </c>
      <c r="N138" s="1" t="str">
        <f t="shared" si="74"/>
        <v>sell the surplus or charge</v>
      </c>
      <c r="O138" s="1">
        <v>0.25</v>
      </c>
      <c r="P138" s="1">
        <f t="shared" si="65"/>
        <v>0.3736098239110287</v>
      </c>
      <c r="Q138" s="1">
        <f t="shared" si="66"/>
        <v>2.1178046826315309</v>
      </c>
      <c r="R138" s="1">
        <f t="shared" si="67"/>
        <v>563.14022995773394</v>
      </c>
      <c r="S138" s="1">
        <f t="shared" si="68"/>
        <v>451.6884773229969</v>
      </c>
      <c r="T138" s="1">
        <f t="shared" si="69"/>
        <v>213.28453032951901</v>
      </c>
      <c r="U138" s="1" t="str">
        <f t="shared" si="70"/>
        <v>sell to the Grid</v>
      </c>
      <c r="W138" s="1">
        <f>(Q138*E138)/1000</f>
        <v>0.56314544315855042</v>
      </c>
      <c r="Y138" s="1">
        <f t="shared" si="71"/>
        <v>0.17793295503875969</v>
      </c>
      <c r="AA138" s="1">
        <f t="shared" si="75"/>
        <v>39.253810479717465</v>
      </c>
      <c r="AD138" s="1">
        <f t="shared" si="76"/>
        <v>0.25</v>
      </c>
      <c r="AF138" s="1">
        <f t="shared" si="77"/>
        <v>255.94143639542281</v>
      </c>
      <c r="AG138" s="1">
        <f>AF137</f>
        <v>256.68756733693425</v>
      </c>
      <c r="AH138" s="1">
        <f t="shared" si="49"/>
        <v>543.61413207945577</v>
      </c>
    </row>
    <row r="139" spans="1:34" ht="15">
      <c r="A139" s="1">
        <v>138</v>
      </c>
      <c r="B139" s="1">
        <f t="shared" si="50"/>
        <v>0</v>
      </c>
      <c r="C139" s="1">
        <f t="shared" si="72"/>
        <v>0</v>
      </c>
      <c r="D139" s="1">
        <f t="shared" si="78"/>
        <v>29.62092423743854</v>
      </c>
      <c r="E139">
        <v>278.12</v>
      </c>
      <c r="K139" s="1">
        <f>'Solar Availability and Gener GR'!F139</f>
        <v>1.7929226386539647</v>
      </c>
      <c r="L139" s="1">
        <v>0.65627906976744199</v>
      </c>
      <c r="M139" s="1">
        <f t="shared" si="73"/>
        <v>1.1366435688865226</v>
      </c>
      <c r="N139" s="1" t="str">
        <f t="shared" si="74"/>
        <v>sell the surplus or charge</v>
      </c>
      <c r="O139" s="1">
        <v>0.25</v>
      </c>
      <c r="P139" s="1">
        <f t="shared" si="65"/>
        <v>0.38093550673281351</v>
      </c>
      <c r="Q139" s="1">
        <f t="shared" si="66"/>
        <v>1.5429226386539647</v>
      </c>
      <c r="R139" s="1">
        <f t="shared" si="67"/>
        <v>429.11265992288315</v>
      </c>
      <c r="S139" s="1">
        <f t="shared" si="68"/>
        <v>316.12179508982865</v>
      </c>
      <c r="T139" s="1">
        <f t="shared" si="69"/>
        <v>204.88944372873004</v>
      </c>
      <c r="U139" s="1" t="str">
        <f t="shared" si="70"/>
        <v>sell to the Grid</v>
      </c>
      <c r="W139" s="1">
        <f>(Q139*E139)/1000</f>
        <v>0.42911764426244065</v>
      </c>
      <c r="Y139" s="1">
        <f t="shared" si="71"/>
        <v>0.18252433488372097</v>
      </c>
      <c r="AA139" s="1">
        <f t="shared" si="75"/>
        <v>40.390454048603985</v>
      </c>
      <c r="AD139" s="1">
        <f t="shared" si="76"/>
        <v>0.25</v>
      </c>
      <c r="AF139" s="1">
        <f t="shared" si="77"/>
        <v>245.86733247447603</v>
      </c>
      <c r="AG139" s="1">
        <f t="shared" ref="AG139:AG140" si="79">AF138</f>
        <v>255.94143639542281</v>
      </c>
      <c r="AH139" s="1">
        <f t="shared" si="49"/>
        <v>394.89783638411166</v>
      </c>
    </row>
    <row r="140" spans="1:34" ht="15">
      <c r="A140" s="1">
        <v>139</v>
      </c>
      <c r="B140" s="1">
        <f t="shared" si="50"/>
        <v>0</v>
      </c>
      <c r="C140" s="1">
        <f t="shared" si="72"/>
        <v>0</v>
      </c>
      <c r="D140" s="1">
        <f t="shared" si="78"/>
        <v>29.62092423743854</v>
      </c>
      <c r="E140">
        <v>269.14999999999998</v>
      </c>
      <c r="K140" s="1">
        <f>'Solar Availability and Gener GR'!F140</f>
        <v>1.1222825603133602</v>
      </c>
      <c r="L140" s="1">
        <v>0.66914728682170543</v>
      </c>
      <c r="M140" s="1">
        <f t="shared" si="73"/>
        <v>0.45313527349165472</v>
      </c>
      <c r="N140" s="1" t="str">
        <f t="shared" si="74"/>
        <v>sell the surplus or charge</v>
      </c>
      <c r="O140" s="1">
        <v>0.25</v>
      </c>
      <c r="P140" s="1">
        <f t="shared" si="65"/>
        <v>0.3736098239110287</v>
      </c>
      <c r="Q140" s="1">
        <f t="shared" si="66"/>
        <v>0.87228256031336016</v>
      </c>
      <c r="R140" s="1">
        <f t="shared" si="67"/>
        <v>234.76970066116775</v>
      </c>
      <c r="S140" s="1">
        <f t="shared" si="68"/>
        <v>121.95986624962568</v>
      </c>
      <c r="T140" s="1">
        <f t="shared" si="69"/>
        <v>139.82829195632735</v>
      </c>
      <c r="U140" s="1" t="str">
        <f t="shared" si="70"/>
        <v>sell to the Grid</v>
      </c>
      <c r="W140" s="1">
        <f>(Q140*E140)/1000</f>
        <v>0.23477485110834087</v>
      </c>
      <c r="Y140" s="1">
        <f t="shared" si="71"/>
        <v>0.180100992248062</v>
      </c>
      <c r="AA140" s="1">
        <f t="shared" si="75"/>
        <v>40.843589322095639</v>
      </c>
      <c r="AD140" s="1">
        <f t="shared" si="76"/>
        <v>0.25</v>
      </c>
      <c r="AF140" s="1">
        <f t="shared" si="77"/>
        <v>167.79395034759281</v>
      </c>
      <c r="AG140" s="1">
        <f t="shared" si="79"/>
        <v>245.86733247447603</v>
      </c>
      <c r="AH140" s="1">
        <f t="shared" si="49"/>
        <v>214.46578626825212</v>
      </c>
    </row>
    <row r="141" spans="1:34" ht="15">
      <c r="A141" s="1">
        <v>140</v>
      </c>
      <c r="B141" s="1">
        <f t="shared" si="50"/>
        <v>0</v>
      </c>
      <c r="C141" s="1">
        <f t="shared" si="72"/>
        <v>0</v>
      </c>
      <c r="D141" s="1">
        <f t="shared" si="78"/>
        <v>29.62092423743854</v>
      </c>
      <c r="E141">
        <v>295.81</v>
      </c>
      <c r="K141" s="1">
        <f>'Solar Availability and Gener GR'!F141</f>
        <v>0.45164248197275875</v>
      </c>
      <c r="L141" s="1">
        <v>0.65627906976744199</v>
      </c>
      <c r="M141" s="1">
        <f t="shared" si="73"/>
        <v>-0.20463658779468324</v>
      </c>
      <c r="N141" s="1" t="str">
        <f t="shared" si="74"/>
        <v>Buy from Grid</v>
      </c>
      <c r="V141" s="1" t="str">
        <f t="shared" ref="V141:V153" si="80">IF(D141+M141&gt;0,"discharge","buy from the Grid")</f>
        <v>discharge</v>
      </c>
      <c r="Y141" s="1">
        <f t="shared" si="71"/>
        <v>0.19413391162790702</v>
      </c>
      <c r="AA141" s="1">
        <f t="shared" si="75"/>
        <v>40.638952734300958</v>
      </c>
      <c r="AD141" s="1">
        <f t="shared" si="76"/>
        <v>0</v>
      </c>
      <c r="AF141" s="1">
        <f t="shared" si="77"/>
        <v>0</v>
      </c>
      <c r="AH141" s="1">
        <f t="shared" ref="AH141:AH204" si="81">AG141*Q141</f>
        <v>0</v>
      </c>
    </row>
    <row r="142" spans="1:34" ht="15">
      <c r="A142" s="1">
        <v>141</v>
      </c>
      <c r="B142" s="1">
        <f t="shared" si="50"/>
        <v>0</v>
      </c>
      <c r="C142" s="1">
        <f t="shared" si="72"/>
        <v>-0.34980051164308917</v>
      </c>
      <c r="D142" s="1">
        <f t="shared" si="78"/>
        <v>29.183673597884678</v>
      </c>
      <c r="E142">
        <v>294.83</v>
      </c>
      <c r="K142" s="1">
        <f>'Solar Availability and Gener GR'!F142</f>
        <v>4.91142170390814E-2</v>
      </c>
      <c r="L142" s="1">
        <v>0.39891472868217059</v>
      </c>
      <c r="M142" s="1">
        <f t="shared" si="73"/>
        <v>-0.34980051164308917</v>
      </c>
      <c r="N142" s="1" t="str">
        <f t="shared" si="74"/>
        <v>Buy from Grid</v>
      </c>
      <c r="V142" s="1" t="str">
        <f t="shared" si="80"/>
        <v>discharge</v>
      </c>
      <c r="Y142" s="1">
        <f t="shared" si="71"/>
        <v>0.11761202945736435</v>
      </c>
      <c r="AA142" s="1">
        <f t="shared" si="75"/>
        <v>40.289152222657869</v>
      </c>
      <c r="AD142" s="1">
        <f t="shared" si="76"/>
        <v>0</v>
      </c>
      <c r="AF142" s="1">
        <f t="shared" si="77"/>
        <v>0</v>
      </c>
      <c r="AH142" s="1">
        <f t="shared" si="81"/>
        <v>0</v>
      </c>
    </row>
    <row r="143" spans="1:34" ht="15">
      <c r="A143" s="1">
        <v>142</v>
      </c>
      <c r="B143" s="1">
        <f t="shared" si="50"/>
        <v>0</v>
      </c>
      <c r="C143" s="1">
        <f t="shared" si="72"/>
        <v>-0.39891472868217059</v>
      </c>
      <c r="D143" s="1">
        <f t="shared" si="78"/>
        <v>28.685030187031963</v>
      </c>
      <c r="E143">
        <v>265.18</v>
      </c>
      <c r="K143" s="1">
        <f>'Solar Availability and Gener GR'!F143</f>
        <v>0</v>
      </c>
      <c r="L143" s="1">
        <v>0.39891472868217059</v>
      </c>
      <c r="M143" s="1">
        <f t="shared" si="73"/>
        <v>-0.39891472868217059</v>
      </c>
      <c r="N143" s="1" t="str">
        <f t="shared" si="74"/>
        <v>Buy from Grid</v>
      </c>
      <c r="V143" s="1" t="str">
        <f t="shared" si="80"/>
        <v>discharge</v>
      </c>
      <c r="Y143" s="1">
        <f t="shared" si="71"/>
        <v>0.105784207751938</v>
      </c>
      <c r="AA143" s="1">
        <f t="shared" si="75"/>
        <v>39.890237493975697</v>
      </c>
      <c r="AD143" s="1">
        <f t="shared" si="76"/>
        <v>0</v>
      </c>
      <c r="AF143" s="1">
        <f t="shared" si="77"/>
        <v>0</v>
      </c>
      <c r="AH143" s="1">
        <f t="shared" si="81"/>
        <v>0</v>
      </c>
    </row>
    <row r="144" spans="1:34" ht="15">
      <c r="A144" s="1">
        <v>143</v>
      </c>
      <c r="B144" s="1">
        <f t="shared" ref="B144:B207" si="82">IF(U144="charge",Q144,0)</f>
        <v>0</v>
      </c>
      <c r="C144" s="1">
        <f t="shared" si="72"/>
        <v>-0.39891472868217059</v>
      </c>
      <c r="D144" s="1">
        <f t="shared" si="78"/>
        <v>28.186386776179248</v>
      </c>
      <c r="E144">
        <v>290.77999999999997</v>
      </c>
      <c r="K144" s="1">
        <f>'Solar Availability and Gener GR'!F144</f>
        <v>0</v>
      </c>
      <c r="L144" s="1">
        <v>0.39891472868217059</v>
      </c>
      <c r="M144" s="1">
        <f t="shared" si="73"/>
        <v>-0.39891472868217059</v>
      </c>
      <c r="N144" s="1" t="str">
        <f t="shared" si="74"/>
        <v>Buy from Grid</v>
      </c>
      <c r="V144" s="1" t="str">
        <f t="shared" si="80"/>
        <v>discharge</v>
      </c>
      <c r="Y144" s="1">
        <f t="shared" si="71"/>
        <v>0.11599642480620156</v>
      </c>
      <c r="AA144" s="1">
        <f t="shared" si="75"/>
        <v>39.491322765293525</v>
      </c>
      <c r="AD144" s="1">
        <f t="shared" si="76"/>
        <v>0</v>
      </c>
      <c r="AF144" s="1">
        <f t="shared" si="77"/>
        <v>0</v>
      </c>
      <c r="AH144" s="1">
        <f t="shared" si="81"/>
        <v>0</v>
      </c>
    </row>
    <row r="145" spans="1:34" ht="15">
      <c r="A145" s="1">
        <v>144</v>
      </c>
      <c r="B145" s="1">
        <f t="shared" si="82"/>
        <v>0</v>
      </c>
      <c r="C145" s="1">
        <f t="shared" si="72"/>
        <v>-0.29596899224806206</v>
      </c>
      <c r="D145" s="1">
        <f t="shared" si="78"/>
        <v>27.816425535869172</v>
      </c>
      <c r="E145">
        <v>263.42</v>
      </c>
      <c r="K145" s="1">
        <f>'Solar Availability and Gener GR'!F145</f>
        <v>0</v>
      </c>
      <c r="L145" s="1">
        <v>0.29596899224806206</v>
      </c>
      <c r="M145" s="1">
        <f t="shared" si="73"/>
        <v>-0.29596899224806206</v>
      </c>
      <c r="N145" s="1" t="str">
        <f t="shared" si="74"/>
        <v>Buy from Grid</v>
      </c>
      <c r="V145" s="1" t="str">
        <f t="shared" si="80"/>
        <v>discharge</v>
      </c>
      <c r="Y145" s="1">
        <f t="shared" si="71"/>
        <v>7.7964151937984505E-2</v>
      </c>
      <c r="AA145" s="1">
        <f t="shared" si="75"/>
        <v>39.195353773045461</v>
      </c>
      <c r="AD145" s="1">
        <f t="shared" si="76"/>
        <v>0</v>
      </c>
      <c r="AF145" s="1">
        <f t="shared" si="77"/>
        <v>0</v>
      </c>
      <c r="AH145" s="1">
        <f t="shared" si="81"/>
        <v>0</v>
      </c>
    </row>
    <row r="146" spans="1:34" ht="15">
      <c r="A146" s="1">
        <v>145</v>
      </c>
      <c r="B146" s="1">
        <f t="shared" si="82"/>
        <v>0</v>
      </c>
      <c r="C146" s="1">
        <f t="shared" si="72"/>
        <v>-0.29596899224806206</v>
      </c>
      <c r="D146" s="1">
        <f t="shared" si="78"/>
        <v>27.446464295559096</v>
      </c>
      <c r="E146">
        <v>272.58</v>
      </c>
      <c r="K146" s="1">
        <f>'Solar Availability and Gener GR'!F146</f>
        <v>0</v>
      </c>
      <c r="L146" s="1">
        <v>0.29596899224806206</v>
      </c>
      <c r="M146" s="1">
        <f t="shared" si="73"/>
        <v>-0.29596899224806206</v>
      </c>
      <c r="N146" s="1" t="str">
        <f t="shared" si="74"/>
        <v>Buy from Grid</v>
      </c>
      <c r="V146" s="1" t="str">
        <f t="shared" si="80"/>
        <v>discharge</v>
      </c>
      <c r="Y146" s="1">
        <f t="shared" si="71"/>
        <v>8.0675227906976746E-2</v>
      </c>
      <c r="AA146" s="1">
        <f t="shared" si="75"/>
        <v>38.899384780797398</v>
      </c>
      <c r="AD146" s="1">
        <f t="shared" si="76"/>
        <v>0</v>
      </c>
      <c r="AF146" s="1">
        <f t="shared" si="77"/>
        <v>0</v>
      </c>
      <c r="AH146" s="1">
        <f t="shared" si="81"/>
        <v>0</v>
      </c>
    </row>
    <row r="147" spans="1:34" ht="15">
      <c r="A147" s="1">
        <v>146</v>
      </c>
      <c r="B147" s="1">
        <f t="shared" si="82"/>
        <v>0</v>
      </c>
      <c r="C147" s="1">
        <f t="shared" si="72"/>
        <v>-0.29596899224806206</v>
      </c>
      <c r="D147" s="1">
        <f t="shared" si="78"/>
        <v>27.07650305524902</v>
      </c>
      <c r="E147">
        <v>311</v>
      </c>
      <c r="K147" s="1">
        <f>'Solar Availability and Gener GR'!F147</f>
        <v>0</v>
      </c>
      <c r="L147" s="1">
        <v>0.29596899224806206</v>
      </c>
      <c r="M147" s="1">
        <f t="shared" si="73"/>
        <v>-0.29596899224806206</v>
      </c>
      <c r="N147" s="1" t="str">
        <f t="shared" si="74"/>
        <v>Buy from Grid</v>
      </c>
      <c r="V147" s="1" t="str">
        <f t="shared" si="80"/>
        <v>discharge</v>
      </c>
      <c r="Y147" s="1">
        <f t="shared" si="71"/>
        <v>9.2046356589147296E-2</v>
      </c>
      <c r="AA147" s="1">
        <f t="shared" si="75"/>
        <v>38.603415788549334</v>
      </c>
      <c r="AD147" s="1">
        <f t="shared" si="76"/>
        <v>0</v>
      </c>
      <c r="AF147" s="1">
        <f t="shared" si="77"/>
        <v>0</v>
      </c>
      <c r="AH147" s="1">
        <f t="shared" si="81"/>
        <v>0</v>
      </c>
    </row>
    <row r="148" spans="1:34" ht="15">
      <c r="A148" s="1">
        <v>147</v>
      </c>
      <c r="B148" s="1">
        <f t="shared" si="82"/>
        <v>0</v>
      </c>
      <c r="C148" s="1">
        <f t="shared" si="72"/>
        <v>-0.30883720930232561</v>
      </c>
      <c r="D148" s="1">
        <f t="shared" si="78"/>
        <v>26.690456543621114</v>
      </c>
      <c r="E148">
        <v>174.01</v>
      </c>
      <c r="K148" s="1">
        <f>'Solar Availability and Gener GR'!F148</f>
        <v>0</v>
      </c>
      <c r="L148" s="1">
        <v>0.30883720930232561</v>
      </c>
      <c r="M148" s="1">
        <f t="shared" si="73"/>
        <v>-0.30883720930232561</v>
      </c>
      <c r="N148" s="1" t="str">
        <f t="shared" si="74"/>
        <v>Buy from Grid</v>
      </c>
      <c r="V148" s="1" t="str">
        <f t="shared" si="80"/>
        <v>discharge</v>
      </c>
      <c r="Y148" s="1">
        <f t="shared" si="71"/>
        <v>5.3740762790697678E-2</v>
      </c>
      <c r="AA148" s="1">
        <f t="shared" si="75"/>
        <v>38.294578579247009</v>
      </c>
      <c r="AD148" s="1">
        <f t="shared" si="76"/>
        <v>0</v>
      </c>
      <c r="AF148" s="1">
        <f t="shared" si="77"/>
        <v>0</v>
      </c>
      <c r="AH148" s="1">
        <f t="shared" si="81"/>
        <v>0</v>
      </c>
    </row>
    <row r="149" spans="1:34" ht="15">
      <c r="A149" s="1">
        <v>148</v>
      </c>
      <c r="B149" s="1">
        <f t="shared" si="82"/>
        <v>0</v>
      </c>
      <c r="C149" s="1">
        <f t="shared" si="72"/>
        <v>-0.29596899224806206</v>
      </c>
      <c r="D149" s="1">
        <f t="shared" si="78"/>
        <v>26.320495303311038</v>
      </c>
      <c r="E149">
        <v>173.05</v>
      </c>
      <c r="K149" s="1">
        <f>'Solar Availability and Gener GR'!F149</f>
        <v>0</v>
      </c>
      <c r="L149" s="1">
        <v>0.29596899224806206</v>
      </c>
      <c r="M149" s="1">
        <f t="shared" si="73"/>
        <v>-0.29596899224806206</v>
      </c>
      <c r="N149" s="1" t="str">
        <f t="shared" si="74"/>
        <v>Buy from Grid</v>
      </c>
      <c r="V149" s="1" t="str">
        <f t="shared" si="80"/>
        <v>discharge</v>
      </c>
      <c r="Y149" s="1">
        <f t="shared" si="71"/>
        <v>5.1217434108527145E-2</v>
      </c>
      <c r="AA149" s="1">
        <f t="shared" si="75"/>
        <v>37.998609586998946</v>
      </c>
      <c r="AD149" s="1">
        <f t="shared" si="76"/>
        <v>0</v>
      </c>
      <c r="AF149" s="1">
        <f t="shared" si="77"/>
        <v>0</v>
      </c>
      <c r="AH149" s="1">
        <f t="shared" si="81"/>
        <v>0</v>
      </c>
    </row>
    <row r="150" spans="1:34" ht="15">
      <c r="A150" s="1">
        <v>149</v>
      </c>
      <c r="B150" s="1">
        <f t="shared" si="82"/>
        <v>0</v>
      </c>
      <c r="C150" s="1">
        <f t="shared" si="72"/>
        <v>-0.39891472868217059</v>
      </c>
      <c r="D150" s="1">
        <f t="shared" si="78"/>
        <v>25.821851892458323</v>
      </c>
      <c r="E150">
        <v>173.03</v>
      </c>
      <c r="K150" s="1">
        <f>'Solar Availability and Gener GR'!F150</f>
        <v>0</v>
      </c>
      <c r="L150" s="1">
        <v>0.39891472868217059</v>
      </c>
      <c r="M150" s="1">
        <f t="shared" si="73"/>
        <v>-0.39891472868217059</v>
      </c>
      <c r="N150" s="1" t="str">
        <f t="shared" si="74"/>
        <v>Buy from Grid</v>
      </c>
      <c r="V150" s="1" t="str">
        <f t="shared" si="80"/>
        <v>discharge</v>
      </c>
      <c r="Y150" s="1">
        <f t="shared" si="71"/>
        <v>6.9024215503875982E-2</v>
      </c>
      <c r="AA150" s="1">
        <f t="shared" si="75"/>
        <v>37.599694858316774</v>
      </c>
      <c r="AD150" s="1">
        <f t="shared" si="76"/>
        <v>0</v>
      </c>
      <c r="AF150" s="1">
        <f t="shared" si="77"/>
        <v>0</v>
      </c>
      <c r="AH150" s="1">
        <f t="shared" si="81"/>
        <v>0</v>
      </c>
    </row>
    <row r="151" spans="1:34" ht="15">
      <c r="A151" s="1">
        <v>150</v>
      </c>
      <c r="B151" s="1">
        <f t="shared" si="82"/>
        <v>0</v>
      </c>
      <c r="C151" s="1">
        <f t="shared" si="72"/>
        <v>-0.66914728682170543</v>
      </c>
      <c r="D151" s="1">
        <f t="shared" si="78"/>
        <v>24.98541778393119</v>
      </c>
      <c r="E151">
        <v>264.45999999999998</v>
      </c>
      <c r="K151" s="1">
        <f>'Solar Availability and Gener GR'!F151</f>
        <v>0</v>
      </c>
      <c r="L151" s="1">
        <v>0.66914728682170543</v>
      </c>
      <c r="M151" s="1">
        <f t="shared" si="73"/>
        <v>-0.66914728682170543</v>
      </c>
      <c r="N151" s="1" t="str">
        <f t="shared" si="74"/>
        <v>Buy from Grid</v>
      </c>
      <c r="V151" s="1" t="str">
        <f t="shared" si="80"/>
        <v>discharge</v>
      </c>
      <c r="Y151" s="1">
        <f t="shared" si="71"/>
        <v>0.17696269147286822</v>
      </c>
      <c r="AA151" s="1">
        <f t="shared" si="75"/>
        <v>36.930547571495069</v>
      </c>
      <c r="AD151" s="1">
        <f t="shared" si="76"/>
        <v>0</v>
      </c>
      <c r="AF151" s="1">
        <f t="shared" si="77"/>
        <v>0</v>
      </c>
      <c r="AH151" s="1">
        <f t="shared" si="81"/>
        <v>0</v>
      </c>
    </row>
    <row r="152" spans="1:34" ht="15">
      <c r="A152" s="1">
        <v>151</v>
      </c>
      <c r="B152" s="1">
        <f t="shared" si="82"/>
        <v>0</v>
      </c>
      <c r="C152" s="1">
        <f t="shared" si="72"/>
        <v>-0.61514728682170539</v>
      </c>
      <c r="D152" s="1">
        <f t="shared" si="78"/>
        <v>24.21648367540406</v>
      </c>
      <c r="E152">
        <v>339.1</v>
      </c>
      <c r="K152" s="1">
        <f>'Solar Availability and Gener GR'!F152</f>
        <v>5.3999999999999999E-2</v>
      </c>
      <c r="L152" s="1">
        <v>0.66914728682170543</v>
      </c>
      <c r="M152" s="1">
        <f t="shared" si="73"/>
        <v>-0.61514728682170539</v>
      </c>
      <c r="N152" s="1" t="str">
        <f t="shared" si="74"/>
        <v>Buy from Grid</v>
      </c>
      <c r="V152" s="1" t="str">
        <f t="shared" si="80"/>
        <v>discharge</v>
      </c>
      <c r="Y152" s="1">
        <f t="shared" si="71"/>
        <v>0.22690784496124033</v>
      </c>
      <c r="AA152" s="1">
        <f t="shared" si="75"/>
        <v>36.315400284673366</v>
      </c>
      <c r="AD152" s="1">
        <f t="shared" si="76"/>
        <v>0</v>
      </c>
      <c r="AF152" s="1">
        <f t="shared" si="77"/>
        <v>0</v>
      </c>
      <c r="AH152" s="1">
        <f t="shared" si="81"/>
        <v>0</v>
      </c>
    </row>
    <row r="153" spans="1:34" ht="15">
      <c r="A153" s="1">
        <v>152</v>
      </c>
      <c r="B153" s="1">
        <f t="shared" si="82"/>
        <v>0</v>
      </c>
      <c r="C153" s="1">
        <f t="shared" si="72"/>
        <v>-0.33794728682170549</v>
      </c>
      <c r="D153" s="1">
        <f t="shared" si="78"/>
        <v>23.794049566876929</v>
      </c>
      <c r="E153">
        <v>344.1</v>
      </c>
      <c r="K153" s="1">
        <f>'Solar Availability and Gener GR'!F153</f>
        <v>0.33119999999999994</v>
      </c>
      <c r="L153" s="1">
        <v>0.66914728682170543</v>
      </c>
      <c r="M153" s="1">
        <f t="shared" si="73"/>
        <v>-0.33794728682170549</v>
      </c>
      <c r="N153" s="1" t="str">
        <f t="shared" si="74"/>
        <v>Buy from Grid</v>
      </c>
      <c r="V153" s="1" t="str">
        <f t="shared" si="80"/>
        <v>discharge</v>
      </c>
      <c r="Y153" s="1">
        <f t="shared" si="71"/>
        <v>0.23025358139534885</v>
      </c>
      <c r="AA153" s="1">
        <f t="shared" si="75"/>
        <v>35.977452997851664</v>
      </c>
      <c r="AD153" s="1">
        <f t="shared" si="76"/>
        <v>0</v>
      </c>
      <c r="AF153" s="1">
        <f t="shared" si="77"/>
        <v>0</v>
      </c>
      <c r="AH153" s="1">
        <f t="shared" si="81"/>
        <v>0</v>
      </c>
    </row>
    <row r="154" spans="1:34" ht="15">
      <c r="A154" s="1">
        <v>153</v>
      </c>
      <c r="B154" s="1">
        <f t="shared" si="82"/>
        <v>0</v>
      </c>
      <c r="C154" s="1">
        <f t="shared" si="72"/>
        <v>0.28710859545207545</v>
      </c>
      <c r="D154" s="1">
        <f t="shared" si="78"/>
        <v>24.152935311192024</v>
      </c>
      <c r="E154">
        <v>204.99</v>
      </c>
      <c r="K154" s="1">
        <f>'Solar Availability and Gener GR'!F154</f>
        <v>0.68602332413424605</v>
      </c>
      <c r="L154" s="1">
        <v>0.39891472868217059</v>
      </c>
      <c r="M154" s="1">
        <f t="shared" si="73"/>
        <v>0.28710859545207545</v>
      </c>
      <c r="N154" s="1" t="str">
        <f t="shared" si="74"/>
        <v>sell the surplus or charge</v>
      </c>
      <c r="O154" s="1">
        <v>0.25</v>
      </c>
      <c r="P154" s="1">
        <f t="shared" ref="P154:P165" si="83">0.25/L154</f>
        <v>0.62670034978624167</v>
      </c>
      <c r="Q154" s="1">
        <f t="shared" ref="Q154:Q165" si="84">K154-P154*L154</f>
        <v>0.43602332413424605</v>
      </c>
      <c r="R154" s="1">
        <f t="shared" ref="R154:R165" si="85">((1/(E154+0.01))*LN(0.25))+(E154*(K154-0.25))</f>
        <v>89.37365880276144</v>
      </c>
      <c r="S154" s="1">
        <f t="shared" ref="S154:S165" si="86">((1/(E154+0.01))*LN(L154))+(E154*(K154-L154))</f>
        <v>58.849908017830664</v>
      </c>
      <c r="T154" s="1">
        <f t="shared" ref="T154:T165" si="87">(S154+((S154^2)-4*(K154-L154*P154)*LN(L154*P154))^(0.5))/(2*(K154-L154*P154))</f>
        <v>134.99318528478281</v>
      </c>
      <c r="U154" s="1" t="str">
        <f t="shared" ref="U154:U165" si="88">IF(E154&gt;=T154*1.2,"sell to the Grid","charge")</f>
        <v>sell to the Grid</v>
      </c>
      <c r="W154" s="1">
        <f>(Q154*E154)/1000</f>
        <v>8.9380421214279096E-2</v>
      </c>
      <c r="Y154" s="1">
        <f t="shared" si="71"/>
        <v>8.1773530232558164E-2</v>
      </c>
      <c r="AA154" s="1">
        <f t="shared" si="75"/>
        <v>36.264561593303739</v>
      </c>
      <c r="AD154" s="1">
        <f t="shared" si="76"/>
        <v>0.25</v>
      </c>
      <c r="AF154" s="1">
        <f t="shared" si="77"/>
        <v>161.99182234173938</v>
      </c>
      <c r="AG154" s="1">
        <f>E154</f>
        <v>204.99</v>
      </c>
      <c r="AH154" s="1">
        <f t="shared" si="81"/>
        <v>89.380421214279096</v>
      </c>
    </row>
    <row r="155" spans="1:34" ht="15">
      <c r="A155" s="1">
        <v>154</v>
      </c>
      <c r="B155" s="1">
        <f t="shared" si="82"/>
        <v>1.0100640968574714</v>
      </c>
      <c r="C155" s="1">
        <f t="shared" si="72"/>
        <v>0</v>
      </c>
      <c r="D155" s="1">
        <f t="shared" si="78"/>
        <v>24.960986588678001</v>
      </c>
      <c r="E155">
        <v>206.09</v>
      </c>
      <c r="K155" s="1">
        <f>'Solar Availability and Gener GR'!F155</f>
        <v>1.2600640968574714</v>
      </c>
      <c r="L155" s="1">
        <v>0.39891472868217059</v>
      </c>
      <c r="M155" s="1">
        <f t="shared" si="73"/>
        <v>0.86114936817530086</v>
      </c>
      <c r="N155" s="1" t="str">
        <f t="shared" si="74"/>
        <v>sell the surplus or charge</v>
      </c>
      <c r="O155" s="1">
        <v>0.25</v>
      </c>
      <c r="P155" s="1">
        <f t="shared" si="83"/>
        <v>0.62670034978624167</v>
      </c>
      <c r="Q155" s="1">
        <f t="shared" si="84"/>
        <v>1.0100640968574714</v>
      </c>
      <c r="R155" s="1">
        <f t="shared" si="85"/>
        <v>208.15738340228245</v>
      </c>
      <c r="S155" s="1">
        <f t="shared" si="86"/>
        <v>177.46981424989934</v>
      </c>
      <c r="T155" s="1">
        <f t="shared" si="87"/>
        <v>175.70934805412799</v>
      </c>
      <c r="U155" s="1" t="str">
        <f t="shared" si="88"/>
        <v>charge</v>
      </c>
      <c r="Y155" s="1">
        <f t="shared" si="71"/>
        <v>8.2212336434108538E-2</v>
      </c>
      <c r="AA155" s="1">
        <f t="shared" si="75"/>
        <v>37.125710961479037</v>
      </c>
      <c r="AD155" s="1">
        <f t="shared" si="76"/>
        <v>0.25</v>
      </c>
      <c r="AF155" s="1">
        <f t="shared" si="77"/>
        <v>210.85121766495357</v>
      </c>
      <c r="AH155" s="1">
        <f t="shared" si="81"/>
        <v>0</v>
      </c>
    </row>
    <row r="156" spans="1:34" ht="15">
      <c r="A156" s="1">
        <v>155</v>
      </c>
      <c r="B156" s="1">
        <f t="shared" si="82"/>
        <v>1.9766981216059798</v>
      </c>
      <c r="C156" s="1">
        <f t="shared" si="72"/>
        <v>0</v>
      </c>
      <c r="D156" s="1">
        <f t="shared" si="78"/>
        <v>26.542345085962786</v>
      </c>
      <c r="E156">
        <v>186.39</v>
      </c>
      <c r="K156" s="1">
        <f>'Solar Availability and Gener GR'!F156</f>
        <v>2.2266981216059798</v>
      </c>
      <c r="L156" s="1">
        <v>0.39891472868217059</v>
      </c>
      <c r="M156" s="1">
        <f t="shared" si="73"/>
        <v>1.8277833929238092</v>
      </c>
      <c r="N156" s="1" t="str">
        <f t="shared" si="74"/>
        <v>sell the surplus or charge</v>
      </c>
      <c r="O156" s="1">
        <v>0.25</v>
      </c>
      <c r="P156" s="1">
        <f t="shared" si="83"/>
        <v>0.62670034978624167</v>
      </c>
      <c r="Q156" s="1">
        <f t="shared" si="84"/>
        <v>1.9766981216059798</v>
      </c>
      <c r="R156" s="1">
        <f t="shared" si="85"/>
        <v>368.42932568463038</v>
      </c>
      <c r="S156" s="1">
        <f t="shared" si="86"/>
        <v>340.67561630879891</v>
      </c>
      <c r="T156" s="1">
        <f t="shared" si="87"/>
        <v>172.34986772869743</v>
      </c>
      <c r="U156" s="1" t="str">
        <f t="shared" si="88"/>
        <v>charge</v>
      </c>
      <c r="Y156" s="1">
        <f t="shared" si="71"/>
        <v>7.4353716279069768E-2</v>
      </c>
      <c r="AA156" s="1">
        <f t="shared" si="75"/>
        <v>38.953494354402849</v>
      </c>
      <c r="AD156" s="1">
        <f t="shared" si="76"/>
        <v>0.25</v>
      </c>
      <c r="AF156" s="1">
        <f t="shared" si="77"/>
        <v>206.81984127443693</v>
      </c>
      <c r="AH156" s="1">
        <f t="shared" si="81"/>
        <v>0</v>
      </c>
    </row>
    <row r="157" spans="1:34" ht="15">
      <c r="A157" s="1">
        <v>156</v>
      </c>
      <c r="B157" s="1">
        <f t="shared" si="82"/>
        <v>2.6560179827294559</v>
      </c>
      <c r="C157" s="1">
        <f t="shared" si="72"/>
        <v>0</v>
      </c>
      <c r="D157" s="1">
        <f t="shared" si="78"/>
        <v>28.667159472146352</v>
      </c>
      <c r="E157">
        <v>178.54</v>
      </c>
      <c r="K157" s="1">
        <f>'Solar Availability and Gener GR'!F157</f>
        <v>2.9060179827294559</v>
      </c>
      <c r="L157" s="1">
        <v>0.39891472868217059</v>
      </c>
      <c r="M157" s="1">
        <f t="shared" si="73"/>
        <v>2.5071032540472853</v>
      </c>
      <c r="N157" s="1" t="str">
        <f t="shared" si="74"/>
        <v>sell the surplus or charge</v>
      </c>
      <c r="O157" s="1">
        <v>0.25</v>
      </c>
      <c r="P157" s="1">
        <f t="shared" si="83"/>
        <v>0.62670034978624167</v>
      </c>
      <c r="Q157" s="1">
        <f t="shared" si="84"/>
        <v>2.6560179827294559</v>
      </c>
      <c r="R157" s="1">
        <f t="shared" si="85"/>
        <v>474.19768645639311</v>
      </c>
      <c r="S157" s="1">
        <f t="shared" si="86"/>
        <v>447.61306791740901</v>
      </c>
      <c r="T157" s="1">
        <f t="shared" si="87"/>
        <v>168.53097252438292</v>
      </c>
      <c r="U157" s="1" t="str">
        <f t="shared" si="88"/>
        <v>charge</v>
      </c>
      <c r="Y157" s="1">
        <f t="shared" si="71"/>
        <v>7.1222235658914737E-2</v>
      </c>
      <c r="AA157" s="1">
        <f t="shared" si="75"/>
        <v>41.460597608450136</v>
      </c>
      <c r="AD157" s="1">
        <f t="shared" si="76"/>
        <v>0.25</v>
      </c>
      <c r="AF157" s="1">
        <f t="shared" si="77"/>
        <v>202.2371670292595</v>
      </c>
      <c r="AH157" s="1">
        <f t="shared" si="81"/>
        <v>0</v>
      </c>
    </row>
    <row r="158" spans="1:34" ht="15">
      <c r="A158" s="1">
        <v>157</v>
      </c>
      <c r="B158" s="1">
        <f t="shared" si="82"/>
        <v>2.923729190777173</v>
      </c>
      <c r="C158" s="1">
        <f t="shared" si="72"/>
        <v>0</v>
      </c>
      <c r="D158" s="1">
        <f t="shared" si="78"/>
        <v>31.006142824768091</v>
      </c>
      <c r="E158">
        <v>165</v>
      </c>
      <c r="K158" s="1">
        <f>'Solar Availability and Gener GR'!F158</f>
        <v>3.173729190777173</v>
      </c>
      <c r="L158" s="1">
        <v>0.39891472868217059</v>
      </c>
      <c r="M158" s="1">
        <f t="shared" si="73"/>
        <v>2.7748144620950024</v>
      </c>
      <c r="N158" s="1" t="str">
        <f t="shared" si="74"/>
        <v>sell the surplus or charge</v>
      </c>
      <c r="O158" s="1">
        <v>0.25</v>
      </c>
      <c r="P158" s="1">
        <f t="shared" si="83"/>
        <v>0.62670034978624167</v>
      </c>
      <c r="Q158" s="1">
        <f t="shared" si="84"/>
        <v>2.923729190777173</v>
      </c>
      <c r="R158" s="1">
        <f t="shared" si="85"/>
        <v>482.40691520339493</v>
      </c>
      <c r="S158" s="1">
        <f t="shared" si="86"/>
        <v>457.83881684019991</v>
      </c>
      <c r="T158" s="1">
        <f t="shared" si="87"/>
        <v>156.59715369665</v>
      </c>
      <c r="U158" s="1" t="str">
        <f t="shared" si="88"/>
        <v>charge</v>
      </c>
      <c r="Y158" s="1">
        <f t="shared" si="71"/>
        <v>6.5820930232558153E-2</v>
      </c>
      <c r="AA158" s="1">
        <f t="shared" si="75"/>
        <v>44.235412070545138</v>
      </c>
      <c r="AD158" s="1">
        <f t="shared" si="76"/>
        <v>0.25</v>
      </c>
      <c r="AF158" s="1">
        <f t="shared" si="77"/>
        <v>187.91658443597998</v>
      </c>
      <c r="AH158" s="1">
        <f t="shared" si="81"/>
        <v>0</v>
      </c>
    </row>
    <row r="159" spans="1:34" ht="15">
      <c r="A159" s="1">
        <v>158</v>
      </c>
      <c r="B159" s="1">
        <f t="shared" si="82"/>
        <v>3.0190465592450799</v>
      </c>
      <c r="C159" s="1">
        <f t="shared" si="72"/>
        <v>0</v>
      </c>
      <c r="D159" s="1">
        <f t="shared" si="78"/>
        <v>33.421380072164155</v>
      </c>
      <c r="E159">
        <v>163.94</v>
      </c>
      <c r="K159" s="1">
        <f>'Solar Availability and Gener GR'!F159</f>
        <v>3.2690465592450799</v>
      </c>
      <c r="L159" s="1">
        <v>0.39891472868217059</v>
      </c>
      <c r="M159" s="1">
        <f t="shared" si="73"/>
        <v>2.8701318305629093</v>
      </c>
      <c r="N159" s="1" t="str">
        <f t="shared" si="74"/>
        <v>sell the surplus or charge</v>
      </c>
      <c r="O159" s="1">
        <v>0.25</v>
      </c>
      <c r="P159" s="1">
        <f t="shared" si="83"/>
        <v>0.62670034978624167</v>
      </c>
      <c r="Q159" s="1">
        <f t="shared" si="84"/>
        <v>3.0190465592450799</v>
      </c>
      <c r="R159" s="1">
        <f t="shared" si="85"/>
        <v>494.93403733031681</v>
      </c>
      <c r="S159" s="1">
        <f t="shared" si="86"/>
        <v>470.52380688865287</v>
      </c>
      <c r="T159" s="1">
        <f t="shared" si="87"/>
        <v>155.85473507613597</v>
      </c>
      <c r="U159" s="1" t="str">
        <f t="shared" si="88"/>
        <v>charge</v>
      </c>
      <c r="Y159" s="1">
        <f t="shared" si="71"/>
        <v>6.5398080620155036E-2</v>
      </c>
      <c r="AA159" s="1">
        <f t="shared" si="75"/>
        <v>47.105543901108049</v>
      </c>
      <c r="AD159" s="1">
        <f t="shared" si="76"/>
        <v>0.25</v>
      </c>
      <c r="AF159" s="1">
        <f t="shared" si="77"/>
        <v>187.02568209136317</v>
      </c>
      <c r="AH159" s="1">
        <f t="shared" si="81"/>
        <v>0</v>
      </c>
    </row>
    <row r="160" spans="1:34" ht="15">
      <c r="A160" s="1">
        <v>159</v>
      </c>
      <c r="B160" s="1">
        <f t="shared" si="82"/>
        <v>2.9228745660108606</v>
      </c>
      <c r="C160" s="1">
        <f t="shared" si="72"/>
        <v>0</v>
      </c>
      <c r="D160" s="1">
        <f t="shared" si="78"/>
        <v>35.759679724972841</v>
      </c>
      <c r="E160">
        <v>177.44</v>
      </c>
      <c r="K160" s="1">
        <f>'Solar Availability and Gener GR'!F160</f>
        <v>3.1728745660108606</v>
      </c>
      <c r="L160" s="1">
        <v>0.39891472868217059</v>
      </c>
      <c r="M160" s="1">
        <f t="shared" si="73"/>
        <v>2.77395983732869</v>
      </c>
      <c r="N160" s="1" t="str">
        <f t="shared" si="74"/>
        <v>sell the surplus or charge</v>
      </c>
      <c r="O160" s="1">
        <v>0.25</v>
      </c>
      <c r="P160" s="1">
        <f t="shared" si="83"/>
        <v>0.62670034978624167</v>
      </c>
      <c r="Q160" s="1">
        <f t="shared" si="84"/>
        <v>2.9228745660108606</v>
      </c>
      <c r="R160" s="1">
        <f t="shared" si="85"/>
        <v>518.62705068323976</v>
      </c>
      <c r="S160" s="1">
        <f t="shared" si="86"/>
        <v>492.20625456914735</v>
      </c>
      <c r="T160" s="1">
        <f t="shared" si="87"/>
        <v>168.40082445016012</v>
      </c>
      <c r="U160" s="1" t="str">
        <f t="shared" si="88"/>
        <v>charge</v>
      </c>
      <c r="Y160" s="1">
        <f t="shared" si="71"/>
        <v>7.078342945736435E-2</v>
      </c>
      <c r="AA160" s="1">
        <f t="shared" si="75"/>
        <v>49.879503738436739</v>
      </c>
      <c r="AD160" s="1">
        <f t="shared" si="76"/>
        <v>0.25</v>
      </c>
      <c r="AF160" s="1">
        <f t="shared" si="77"/>
        <v>202.08098934019213</v>
      </c>
      <c r="AH160" s="1">
        <f t="shared" si="81"/>
        <v>0</v>
      </c>
    </row>
    <row r="161" spans="1:34" ht="15">
      <c r="A161" s="1">
        <v>160</v>
      </c>
      <c r="B161" s="1">
        <f t="shared" si="82"/>
        <v>2.6926733730971213</v>
      </c>
      <c r="C161" s="1">
        <f t="shared" si="72"/>
        <v>0</v>
      </c>
      <c r="D161" s="1">
        <f t="shared" si="78"/>
        <v>37.913818423450536</v>
      </c>
      <c r="E161">
        <v>216</v>
      </c>
      <c r="K161" s="1">
        <f>'Solar Availability and Gener GR'!F161</f>
        <v>2.9426733730971213</v>
      </c>
      <c r="L161" s="1">
        <v>0.66914728682170543</v>
      </c>
      <c r="M161" s="1">
        <f t="shared" si="73"/>
        <v>2.2735260862754156</v>
      </c>
      <c r="N161" s="1" t="str">
        <f t="shared" si="74"/>
        <v>sell the surplus or charge</v>
      </c>
      <c r="O161" s="1">
        <v>0.25</v>
      </c>
      <c r="P161" s="1">
        <f t="shared" si="83"/>
        <v>0.3736098239110287</v>
      </c>
      <c r="Q161" s="1">
        <f t="shared" si="84"/>
        <v>2.6926733730971213</v>
      </c>
      <c r="R161" s="1">
        <f t="shared" si="85"/>
        <v>581.61103085664581</v>
      </c>
      <c r="S161" s="1">
        <f t="shared" si="86"/>
        <v>491.0797747628755</v>
      </c>
      <c r="T161" s="1">
        <f t="shared" si="87"/>
        <v>182.37911097496669</v>
      </c>
      <c r="U161" s="1" t="str">
        <f t="shared" si="88"/>
        <v>charge</v>
      </c>
      <c r="Y161" s="1">
        <f t="shared" si="71"/>
        <v>0.14453581395348838</v>
      </c>
      <c r="AA161" s="1">
        <f t="shared" si="75"/>
        <v>52.153029824712156</v>
      </c>
      <c r="AD161" s="1">
        <f t="shared" si="76"/>
        <v>0.25</v>
      </c>
      <c r="AF161" s="1">
        <f t="shared" si="77"/>
        <v>218.85493316996002</v>
      </c>
      <c r="AH161" s="1">
        <f t="shared" si="81"/>
        <v>0</v>
      </c>
    </row>
    <row r="162" spans="1:34" ht="15">
      <c r="A162" s="1">
        <v>161</v>
      </c>
      <c r="B162" s="1">
        <f t="shared" si="82"/>
        <v>0</v>
      </c>
      <c r="C162" s="1">
        <f t="shared" si="72"/>
        <v>0</v>
      </c>
      <c r="D162" s="1">
        <f t="shared" si="78"/>
        <v>37.913818423450536</v>
      </c>
      <c r="E162">
        <v>329.94</v>
      </c>
      <c r="K162" s="1">
        <f>'Solar Availability and Gener GR'!F162</f>
        <v>2.5114083503961528</v>
      </c>
      <c r="L162" s="1">
        <v>0.66914728682170543</v>
      </c>
      <c r="M162" s="1">
        <f t="shared" si="73"/>
        <v>1.8422610635744474</v>
      </c>
      <c r="N162" s="1" t="str">
        <f t="shared" si="74"/>
        <v>sell the surplus or charge</v>
      </c>
      <c r="O162" s="1">
        <v>0.25</v>
      </c>
      <c r="P162" s="1">
        <f t="shared" si="83"/>
        <v>0.3736098239110287</v>
      </c>
      <c r="Q162" s="1">
        <f t="shared" si="84"/>
        <v>2.2614083503961528</v>
      </c>
      <c r="R162" s="1">
        <f t="shared" si="85"/>
        <v>746.124869601108</v>
      </c>
      <c r="S162" s="1">
        <f t="shared" si="86"/>
        <v>607.83439770374105</v>
      </c>
      <c r="T162" s="1">
        <f t="shared" si="87"/>
        <v>268.78805642135336</v>
      </c>
      <c r="U162" s="1" t="str">
        <f t="shared" si="88"/>
        <v>sell to the Grid</v>
      </c>
      <c r="W162" s="1">
        <f>(Q162*E162)/1000</f>
        <v>0.74612907112970661</v>
      </c>
      <c r="Y162" s="1">
        <f t="shared" si="71"/>
        <v>0.22077845581395347</v>
      </c>
      <c r="AA162" s="1">
        <f t="shared" si="75"/>
        <v>53.995290888286604</v>
      </c>
      <c r="AD162" s="1">
        <f t="shared" si="76"/>
        <v>0.25</v>
      </c>
      <c r="AF162" s="1">
        <f t="shared" si="77"/>
        <v>322.545667705624</v>
      </c>
      <c r="AG162" s="1">
        <f>AF161</f>
        <v>218.85493316996002</v>
      </c>
      <c r="AH162" s="1">
        <f t="shared" si="81"/>
        <v>494.92037339593958</v>
      </c>
    </row>
    <row r="163" spans="1:34" ht="15">
      <c r="A163" s="1">
        <v>162</v>
      </c>
      <c r="B163" s="1">
        <f t="shared" si="82"/>
        <v>0</v>
      </c>
      <c r="C163" s="1">
        <f t="shared" si="72"/>
        <v>0</v>
      </c>
      <c r="D163" s="1">
        <f t="shared" si="78"/>
        <v>37.913818423450536</v>
      </c>
      <c r="E163">
        <v>344.1</v>
      </c>
      <c r="K163" s="1">
        <f>'Solar Availability and Gener GR'!F163</f>
        <v>1.8790794979079473</v>
      </c>
      <c r="L163" s="1">
        <v>0.66914728682170543</v>
      </c>
      <c r="M163" s="1">
        <f t="shared" si="73"/>
        <v>1.2099322110862418</v>
      </c>
      <c r="N163" s="1" t="str">
        <f t="shared" si="74"/>
        <v>sell the surplus or charge</v>
      </c>
      <c r="O163" s="1">
        <v>0.25</v>
      </c>
      <c r="P163" s="1">
        <f t="shared" si="83"/>
        <v>0.3736098239110287</v>
      </c>
      <c r="Q163" s="1">
        <f t="shared" si="84"/>
        <v>1.6290794979079473</v>
      </c>
      <c r="R163" s="1">
        <f t="shared" si="85"/>
        <v>560.56222659288335</v>
      </c>
      <c r="S163" s="1">
        <f t="shared" si="86"/>
        <v>416.33650632705036</v>
      </c>
      <c r="T163" s="1">
        <f t="shared" si="87"/>
        <v>255.56882350443973</v>
      </c>
      <c r="U163" s="1" t="str">
        <f t="shared" si="88"/>
        <v>sell to the Grid</v>
      </c>
      <c r="W163" s="1">
        <f>(Q163*E163)/1000</f>
        <v>0.56056625523012471</v>
      </c>
      <c r="Y163" s="1">
        <f t="shared" si="71"/>
        <v>0.23025358139534885</v>
      </c>
      <c r="AA163" s="1">
        <f t="shared" si="75"/>
        <v>55.205223099372844</v>
      </c>
      <c r="AD163" s="1">
        <f t="shared" si="76"/>
        <v>0.25</v>
      </c>
      <c r="AF163" s="1">
        <f t="shared" si="77"/>
        <v>306.68258820532765</v>
      </c>
      <c r="AG163" s="1">
        <f t="shared" ref="AG163:AG165" si="89">AF162</f>
        <v>322.545667705624</v>
      </c>
      <c r="AH163" s="1">
        <f t="shared" si="81"/>
        <v>525.45253439826149</v>
      </c>
    </row>
    <row r="164" spans="1:34" ht="15">
      <c r="A164" s="1">
        <v>163</v>
      </c>
      <c r="B164" s="1">
        <f t="shared" si="82"/>
        <v>0</v>
      </c>
      <c r="C164" s="1">
        <f t="shared" si="72"/>
        <v>0</v>
      </c>
      <c r="D164" s="1">
        <f t="shared" si="78"/>
        <v>37.913818423450536</v>
      </c>
      <c r="E164">
        <v>290</v>
      </c>
      <c r="K164" s="1">
        <f>'Solar Availability and Gener GR'!F164</f>
        <v>1.2276017092495295</v>
      </c>
      <c r="L164" s="1">
        <v>0.65627906976744199</v>
      </c>
      <c r="M164" s="1">
        <f t="shared" si="73"/>
        <v>0.5713226394820875</v>
      </c>
      <c r="N164" s="1" t="str">
        <f t="shared" si="74"/>
        <v>sell the surplus or charge</v>
      </c>
      <c r="O164" s="1">
        <v>0.25</v>
      </c>
      <c r="P164" s="1">
        <f t="shared" si="83"/>
        <v>0.38093550673281351</v>
      </c>
      <c r="Q164" s="1">
        <f t="shared" si="84"/>
        <v>0.97760170924952949</v>
      </c>
      <c r="R164" s="1">
        <f t="shared" si="85"/>
        <v>283.49971552181347</v>
      </c>
      <c r="S164" s="1">
        <f t="shared" si="86"/>
        <v>165.68211319240297</v>
      </c>
      <c r="T164" s="1">
        <f t="shared" si="87"/>
        <v>169.48650048783492</v>
      </c>
      <c r="U164" s="1" t="str">
        <f t="shared" si="88"/>
        <v>sell to the Grid</v>
      </c>
      <c r="W164" s="1">
        <f>(Q164*E164)/1000</f>
        <v>0.28350449568236352</v>
      </c>
      <c r="Y164" s="1">
        <f t="shared" si="71"/>
        <v>0.19032093023255817</v>
      </c>
      <c r="AA164" s="1">
        <f t="shared" si="75"/>
        <v>55.776545738854935</v>
      </c>
      <c r="AD164" s="1">
        <f t="shared" si="76"/>
        <v>0.25</v>
      </c>
      <c r="AF164" s="1">
        <f t="shared" si="77"/>
        <v>203.3838005854019</v>
      </c>
      <c r="AG164" s="1">
        <f t="shared" si="89"/>
        <v>306.68258820532765</v>
      </c>
      <c r="AH164" s="1">
        <f t="shared" si="81"/>
        <v>299.81342242659792</v>
      </c>
    </row>
    <row r="165" spans="1:34" ht="15">
      <c r="A165" s="1">
        <v>164</v>
      </c>
      <c r="B165" s="1">
        <f t="shared" si="82"/>
        <v>0</v>
      </c>
      <c r="C165" s="1">
        <f t="shared" si="72"/>
        <v>0</v>
      </c>
      <c r="D165" s="1">
        <f t="shared" si="78"/>
        <v>37.913818423450536</v>
      </c>
      <c r="E165">
        <v>298.2</v>
      </c>
      <c r="K165" s="1">
        <f>'Solar Availability and Gener GR'!F165</f>
        <v>0.48992700080121115</v>
      </c>
      <c r="L165" s="1">
        <v>0.39891472868217059</v>
      </c>
      <c r="M165" s="1">
        <f t="shared" si="73"/>
        <v>9.101227211904056E-2</v>
      </c>
      <c r="N165" s="1" t="str">
        <f t="shared" si="74"/>
        <v>sell the surplus or charge</v>
      </c>
      <c r="O165" s="1">
        <v>0.25</v>
      </c>
      <c r="P165" s="1">
        <f t="shared" si="83"/>
        <v>0.62670034978624167</v>
      </c>
      <c r="Q165" s="1">
        <f t="shared" si="84"/>
        <v>0.23992700080121115</v>
      </c>
      <c r="R165" s="1">
        <f t="shared" si="85"/>
        <v>71.541582920363368</v>
      </c>
      <c r="S165" s="1">
        <f t="shared" si="86"/>
        <v>27.136777799485944</v>
      </c>
      <c r="T165" s="1">
        <f t="shared" si="87"/>
        <v>113.15537207304413</v>
      </c>
      <c r="U165" s="1" t="str">
        <f t="shared" si="88"/>
        <v>sell to the Grid</v>
      </c>
      <c r="W165" s="1">
        <f>(Q165*E165)/1000</f>
        <v>7.1546231638921154E-2</v>
      </c>
      <c r="Y165" s="1">
        <f t="shared" si="71"/>
        <v>0.11895637209302326</v>
      </c>
      <c r="AA165" s="1">
        <f t="shared" si="75"/>
        <v>55.867558010973973</v>
      </c>
      <c r="AD165" s="1">
        <f t="shared" si="76"/>
        <v>0.25</v>
      </c>
      <c r="AF165" s="1">
        <f t="shared" si="77"/>
        <v>135.78644648765297</v>
      </c>
      <c r="AG165" s="1">
        <f t="shared" si="89"/>
        <v>203.3838005854019</v>
      </c>
      <c r="AH165" s="1">
        <f t="shared" si="81"/>
        <v>48.797265286007089</v>
      </c>
    </row>
    <row r="166" spans="1:34" ht="15">
      <c r="A166" s="1">
        <v>165</v>
      </c>
      <c r="B166" s="1">
        <f t="shared" si="82"/>
        <v>0</v>
      </c>
      <c r="C166" s="1">
        <f t="shared" si="72"/>
        <v>0</v>
      </c>
      <c r="D166" s="1">
        <f t="shared" si="78"/>
        <v>37.913818423450536</v>
      </c>
      <c r="E166">
        <v>263</v>
      </c>
      <c r="K166" s="1">
        <f>'Solar Availability and Gener GR'!F166</f>
        <v>6.8263153209294117E-2</v>
      </c>
      <c r="L166" s="1">
        <v>0.39891472868217059</v>
      </c>
      <c r="M166" s="1">
        <f t="shared" si="73"/>
        <v>-0.33065157547287649</v>
      </c>
      <c r="N166" s="1" t="str">
        <f t="shared" si="74"/>
        <v>Buy from Grid</v>
      </c>
      <c r="V166" s="1" t="str">
        <f t="shared" ref="V166:V177" si="90">IF(D166+M166&gt;0,"discharge","buy from the Grid")</f>
        <v>discharge</v>
      </c>
      <c r="Y166" s="1">
        <f t="shared" si="71"/>
        <v>0.10491457364341086</v>
      </c>
      <c r="AA166" s="1">
        <f t="shared" si="75"/>
        <v>55.536906435501095</v>
      </c>
      <c r="AD166" s="1">
        <f t="shared" si="76"/>
        <v>0</v>
      </c>
      <c r="AF166" s="1">
        <f t="shared" si="77"/>
        <v>0</v>
      </c>
      <c r="AH166" s="1">
        <f t="shared" si="81"/>
        <v>0</v>
      </c>
    </row>
    <row r="167" spans="1:34" ht="15">
      <c r="A167" s="1">
        <v>166</v>
      </c>
      <c r="B167" s="1">
        <f t="shared" si="82"/>
        <v>0</v>
      </c>
      <c r="C167" s="1">
        <f t="shared" si="72"/>
        <v>-0.39891472868217059</v>
      </c>
      <c r="D167" s="1">
        <f t="shared" si="78"/>
        <v>37.415175012597821</v>
      </c>
      <c r="E167">
        <v>210</v>
      </c>
      <c r="K167" s="1">
        <f>'Solar Availability and Gener GR'!F167</f>
        <v>0</v>
      </c>
      <c r="L167" s="1">
        <v>0.39891472868217059</v>
      </c>
      <c r="M167" s="1">
        <f t="shared" si="73"/>
        <v>-0.39891472868217059</v>
      </c>
      <c r="N167" s="1" t="str">
        <f t="shared" si="74"/>
        <v>Buy from Grid</v>
      </c>
      <c r="V167" s="1" t="str">
        <f t="shared" si="90"/>
        <v>discharge</v>
      </c>
      <c r="Y167" s="1">
        <f t="shared" si="71"/>
        <v>8.377209302325582E-2</v>
      </c>
      <c r="AA167" s="1">
        <f t="shared" si="75"/>
        <v>55.137991706818923</v>
      </c>
      <c r="AD167" s="1">
        <f t="shared" si="76"/>
        <v>0</v>
      </c>
      <c r="AF167" s="1">
        <f t="shared" si="77"/>
        <v>0</v>
      </c>
      <c r="AH167" s="1">
        <f t="shared" si="81"/>
        <v>0</v>
      </c>
    </row>
    <row r="168" spans="1:34" ht="15">
      <c r="A168" s="1">
        <v>167</v>
      </c>
      <c r="B168" s="1">
        <f t="shared" si="82"/>
        <v>0</v>
      </c>
      <c r="C168" s="1">
        <f t="shared" si="72"/>
        <v>-0.29596899224806206</v>
      </c>
      <c r="D168" s="1">
        <f t="shared" si="78"/>
        <v>37.045213772287745</v>
      </c>
      <c r="E168">
        <v>183.59</v>
      </c>
      <c r="K168" s="1">
        <f>'Solar Availability and Gener GR'!F168</f>
        <v>0</v>
      </c>
      <c r="L168" s="1">
        <v>0.29596899224806206</v>
      </c>
      <c r="M168" s="1">
        <f t="shared" si="73"/>
        <v>-0.29596899224806206</v>
      </c>
      <c r="N168" s="1" t="str">
        <f t="shared" si="74"/>
        <v>Buy from Grid</v>
      </c>
      <c r="V168" s="1" t="str">
        <f t="shared" si="90"/>
        <v>discharge</v>
      </c>
      <c r="Y168" s="1">
        <f t="shared" si="71"/>
        <v>5.4336947286821709E-2</v>
      </c>
      <c r="AA168" s="1">
        <f t="shared" si="75"/>
        <v>54.842022714570859</v>
      </c>
      <c r="AD168" s="1">
        <f t="shared" si="76"/>
        <v>0</v>
      </c>
      <c r="AF168" s="1">
        <f t="shared" si="77"/>
        <v>0</v>
      </c>
      <c r="AH168" s="1">
        <f t="shared" si="81"/>
        <v>0</v>
      </c>
    </row>
    <row r="169" spans="1:34" ht="15">
      <c r="A169" s="1">
        <v>168</v>
      </c>
      <c r="B169" s="1">
        <f t="shared" si="82"/>
        <v>0</v>
      </c>
      <c r="C169" s="1">
        <f t="shared" si="72"/>
        <v>-0.29596899224806206</v>
      </c>
      <c r="D169" s="1">
        <f t="shared" si="78"/>
        <v>36.675252531977669</v>
      </c>
      <c r="E169">
        <v>210</v>
      </c>
      <c r="K169" s="1">
        <f>'Solar Availability and Gener GR'!F169</f>
        <v>0</v>
      </c>
      <c r="L169" s="1">
        <v>0.29596899224806206</v>
      </c>
      <c r="M169" s="1">
        <f t="shared" si="73"/>
        <v>-0.29596899224806206</v>
      </c>
      <c r="N169" s="1" t="str">
        <f t="shared" si="74"/>
        <v>Buy from Grid</v>
      </c>
      <c r="V169" s="1" t="str">
        <f t="shared" si="90"/>
        <v>discharge</v>
      </c>
      <c r="Y169" s="1">
        <f t="shared" si="71"/>
        <v>6.215348837209303E-2</v>
      </c>
      <c r="AA169" s="1">
        <f t="shared" si="75"/>
        <v>54.546053722322796</v>
      </c>
      <c r="AD169" s="1">
        <f t="shared" si="76"/>
        <v>0</v>
      </c>
      <c r="AF169" s="1">
        <f t="shared" si="77"/>
        <v>0</v>
      </c>
      <c r="AH169" s="1">
        <f t="shared" si="81"/>
        <v>0</v>
      </c>
    </row>
    <row r="170" spans="1:34" ht="15">
      <c r="A170" s="1">
        <v>169</v>
      </c>
      <c r="B170" s="1">
        <f t="shared" si="82"/>
        <v>0</v>
      </c>
      <c r="C170" s="1">
        <f t="shared" si="72"/>
        <v>-0.29596899224806206</v>
      </c>
      <c r="D170" s="1">
        <f t="shared" si="78"/>
        <v>36.305291291667594</v>
      </c>
      <c r="E170">
        <v>165.01</v>
      </c>
      <c r="K170" s="1">
        <f>'Solar Availability and Gener GR'!F170</f>
        <v>0</v>
      </c>
      <c r="L170" s="1">
        <v>0.29596899224806206</v>
      </c>
      <c r="M170" s="1">
        <f t="shared" si="73"/>
        <v>-0.29596899224806206</v>
      </c>
      <c r="N170" s="1" t="str">
        <f t="shared" si="74"/>
        <v>Buy from Grid</v>
      </c>
      <c r="V170" s="1" t="str">
        <f t="shared" si="90"/>
        <v>discharge</v>
      </c>
      <c r="Y170" s="1">
        <f t="shared" si="71"/>
        <v>4.8837843410852719E-2</v>
      </c>
      <c r="AA170" s="1">
        <f t="shared" si="75"/>
        <v>54.250084730074732</v>
      </c>
      <c r="AD170" s="1">
        <f t="shared" si="76"/>
        <v>0</v>
      </c>
      <c r="AF170" s="1">
        <f t="shared" si="77"/>
        <v>0</v>
      </c>
      <c r="AH170" s="1">
        <f t="shared" si="81"/>
        <v>0</v>
      </c>
    </row>
    <row r="171" spans="1:34" ht="15">
      <c r="A171" s="1">
        <v>170</v>
      </c>
      <c r="B171" s="1">
        <f t="shared" si="82"/>
        <v>0</v>
      </c>
      <c r="C171" s="1">
        <f t="shared" si="72"/>
        <v>-0.29596899224806206</v>
      </c>
      <c r="D171" s="1">
        <f t="shared" si="78"/>
        <v>35.935330051357518</v>
      </c>
      <c r="E171">
        <v>155.72999999999999</v>
      </c>
      <c r="K171" s="1">
        <f>'Solar Availability and Gener GR'!F171</f>
        <v>0</v>
      </c>
      <c r="L171" s="1">
        <v>0.29596899224806206</v>
      </c>
      <c r="M171" s="1">
        <f t="shared" si="73"/>
        <v>-0.29596899224806206</v>
      </c>
      <c r="N171" s="1" t="str">
        <f t="shared" si="74"/>
        <v>Buy from Grid</v>
      </c>
      <c r="V171" s="1" t="str">
        <f t="shared" si="90"/>
        <v>discharge</v>
      </c>
      <c r="Y171" s="1">
        <f t="shared" si="71"/>
        <v>4.6091251162790697E-2</v>
      </c>
      <c r="AA171" s="1">
        <f t="shared" si="75"/>
        <v>53.954115737826669</v>
      </c>
      <c r="AD171" s="1">
        <f t="shared" si="76"/>
        <v>0</v>
      </c>
      <c r="AF171" s="1">
        <f t="shared" si="77"/>
        <v>0</v>
      </c>
      <c r="AH171" s="1">
        <f t="shared" si="81"/>
        <v>0</v>
      </c>
    </row>
    <row r="172" spans="1:34" ht="15">
      <c r="A172" s="1">
        <v>171</v>
      </c>
      <c r="B172" s="1">
        <f t="shared" si="82"/>
        <v>0</v>
      </c>
      <c r="C172" s="1">
        <f t="shared" si="72"/>
        <v>-0.39891472868217059</v>
      </c>
      <c r="D172" s="1">
        <f t="shared" si="78"/>
        <v>35.436686640504803</v>
      </c>
      <c r="E172">
        <v>150</v>
      </c>
      <c r="K172" s="1">
        <f>'Solar Availability and Gener GR'!F172</f>
        <v>0</v>
      </c>
      <c r="L172" s="1">
        <v>0.39891472868217059</v>
      </c>
      <c r="M172" s="1">
        <f t="shared" si="73"/>
        <v>-0.39891472868217059</v>
      </c>
      <c r="N172" s="1" t="str">
        <f t="shared" si="74"/>
        <v>Buy from Grid</v>
      </c>
      <c r="V172" s="1" t="str">
        <f t="shared" si="90"/>
        <v>discharge</v>
      </c>
      <c r="Y172" s="1">
        <f t="shared" si="71"/>
        <v>5.983720930232559E-2</v>
      </c>
      <c r="AA172" s="1">
        <f t="shared" si="75"/>
        <v>53.555201009144497</v>
      </c>
      <c r="AD172" s="1">
        <f t="shared" si="76"/>
        <v>0</v>
      </c>
      <c r="AF172" s="1">
        <f t="shared" si="77"/>
        <v>0</v>
      </c>
      <c r="AH172" s="1">
        <f t="shared" si="81"/>
        <v>0</v>
      </c>
    </row>
    <row r="173" spans="1:34" ht="15">
      <c r="A173" s="1">
        <v>172</v>
      </c>
      <c r="B173" s="1">
        <f t="shared" si="82"/>
        <v>0</v>
      </c>
      <c r="C173" s="1">
        <f t="shared" si="72"/>
        <v>-0.66914728682170543</v>
      </c>
      <c r="D173" s="1">
        <f t="shared" si="78"/>
        <v>34.600252531977674</v>
      </c>
      <c r="E173">
        <v>179.51</v>
      </c>
      <c r="K173" s="1">
        <f>'Solar Availability and Gener GR'!F173</f>
        <v>0</v>
      </c>
      <c r="L173" s="1">
        <v>0.66914728682170543</v>
      </c>
      <c r="M173" s="1">
        <f t="shared" si="73"/>
        <v>-0.66914728682170543</v>
      </c>
      <c r="N173" s="1" t="str">
        <f t="shared" si="74"/>
        <v>Buy from Grid</v>
      </c>
      <c r="V173" s="1" t="str">
        <f t="shared" si="90"/>
        <v>discharge</v>
      </c>
      <c r="Y173" s="1">
        <f t="shared" si="71"/>
        <v>0.12011862945736433</v>
      </c>
      <c r="AA173" s="1">
        <f t="shared" si="75"/>
        <v>52.886053722322792</v>
      </c>
      <c r="AD173" s="1">
        <f t="shared" si="76"/>
        <v>0</v>
      </c>
      <c r="AF173" s="1">
        <f t="shared" si="77"/>
        <v>0</v>
      </c>
      <c r="AH173" s="1">
        <f t="shared" si="81"/>
        <v>0</v>
      </c>
    </row>
    <row r="174" spans="1:34" ht="15">
      <c r="A174" s="1">
        <v>173</v>
      </c>
      <c r="B174" s="1">
        <f t="shared" si="82"/>
        <v>0</v>
      </c>
      <c r="C174" s="1">
        <f t="shared" si="72"/>
        <v>-0.66914728682170543</v>
      </c>
      <c r="D174" s="1">
        <f t="shared" si="78"/>
        <v>33.763818423450545</v>
      </c>
      <c r="E174">
        <v>216.28</v>
      </c>
      <c r="K174" s="1">
        <f>'Solar Availability and Gener GR'!F174</f>
        <v>0</v>
      </c>
      <c r="L174" s="1">
        <v>0.66914728682170543</v>
      </c>
      <c r="M174" s="1">
        <f t="shared" si="73"/>
        <v>-0.66914728682170543</v>
      </c>
      <c r="N174" s="1" t="str">
        <f t="shared" si="74"/>
        <v>Buy from Grid</v>
      </c>
      <c r="V174" s="1" t="str">
        <f t="shared" si="90"/>
        <v>discharge</v>
      </c>
      <c r="Y174" s="1">
        <f t="shared" si="71"/>
        <v>0.14472317519379846</v>
      </c>
      <c r="AA174" s="1">
        <f t="shared" si="75"/>
        <v>52.216906435501087</v>
      </c>
      <c r="AD174" s="1">
        <f t="shared" si="76"/>
        <v>0</v>
      </c>
      <c r="AF174" s="1">
        <f t="shared" si="77"/>
        <v>0</v>
      </c>
      <c r="AH174" s="1">
        <f t="shared" si="81"/>
        <v>0</v>
      </c>
    </row>
    <row r="175" spans="1:34" ht="15">
      <c r="A175" s="1">
        <v>174</v>
      </c>
      <c r="B175" s="1">
        <f t="shared" si="82"/>
        <v>0</v>
      </c>
      <c r="C175" s="1">
        <f t="shared" si="72"/>
        <v>-0.65627906976744199</v>
      </c>
      <c r="D175" s="1">
        <f t="shared" si="78"/>
        <v>32.943469586241243</v>
      </c>
      <c r="E175">
        <v>216.3</v>
      </c>
      <c r="K175" s="1">
        <f>'Solar Availability and Gener GR'!F175</f>
        <v>0</v>
      </c>
      <c r="L175" s="1">
        <v>0.65627906976744199</v>
      </c>
      <c r="M175" s="1">
        <f t="shared" si="73"/>
        <v>-0.65627906976744199</v>
      </c>
      <c r="N175" s="1" t="str">
        <f t="shared" si="74"/>
        <v>Buy from Grid</v>
      </c>
      <c r="V175" s="1" t="str">
        <f t="shared" si="90"/>
        <v>discharge</v>
      </c>
      <c r="Y175" s="1">
        <f t="shared" si="71"/>
        <v>0.14195316279069772</v>
      </c>
      <c r="AA175" s="1">
        <f t="shared" si="75"/>
        <v>51.560627365733644</v>
      </c>
      <c r="AD175" s="1">
        <f t="shared" si="76"/>
        <v>0</v>
      </c>
      <c r="AF175" s="1">
        <f t="shared" si="77"/>
        <v>0</v>
      </c>
      <c r="AH175" s="1">
        <f t="shared" si="81"/>
        <v>0</v>
      </c>
    </row>
    <row r="176" spans="1:34" ht="15">
      <c r="A176" s="1">
        <v>175</v>
      </c>
      <c r="B176" s="1">
        <f t="shared" si="82"/>
        <v>0</v>
      </c>
      <c r="C176" s="1">
        <f t="shared" si="72"/>
        <v>-0.38230295978695067</v>
      </c>
      <c r="D176" s="1">
        <f t="shared" si="78"/>
        <v>32.465590886507556</v>
      </c>
      <c r="E176">
        <v>270.76</v>
      </c>
      <c r="K176" s="1">
        <f>'Solar Availability and Gener GR'!F176</f>
        <v>1.6611768895219918E-2</v>
      </c>
      <c r="L176" s="1">
        <v>0.39891472868217059</v>
      </c>
      <c r="M176" s="1">
        <f t="shared" si="73"/>
        <v>-0.38230295978695067</v>
      </c>
      <c r="N176" s="1" t="str">
        <f t="shared" si="74"/>
        <v>Buy from Grid</v>
      </c>
      <c r="V176" s="1" t="str">
        <f t="shared" si="90"/>
        <v>discharge</v>
      </c>
      <c r="Y176" s="1">
        <f t="shared" si="71"/>
        <v>0.10801015193798451</v>
      </c>
      <c r="AA176" s="1">
        <f t="shared" si="75"/>
        <v>51.178324405946697</v>
      </c>
      <c r="AD176" s="1">
        <f t="shared" si="76"/>
        <v>0</v>
      </c>
      <c r="AF176" s="1">
        <f t="shared" si="77"/>
        <v>0</v>
      </c>
      <c r="AH176" s="1">
        <f t="shared" si="81"/>
        <v>0</v>
      </c>
    </row>
    <row r="177" spans="1:34" ht="15">
      <c r="A177" s="1">
        <v>176</v>
      </c>
      <c r="B177" s="1">
        <f t="shared" si="82"/>
        <v>0</v>
      </c>
      <c r="C177" s="1">
        <f t="shared" si="72"/>
        <v>-0.21033643259029858</v>
      </c>
      <c r="D177" s="1">
        <f t="shared" si="78"/>
        <v>32.202670345769683</v>
      </c>
      <c r="E177">
        <v>263.67</v>
      </c>
      <c r="K177" s="1">
        <f>'Solar Availability and Gener GR'!F177</f>
        <v>0.18857829609187202</v>
      </c>
      <c r="L177" s="1">
        <v>0.39891472868217059</v>
      </c>
      <c r="M177" s="1">
        <f t="shared" si="73"/>
        <v>-0.21033643259029858</v>
      </c>
      <c r="N177" s="1" t="str">
        <f t="shared" si="74"/>
        <v>Buy from Grid</v>
      </c>
      <c r="V177" s="1" t="str">
        <f t="shared" si="90"/>
        <v>discharge</v>
      </c>
      <c r="Y177" s="1">
        <f t="shared" si="71"/>
        <v>0.10518184651162793</v>
      </c>
      <c r="AA177" s="1">
        <f t="shared" si="75"/>
        <v>50.967987973356401</v>
      </c>
      <c r="AD177" s="1">
        <f t="shared" si="76"/>
        <v>0</v>
      </c>
      <c r="AF177" s="1">
        <f t="shared" si="77"/>
        <v>0</v>
      </c>
      <c r="AH177" s="1">
        <f t="shared" si="81"/>
        <v>0</v>
      </c>
    </row>
    <row r="178" spans="1:34" ht="15">
      <c r="A178" s="1">
        <v>177</v>
      </c>
      <c r="B178" s="1">
        <f t="shared" si="82"/>
        <v>0</v>
      </c>
      <c r="C178" s="1">
        <f t="shared" si="72"/>
        <v>7.6483651091707794E-2</v>
      </c>
      <c r="D178" s="1">
        <f t="shared" si="78"/>
        <v>32.298274909634316</v>
      </c>
      <c r="E178">
        <v>170.5</v>
      </c>
      <c r="K178" s="1">
        <f>'Solar Availability and Gener GR'!F178</f>
        <v>0.47539837977387839</v>
      </c>
      <c r="L178" s="1">
        <v>0.39891472868217059</v>
      </c>
      <c r="M178" s="1">
        <f t="shared" si="73"/>
        <v>7.6483651091707794E-2</v>
      </c>
      <c r="N178" s="1" t="str">
        <f t="shared" si="74"/>
        <v>sell the surplus or charge</v>
      </c>
      <c r="O178" s="1">
        <v>0.25</v>
      </c>
      <c r="P178" s="1">
        <f t="shared" ref="P178:P189" si="91">0.25/L178</f>
        <v>0.62670034978624167</v>
      </c>
      <c r="Q178" s="1">
        <f t="shared" ref="Q178:Q189" si="92">K178-P178*L178</f>
        <v>0.22539837977387839</v>
      </c>
      <c r="R178" s="1">
        <f t="shared" ref="R178:R189" si="93">((1/(E178+0.01))*LN(0.25))+(E178*(K178-0.25))</f>
        <v>38.422293469579394</v>
      </c>
      <c r="S178" s="1">
        <f t="shared" ref="S178:S189" si="94">((1/(E178+0.01))*LN(L178))+(E178*(K178-L178))</f>
        <v>13.035072753365325</v>
      </c>
      <c r="T178" s="1">
        <f t="shared" ref="T178:T189" si="95">(S178+((S178^2)-4*(K178-L178*P178)*LN(L178*P178))^(0.5))/(2*(K178-L178*P178))</f>
        <v>57.93741823254809</v>
      </c>
      <c r="U178" s="1" t="str">
        <f t="shared" ref="U178:U189" si="96">IF(E178&gt;=T178*1.2,"sell to the Grid","charge")</f>
        <v>sell to the Grid</v>
      </c>
      <c r="W178" s="1">
        <f>(Q178*E178)/1000</f>
        <v>3.8430423751446265E-2</v>
      </c>
      <c r="Y178" s="1">
        <f t="shared" si="71"/>
        <v>6.801496124031009E-2</v>
      </c>
      <c r="AA178" s="1">
        <f t="shared" si="75"/>
        <v>51.044471624448107</v>
      </c>
      <c r="AD178" s="1">
        <f t="shared" si="76"/>
        <v>0.25</v>
      </c>
      <c r="AF178" s="1">
        <f t="shared" si="77"/>
        <v>69.524901879057708</v>
      </c>
      <c r="AG178" s="1">
        <f>E178</f>
        <v>170.5</v>
      </c>
      <c r="AH178" s="1">
        <f t="shared" si="81"/>
        <v>38.430423751446263</v>
      </c>
    </row>
    <row r="179" spans="1:34" ht="15">
      <c r="A179" s="1">
        <v>178</v>
      </c>
      <c r="B179" s="1">
        <f t="shared" si="82"/>
        <v>0</v>
      </c>
      <c r="C179" s="1">
        <f t="shared" si="72"/>
        <v>0</v>
      </c>
      <c r="D179" s="1">
        <f t="shared" si="78"/>
        <v>32.298274909634316</v>
      </c>
      <c r="E179">
        <v>170.14</v>
      </c>
      <c r="K179" s="1">
        <f>'Solar Availability and Gener GR'!F179</f>
        <v>0.86753761239205807</v>
      </c>
      <c r="L179" s="1">
        <v>0.39891472868217059</v>
      </c>
      <c r="M179" s="1">
        <f t="shared" si="73"/>
        <v>0.46862288370988747</v>
      </c>
      <c r="N179" s="1" t="str">
        <f t="shared" si="74"/>
        <v>sell the surplus or charge</v>
      </c>
      <c r="O179" s="1">
        <v>0.25</v>
      </c>
      <c r="P179" s="1">
        <f t="shared" si="91"/>
        <v>0.62670034978624167</v>
      </c>
      <c r="Q179" s="1">
        <f t="shared" si="92"/>
        <v>0.61753761239205807</v>
      </c>
      <c r="R179" s="1">
        <f t="shared" si="93"/>
        <v>105.05970188862854</v>
      </c>
      <c r="S179" s="1">
        <f t="shared" si="94"/>
        <v>79.726096273086654</v>
      </c>
      <c r="T179" s="1">
        <f t="shared" si="95"/>
        <v>129.12060917886586</v>
      </c>
      <c r="U179" s="1" t="str">
        <f t="shared" si="96"/>
        <v>sell to the Grid</v>
      </c>
      <c r="W179" s="1">
        <f>(Q179*E179)/1000</f>
        <v>0.10506784937238475</v>
      </c>
      <c r="Y179" s="1">
        <f t="shared" si="71"/>
        <v>6.7871351937984506E-2</v>
      </c>
      <c r="AA179" s="1">
        <f t="shared" si="75"/>
        <v>51.513094508157998</v>
      </c>
      <c r="AD179" s="1">
        <f t="shared" si="76"/>
        <v>0.25</v>
      </c>
      <c r="AF179" s="1">
        <f t="shared" si="77"/>
        <v>154.94473101463902</v>
      </c>
      <c r="AG179" s="1">
        <f>AF178</f>
        <v>69.524901879057708</v>
      </c>
      <c r="AH179" s="1">
        <f t="shared" si="81"/>
        <v>42.934241908185406</v>
      </c>
    </row>
    <row r="180" spans="1:34" ht="15">
      <c r="A180" s="1">
        <v>179</v>
      </c>
      <c r="B180" s="1">
        <f t="shared" si="82"/>
        <v>1.5937193982017253</v>
      </c>
      <c r="C180" s="1">
        <f t="shared" si="72"/>
        <v>0</v>
      </c>
      <c r="D180" s="1">
        <f t="shared" si="78"/>
        <v>33.573250428195699</v>
      </c>
      <c r="E180">
        <v>165</v>
      </c>
      <c r="K180" s="1">
        <f>'Solar Availability and Gener GR'!F180</f>
        <v>1.8437193982017253</v>
      </c>
      <c r="L180" s="1">
        <v>0.39891472868217059</v>
      </c>
      <c r="M180" s="1">
        <f t="shared" si="73"/>
        <v>1.4448046695195547</v>
      </c>
      <c r="N180" s="1" t="str">
        <f t="shared" si="74"/>
        <v>sell the surplus or charge</v>
      </c>
      <c r="O180" s="1">
        <v>0.25</v>
      </c>
      <c r="P180" s="1">
        <f t="shared" si="91"/>
        <v>0.62670034978624167</v>
      </c>
      <c r="Q180" s="1">
        <f t="shared" si="92"/>
        <v>1.5937193982017253</v>
      </c>
      <c r="R180" s="1">
        <f t="shared" si="93"/>
        <v>262.95529942844604</v>
      </c>
      <c r="S180" s="1">
        <f t="shared" si="94"/>
        <v>238.38720106525105</v>
      </c>
      <c r="T180" s="1">
        <f t="shared" si="95"/>
        <v>149.58497018914872</v>
      </c>
      <c r="U180" s="1" t="str">
        <f t="shared" si="96"/>
        <v>charge</v>
      </c>
      <c r="Y180" s="1">
        <f t="shared" si="71"/>
        <v>6.5820930232558153E-2</v>
      </c>
      <c r="AA180" s="1">
        <f t="shared" si="75"/>
        <v>52.957899177677554</v>
      </c>
      <c r="AD180" s="1">
        <f t="shared" si="76"/>
        <v>0.25</v>
      </c>
      <c r="AF180" s="1">
        <f t="shared" si="77"/>
        <v>179.50196422697846</v>
      </c>
      <c r="AH180" s="1">
        <f t="shared" si="81"/>
        <v>0</v>
      </c>
    </row>
    <row r="181" spans="1:34" ht="15">
      <c r="A181" s="1">
        <v>180</v>
      </c>
      <c r="B181" s="1">
        <f t="shared" si="82"/>
        <v>2.4645820350752228</v>
      </c>
      <c r="C181" s="1">
        <f t="shared" si="72"/>
        <v>0</v>
      </c>
      <c r="D181" s="1">
        <f t="shared" si="78"/>
        <v>35.544916056255879</v>
      </c>
      <c r="E181">
        <v>150</v>
      </c>
      <c r="K181" s="1">
        <f>'Solar Availability and Gener GR'!F181</f>
        <v>2.7145820350752228</v>
      </c>
      <c r="L181" s="1">
        <v>0.39891472868217059</v>
      </c>
      <c r="M181" s="1">
        <f t="shared" si="73"/>
        <v>2.3156673063930522</v>
      </c>
      <c r="N181" s="1" t="str">
        <f t="shared" si="74"/>
        <v>sell the surplus or charge</v>
      </c>
      <c r="O181" s="1">
        <v>0.25</v>
      </c>
      <c r="P181" s="1">
        <f t="shared" si="91"/>
        <v>0.62670034978624167</v>
      </c>
      <c r="Q181" s="1">
        <f t="shared" si="92"/>
        <v>2.4645820350752228</v>
      </c>
      <c r="R181" s="1">
        <f t="shared" si="93"/>
        <v>369.67806391496572</v>
      </c>
      <c r="S181" s="1">
        <f t="shared" si="94"/>
        <v>347.34396965006169</v>
      </c>
      <c r="T181" s="1">
        <f t="shared" si="95"/>
        <v>140.93822031130861</v>
      </c>
      <c r="U181" s="1" t="str">
        <f t="shared" si="96"/>
        <v>charge</v>
      </c>
      <c r="Y181" s="1">
        <f t="shared" si="71"/>
        <v>5.983720930232559E-2</v>
      </c>
      <c r="AA181" s="1">
        <f t="shared" si="75"/>
        <v>55.273566484070606</v>
      </c>
      <c r="AD181" s="1">
        <f t="shared" si="76"/>
        <v>0.25</v>
      </c>
      <c r="AF181" s="1">
        <f t="shared" si="77"/>
        <v>169.12586437357032</v>
      </c>
      <c r="AH181" s="1">
        <f t="shared" si="81"/>
        <v>0</v>
      </c>
    </row>
    <row r="182" spans="1:34" ht="15">
      <c r="A182" s="1">
        <v>181</v>
      </c>
      <c r="B182" s="1">
        <f t="shared" si="82"/>
        <v>2.7705377014154697</v>
      </c>
      <c r="C182" s="1">
        <f t="shared" si="72"/>
        <v>0</v>
      </c>
      <c r="D182" s="1">
        <f t="shared" si="78"/>
        <v>37.761346217388251</v>
      </c>
      <c r="E182">
        <v>160</v>
      </c>
      <c r="K182" s="1">
        <f>'Solar Availability and Gener GR'!F182</f>
        <v>3.0205377014154697</v>
      </c>
      <c r="L182" s="1">
        <v>0.39891472868217059</v>
      </c>
      <c r="M182" s="1">
        <f t="shared" si="73"/>
        <v>2.6216229727332991</v>
      </c>
      <c r="N182" s="1" t="str">
        <f t="shared" si="74"/>
        <v>sell the surplus or charge</v>
      </c>
      <c r="O182" s="1">
        <v>0.25</v>
      </c>
      <c r="P182" s="1">
        <f t="shared" si="91"/>
        <v>0.62670034978624167</v>
      </c>
      <c r="Q182" s="1">
        <f t="shared" si="92"/>
        <v>2.7705377014154697</v>
      </c>
      <c r="R182" s="1">
        <f t="shared" si="93"/>
        <v>443.27736842820559</v>
      </c>
      <c r="S182" s="1">
        <f t="shared" si="94"/>
        <v>419.45393219880833</v>
      </c>
      <c r="T182" s="1">
        <f t="shared" si="95"/>
        <v>151.40132848792646</v>
      </c>
      <c r="U182" s="1" t="str">
        <f t="shared" si="96"/>
        <v>charge</v>
      </c>
      <c r="Y182" s="1">
        <f t="shared" si="71"/>
        <v>6.3826356589147301E-2</v>
      </c>
      <c r="AA182" s="1">
        <f t="shared" si="75"/>
        <v>57.895189456803905</v>
      </c>
      <c r="AD182" s="1">
        <f t="shared" si="76"/>
        <v>0.25</v>
      </c>
      <c r="AF182" s="1">
        <f t="shared" si="77"/>
        <v>181.68159418551176</v>
      </c>
      <c r="AH182" s="1">
        <f t="shared" si="81"/>
        <v>0</v>
      </c>
    </row>
    <row r="183" spans="1:34" ht="15">
      <c r="A183" s="1">
        <v>182</v>
      </c>
      <c r="B183" s="1">
        <f t="shared" si="82"/>
        <v>2.8658417163714054</v>
      </c>
      <c r="C183" s="1">
        <f t="shared" si="72"/>
        <v>0</v>
      </c>
      <c r="D183" s="1">
        <f t="shared" si="78"/>
        <v>40.054019590485375</v>
      </c>
      <c r="E183">
        <v>152.4</v>
      </c>
      <c r="K183" s="1">
        <f>'Solar Availability and Gener GR'!F183</f>
        <v>3.1158417163714054</v>
      </c>
      <c r="L183" s="1">
        <v>0.39891472868217059</v>
      </c>
      <c r="M183" s="1">
        <f t="shared" si="73"/>
        <v>2.7169269876892348</v>
      </c>
      <c r="N183" s="1" t="str">
        <f t="shared" si="74"/>
        <v>sell the surplus or charge</v>
      </c>
      <c r="O183" s="1">
        <v>0.25</v>
      </c>
      <c r="P183" s="1">
        <f t="shared" si="91"/>
        <v>0.62670034978624167</v>
      </c>
      <c r="Q183" s="1">
        <f t="shared" si="92"/>
        <v>2.8658417163714054</v>
      </c>
      <c r="R183" s="1">
        <f t="shared" si="93"/>
        <v>436.7451817521486</v>
      </c>
      <c r="S183" s="1">
        <f t="shared" si="94"/>
        <v>414.05364308591862</v>
      </c>
      <c r="T183" s="1">
        <f t="shared" si="95"/>
        <v>144.4822425580073</v>
      </c>
      <c r="U183" s="1" t="str">
        <f t="shared" si="96"/>
        <v>charge</v>
      </c>
      <c r="Y183" s="1">
        <f t="shared" si="71"/>
        <v>6.0794604651162799E-2</v>
      </c>
      <c r="AA183" s="1">
        <f t="shared" si="75"/>
        <v>60.61211644449314</v>
      </c>
      <c r="AD183" s="1">
        <f t="shared" si="76"/>
        <v>0.25</v>
      </c>
      <c r="AF183" s="1">
        <f t="shared" si="77"/>
        <v>173.37869106960875</v>
      </c>
      <c r="AH183" s="1">
        <f t="shared" si="81"/>
        <v>0</v>
      </c>
    </row>
    <row r="184" spans="1:34" ht="15">
      <c r="A184" s="1">
        <v>183</v>
      </c>
      <c r="B184" s="1">
        <f t="shared" si="82"/>
        <v>2.7601086085640518</v>
      </c>
      <c r="C184" s="1">
        <f t="shared" si="72"/>
        <v>0</v>
      </c>
      <c r="D184" s="1">
        <f t="shared" si="78"/>
        <v>42.262106477336616</v>
      </c>
      <c r="E184">
        <v>165</v>
      </c>
      <c r="K184" s="1">
        <f>'Solar Availability and Gener GR'!F184</f>
        <v>3.0101086085640518</v>
      </c>
      <c r="L184" s="1">
        <v>0.39891472868217059</v>
      </c>
      <c r="M184" s="1">
        <f t="shared" si="73"/>
        <v>2.6111938798818812</v>
      </c>
      <c r="N184" s="1" t="str">
        <f t="shared" si="74"/>
        <v>sell the surplus or charge</v>
      </c>
      <c r="O184" s="1">
        <v>0.25</v>
      </c>
      <c r="P184" s="1">
        <f t="shared" si="91"/>
        <v>0.62670034978624167</v>
      </c>
      <c r="Q184" s="1">
        <f t="shared" si="92"/>
        <v>2.7601086085640518</v>
      </c>
      <c r="R184" s="1">
        <f t="shared" si="93"/>
        <v>455.40951913822994</v>
      </c>
      <c r="S184" s="1">
        <f t="shared" si="94"/>
        <v>430.84142077503492</v>
      </c>
      <c r="T184" s="1">
        <f t="shared" si="95"/>
        <v>156.09903911112409</v>
      </c>
      <c r="U184" s="1" t="str">
        <f t="shared" si="96"/>
        <v>charge</v>
      </c>
      <c r="Y184" s="1">
        <f t="shared" si="71"/>
        <v>6.5820930232558153E-2</v>
      </c>
      <c r="AA184" s="1">
        <f t="shared" si="75"/>
        <v>63.223310324375021</v>
      </c>
      <c r="AD184" s="1">
        <f t="shared" si="76"/>
        <v>0.25</v>
      </c>
      <c r="AF184" s="1">
        <f t="shared" si="77"/>
        <v>187.31884693334891</v>
      </c>
      <c r="AH184" s="1">
        <f t="shared" si="81"/>
        <v>0</v>
      </c>
    </row>
    <row r="185" spans="1:34" ht="15">
      <c r="A185" s="1">
        <v>184</v>
      </c>
      <c r="B185" s="1">
        <f t="shared" si="82"/>
        <v>2.482048428736757</v>
      </c>
      <c r="C185" s="1">
        <f t="shared" si="72"/>
        <v>0</v>
      </c>
      <c r="D185" s="1">
        <f t="shared" si="78"/>
        <v>44.247745220326024</v>
      </c>
      <c r="E185">
        <v>216</v>
      </c>
      <c r="K185" s="1">
        <f>'Solar Availability and Gener GR'!F185</f>
        <v>2.732048428736757</v>
      </c>
      <c r="L185" s="1">
        <v>0.65627906976744199</v>
      </c>
      <c r="M185" s="1">
        <f t="shared" si="73"/>
        <v>2.0757693589693149</v>
      </c>
      <c r="N185" s="1" t="str">
        <f t="shared" si="74"/>
        <v>sell the surplus or charge</v>
      </c>
      <c r="O185" s="1">
        <v>0.25</v>
      </c>
      <c r="P185" s="1">
        <f t="shared" si="91"/>
        <v>0.38093550673281351</v>
      </c>
      <c r="Q185" s="1">
        <f t="shared" si="92"/>
        <v>2.482048428736757</v>
      </c>
      <c r="R185" s="1">
        <f t="shared" si="93"/>
        <v>536.11604287480714</v>
      </c>
      <c r="S185" s="1">
        <f t="shared" si="94"/>
        <v>448.36423177037386</v>
      </c>
      <c r="T185" s="1">
        <f t="shared" si="95"/>
        <v>180.64591354332103</v>
      </c>
      <c r="U185" s="1" t="str">
        <f t="shared" si="96"/>
        <v>charge</v>
      </c>
      <c r="Y185" s="1">
        <f t="shared" si="71"/>
        <v>0.14175627906976745</v>
      </c>
      <c r="AA185" s="1">
        <f t="shared" si="75"/>
        <v>65.299079683344331</v>
      </c>
      <c r="AD185" s="1">
        <f t="shared" si="76"/>
        <v>0.25</v>
      </c>
      <c r="AF185" s="1">
        <f t="shared" si="77"/>
        <v>216.77509625198522</v>
      </c>
      <c r="AH185" s="1">
        <f t="shared" si="81"/>
        <v>0</v>
      </c>
    </row>
    <row r="186" spans="1:34" ht="15">
      <c r="A186" s="1">
        <v>185</v>
      </c>
      <c r="B186" s="1">
        <f t="shared" si="82"/>
        <v>0</v>
      </c>
      <c r="C186" s="1">
        <f t="shared" si="72"/>
        <v>0</v>
      </c>
      <c r="D186" s="1">
        <f t="shared" si="78"/>
        <v>44.247745220326024</v>
      </c>
      <c r="E186">
        <v>244.56</v>
      </c>
      <c r="K186" s="1">
        <f>'Solar Availability and Gener GR'!F186</f>
        <v>2.2528977120982803</v>
      </c>
      <c r="L186" s="1">
        <v>0.66914728682170543</v>
      </c>
      <c r="M186" s="1">
        <f t="shared" si="73"/>
        <v>1.5837504252765748</v>
      </c>
      <c r="N186" s="1" t="str">
        <f t="shared" si="74"/>
        <v>sell the surplus or charge</v>
      </c>
      <c r="O186" s="1">
        <v>0.25</v>
      </c>
      <c r="P186" s="1">
        <f t="shared" si="91"/>
        <v>0.3736098239110287</v>
      </c>
      <c r="Q186" s="1">
        <f t="shared" si="92"/>
        <v>2.0028977120982803</v>
      </c>
      <c r="R186" s="1">
        <f t="shared" si="93"/>
        <v>489.82299617799214</v>
      </c>
      <c r="S186" s="1">
        <f t="shared" si="94"/>
        <v>387.32036132222169</v>
      </c>
      <c r="T186" s="1">
        <f t="shared" si="95"/>
        <v>193.38358000390465</v>
      </c>
      <c r="U186" s="1" t="str">
        <f t="shared" si="96"/>
        <v>sell to the Grid</v>
      </c>
      <c r="W186" s="1">
        <f>(Q186*E186)/1000</f>
        <v>0.4898286644707554</v>
      </c>
      <c r="Y186" s="1">
        <f t="shared" si="71"/>
        <v>0.16364666046511628</v>
      </c>
      <c r="AA186" s="1">
        <f t="shared" si="75"/>
        <v>66.882830108620908</v>
      </c>
      <c r="AD186" s="1">
        <f t="shared" si="76"/>
        <v>0.25</v>
      </c>
      <c r="AF186" s="1">
        <f t="shared" si="77"/>
        <v>232.06029600468557</v>
      </c>
      <c r="AG186" s="1">
        <f>AF185</f>
        <v>216.77509625198522</v>
      </c>
      <c r="AH186" s="1">
        <f t="shared" si="81"/>
        <v>434.17834432298571</v>
      </c>
    </row>
    <row r="187" spans="1:34" ht="15">
      <c r="A187" s="1">
        <v>186</v>
      </c>
      <c r="B187" s="1">
        <f t="shared" si="82"/>
        <v>0</v>
      </c>
      <c r="C187" s="1">
        <f t="shared" si="72"/>
        <v>0</v>
      </c>
      <c r="D187" s="1">
        <f t="shared" si="78"/>
        <v>44.247745220326024</v>
      </c>
      <c r="E187">
        <v>328.16</v>
      </c>
      <c r="K187" s="1">
        <f>'Solar Availability and Gener GR'!F187</f>
        <v>1.6588800854624735</v>
      </c>
      <c r="L187" s="1">
        <v>0.65627906976744199</v>
      </c>
      <c r="M187" s="1">
        <f t="shared" si="73"/>
        <v>1.0026010156950314</v>
      </c>
      <c r="N187" s="1" t="str">
        <f t="shared" si="74"/>
        <v>sell the surplus or charge</v>
      </c>
      <c r="O187" s="1">
        <v>0.25</v>
      </c>
      <c r="P187" s="1">
        <f t="shared" si="91"/>
        <v>0.38093550673281351</v>
      </c>
      <c r="Q187" s="1">
        <f t="shared" si="92"/>
        <v>1.4088800854624735</v>
      </c>
      <c r="R187" s="1">
        <f t="shared" si="93"/>
        <v>462.33386452759981</v>
      </c>
      <c r="S187" s="1">
        <f t="shared" si="94"/>
        <v>329.01226592330636</v>
      </c>
      <c r="T187" s="1">
        <f t="shared" si="95"/>
        <v>233.53172887633448</v>
      </c>
      <c r="U187" s="1" t="str">
        <f t="shared" si="96"/>
        <v>sell to the Grid</v>
      </c>
      <c r="W187" s="1">
        <f>(Q187*E187)/1000</f>
        <v>0.46233808884536537</v>
      </c>
      <c r="Y187" s="1">
        <f t="shared" si="71"/>
        <v>0.2153645395348838</v>
      </c>
      <c r="AA187" s="1">
        <f t="shared" si="75"/>
        <v>67.885431124315943</v>
      </c>
      <c r="AD187" s="1">
        <f t="shared" si="76"/>
        <v>0.25</v>
      </c>
      <c r="AF187" s="1">
        <f t="shared" si="77"/>
        <v>280.23807465160138</v>
      </c>
      <c r="AG187" s="1">
        <f t="shared" ref="AG187:AG189" si="97">AF186</f>
        <v>232.06029600468557</v>
      </c>
      <c r="AH187" s="1">
        <f t="shared" si="81"/>
        <v>326.94512966752831</v>
      </c>
    </row>
    <row r="188" spans="1:34" ht="15">
      <c r="A188" s="1">
        <v>187</v>
      </c>
      <c r="B188" s="1">
        <f t="shared" si="82"/>
        <v>0</v>
      </c>
      <c r="C188" s="1">
        <f t="shared" si="72"/>
        <v>0</v>
      </c>
      <c r="D188" s="1">
        <f t="shared" si="78"/>
        <v>44.247745220326024</v>
      </c>
      <c r="E188">
        <v>293.60000000000002</v>
      </c>
      <c r="K188" s="1">
        <f>'Solar Availability and Gener GR'!F188</f>
        <v>1.6588800854624735</v>
      </c>
      <c r="L188" s="1">
        <v>0.66914728682170543</v>
      </c>
      <c r="M188" s="1">
        <f t="shared" si="73"/>
        <v>0.98973279864076802</v>
      </c>
      <c r="N188" s="1" t="str">
        <f t="shared" si="74"/>
        <v>sell the surplus or charge</v>
      </c>
      <c r="O188" s="1">
        <v>0.25</v>
      </c>
      <c r="P188" s="1">
        <f t="shared" si="91"/>
        <v>0.3736098239110287</v>
      </c>
      <c r="Q188" s="1">
        <f t="shared" si="92"/>
        <v>1.4088800854624735</v>
      </c>
      <c r="R188" s="1">
        <f t="shared" si="93"/>
        <v>413.64247154155873</v>
      </c>
      <c r="S188" s="1">
        <f t="shared" si="94"/>
        <v>290.58418136553354</v>
      </c>
      <c r="T188" s="1">
        <f t="shared" si="95"/>
        <v>206.25666128304661</v>
      </c>
      <c r="U188" s="1" t="str">
        <f t="shared" si="96"/>
        <v>sell to the Grid</v>
      </c>
      <c r="W188" s="1">
        <f>(Q188*E188)/1000</f>
        <v>0.41364719309178222</v>
      </c>
      <c r="Y188" s="1">
        <f t="shared" si="71"/>
        <v>0.19646164341085273</v>
      </c>
      <c r="AA188" s="1">
        <f t="shared" si="75"/>
        <v>68.875163922956716</v>
      </c>
      <c r="AD188" s="1">
        <f t="shared" si="76"/>
        <v>0.25</v>
      </c>
      <c r="AF188" s="1">
        <f t="shared" si="77"/>
        <v>247.50799353965593</v>
      </c>
      <c r="AG188" s="1">
        <f t="shared" si="97"/>
        <v>280.23807465160138</v>
      </c>
      <c r="AH188" s="1">
        <f t="shared" si="81"/>
        <v>394.82184256498715</v>
      </c>
    </row>
    <row r="189" spans="1:34" ht="15">
      <c r="A189" s="1">
        <v>188</v>
      </c>
      <c r="B189" s="1">
        <f t="shared" si="82"/>
        <v>0</v>
      </c>
      <c r="C189" s="1">
        <f t="shared" si="72"/>
        <v>0</v>
      </c>
      <c r="D189" s="1">
        <f t="shared" si="78"/>
        <v>44.247745220326024</v>
      </c>
      <c r="E189">
        <v>341.35</v>
      </c>
      <c r="K189" s="1">
        <f>'Solar Availability and Gener GR'!F189</f>
        <v>0.89248197275883356</v>
      </c>
      <c r="L189" s="1">
        <v>0.39891472868217059</v>
      </c>
      <c r="M189" s="1">
        <f t="shared" si="73"/>
        <v>0.49356724407666297</v>
      </c>
      <c r="N189" s="1" t="str">
        <f t="shared" si="74"/>
        <v>sell the surplus or charge</v>
      </c>
      <c r="O189" s="1">
        <v>0.25</v>
      </c>
      <c r="P189" s="1">
        <f t="shared" si="91"/>
        <v>0.62670034978624167</v>
      </c>
      <c r="Q189" s="1">
        <f t="shared" si="92"/>
        <v>0.64248197275883356</v>
      </c>
      <c r="R189" s="1">
        <f t="shared" si="93"/>
        <v>219.30716030923955</v>
      </c>
      <c r="S189" s="1">
        <f t="shared" si="94"/>
        <v>168.47648657082581</v>
      </c>
      <c r="T189" s="1">
        <f t="shared" si="95"/>
        <v>262.23579828932651</v>
      </c>
      <c r="U189" s="1" t="str">
        <f t="shared" si="96"/>
        <v>sell to the Grid</v>
      </c>
      <c r="W189" s="1">
        <f>(Q189*E189)/1000</f>
        <v>0.21931122140122783</v>
      </c>
      <c r="Y189" s="1">
        <f t="shared" si="71"/>
        <v>0.13616954263565892</v>
      </c>
      <c r="AA189" s="1">
        <f t="shared" si="75"/>
        <v>69.368731167033374</v>
      </c>
      <c r="AD189" s="1">
        <f t="shared" si="76"/>
        <v>0.25</v>
      </c>
      <c r="AF189" s="1">
        <f t="shared" si="77"/>
        <v>314.68295794719182</v>
      </c>
      <c r="AG189" s="1">
        <f t="shared" si="97"/>
        <v>247.50799353965593</v>
      </c>
      <c r="AH189" s="1">
        <f t="shared" si="81"/>
        <v>159.01942396293876</v>
      </c>
    </row>
    <row r="190" spans="1:34" ht="15">
      <c r="A190" s="1">
        <v>189</v>
      </c>
      <c r="B190" s="1">
        <f t="shared" si="82"/>
        <v>0</v>
      </c>
      <c r="C190" s="1">
        <f t="shared" si="72"/>
        <v>0</v>
      </c>
      <c r="D190" s="1">
        <f t="shared" si="78"/>
        <v>44.247745220326024</v>
      </c>
      <c r="E190">
        <v>310.06</v>
      </c>
      <c r="K190" s="1">
        <f>'Solar Availability and Gener GR'!F190</f>
        <v>0.26016647378260532</v>
      </c>
      <c r="L190" s="1">
        <v>0.39891472868217059</v>
      </c>
      <c r="M190" s="1">
        <f t="shared" si="73"/>
        <v>-0.13874825489956527</v>
      </c>
      <c r="N190" s="1" t="str">
        <f t="shared" si="74"/>
        <v>Buy from Grid</v>
      </c>
      <c r="V190" s="1" t="str">
        <f t="shared" ref="V190:V202" si="98">IF(D190+M190&gt;0,"discharge","buy from the Grid")</f>
        <v>discharge</v>
      </c>
      <c r="Y190" s="1">
        <f t="shared" si="71"/>
        <v>0.12368750077519382</v>
      </c>
      <c r="AA190" s="1">
        <f t="shared" si="75"/>
        <v>69.229982912133806</v>
      </c>
      <c r="AD190" s="1">
        <f t="shared" si="76"/>
        <v>0</v>
      </c>
      <c r="AF190" s="1">
        <f t="shared" si="77"/>
        <v>0</v>
      </c>
      <c r="AH190" s="1">
        <f t="shared" si="81"/>
        <v>0</v>
      </c>
    </row>
    <row r="191" spans="1:34" ht="15">
      <c r="A191" s="1">
        <v>190</v>
      </c>
      <c r="B191" s="1">
        <f t="shared" si="82"/>
        <v>0</v>
      </c>
      <c r="C191" s="1">
        <f t="shared" si="72"/>
        <v>-0.38805832344759345</v>
      </c>
      <c r="D191" s="1">
        <f t="shared" si="78"/>
        <v>43.762672316016534</v>
      </c>
      <c r="E191">
        <v>270.10000000000002</v>
      </c>
      <c r="K191" s="1">
        <f>'Solar Availability and Gener GR'!F191</f>
        <v>1.0856405234577132E-2</v>
      </c>
      <c r="L191" s="1">
        <v>0.39891472868217059</v>
      </c>
      <c r="M191" s="1">
        <f t="shared" si="73"/>
        <v>-0.38805832344759345</v>
      </c>
      <c r="N191" s="1" t="str">
        <f t="shared" si="74"/>
        <v>Buy from Grid</v>
      </c>
      <c r="V191" s="1" t="str">
        <f t="shared" si="98"/>
        <v>discharge</v>
      </c>
      <c r="Y191" s="1">
        <f t="shared" si="71"/>
        <v>0.10774686821705429</v>
      </c>
      <c r="AA191" s="1">
        <f t="shared" si="75"/>
        <v>68.841924588686211</v>
      </c>
      <c r="AD191" s="1">
        <f t="shared" si="76"/>
        <v>0</v>
      </c>
      <c r="AF191" s="1">
        <f t="shared" si="77"/>
        <v>0</v>
      </c>
      <c r="AH191" s="1">
        <f t="shared" si="81"/>
        <v>0</v>
      </c>
    </row>
    <row r="192" spans="1:34" ht="15">
      <c r="A192" s="1">
        <v>191</v>
      </c>
      <c r="B192" s="1">
        <f t="shared" si="82"/>
        <v>0</v>
      </c>
      <c r="C192" s="1">
        <f t="shared" si="72"/>
        <v>-0.29596899224806206</v>
      </c>
      <c r="D192" s="1">
        <f t="shared" si="78"/>
        <v>43.392711075706458</v>
      </c>
      <c r="E192">
        <v>264.81</v>
      </c>
      <c r="K192" s="1">
        <f>'Solar Availability and Gener GR'!F192</f>
        <v>0</v>
      </c>
      <c r="L192" s="1">
        <v>0.29596899224806206</v>
      </c>
      <c r="M192" s="1">
        <f t="shared" si="73"/>
        <v>-0.29596899224806206</v>
      </c>
      <c r="N192" s="1" t="str">
        <f t="shared" si="74"/>
        <v>Buy from Grid</v>
      </c>
      <c r="V192" s="1" t="str">
        <f t="shared" si="98"/>
        <v>discharge</v>
      </c>
      <c r="Y192" s="1">
        <f t="shared" si="71"/>
        <v>7.8375548837209305E-2</v>
      </c>
      <c r="AA192" s="1">
        <f t="shared" si="75"/>
        <v>68.545955596438148</v>
      </c>
      <c r="AD192" s="1">
        <f t="shared" si="76"/>
        <v>0</v>
      </c>
      <c r="AF192" s="1">
        <f t="shared" si="77"/>
        <v>0</v>
      </c>
      <c r="AH192" s="1">
        <f t="shared" si="81"/>
        <v>0</v>
      </c>
    </row>
    <row r="193" spans="1:34" ht="15">
      <c r="A193" s="1">
        <v>192</v>
      </c>
      <c r="B193" s="1">
        <f t="shared" si="82"/>
        <v>0</v>
      </c>
      <c r="C193" s="1">
        <f t="shared" si="72"/>
        <v>-0.30883720930232561</v>
      </c>
      <c r="D193" s="1">
        <f t="shared" si="78"/>
        <v>43.006664564078548</v>
      </c>
      <c r="E193">
        <v>211.47</v>
      </c>
      <c r="K193" s="1">
        <f>'Solar Availability and Gener GR'!F193</f>
        <v>0</v>
      </c>
      <c r="L193" s="1">
        <v>0.30883720930232561</v>
      </c>
      <c r="M193" s="1">
        <f t="shared" si="73"/>
        <v>-0.30883720930232561</v>
      </c>
      <c r="N193" s="1" t="str">
        <f t="shared" si="74"/>
        <v>Buy from Grid</v>
      </c>
      <c r="V193" s="1" t="str">
        <f t="shared" si="98"/>
        <v>discharge</v>
      </c>
      <c r="Y193" s="1">
        <f t="shared" si="71"/>
        <v>6.5309804651162789E-2</v>
      </c>
      <c r="AA193" s="1">
        <f t="shared" si="75"/>
        <v>68.237118387135823</v>
      </c>
      <c r="AD193" s="1">
        <f t="shared" si="76"/>
        <v>0</v>
      </c>
      <c r="AF193" s="1">
        <f t="shared" si="77"/>
        <v>0</v>
      </c>
      <c r="AH193" s="1">
        <f t="shared" si="81"/>
        <v>0</v>
      </c>
    </row>
    <row r="194" spans="1:34" ht="15">
      <c r="A194" s="1">
        <v>193</v>
      </c>
      <c r="B194" s="1">
        <f t="shared" si="82"/>
        <v>0</v>
      </c>
      <c r="C194" s="1">
        <f t="shared" si="72"/>
        <v>-0.29596899224806206</v>
      </c>
      <c r="D194" s="1">
        <f t="shared" si="78"/>
        <v>42.636703323768472</v>
      </c>
      <c r="E194">
        <v>164.67</v>
      </c>
      <c r="K194" s="1">
        <f>'Solar Availability and Gener GR'!F194</f>
        <v>0</v>
      </c>
      <c r="L194" s="1">
        <v>0.29596899224806206</v>
      </c>
      <c r="M194" s="1">
        <f t="shared" si="73"/>
        <v>-0.29596899224806206</v>
      </c>
      <c r="N194" s="1" t="str">
        <f t="shared" si="74"/>
        <v>Buy from Grid</v>
      </c>
      <c r="V194" s="1" t="str">
        <f t="shared" si="98"/>
        <v>discharge</v>
      </c>
      <c r="Y194" s="1">
        <f t="shared" ref="Y194:Y257" si="99">(L194*E194)/1000</f>
        <v>4.873721395348838E-2</v>
      </c>
      <c r="AA194" s="1">
        <f t="shared" si="75"/>
        <v>67.941149394887759</v>
      </c>
      <c r="AD194" s="1">
        <f t="shared" si="76"/>
        <v>0</v>
      </c>
      <c r="AF194" s="1">
        <f t="shared" si="77"/>
        <v>0</v>
      </c>
      <c r="AH194" s="1">
        <f t="shared" si="81"/>
        <v>0</v>
      </c>
    </row>
    <row r="195" spans="1:34" ht="15">
      <c r="A195" s="1">
        <v>194</v>
      </c>
      <c r="B195" s="1">
        <f t="shared" si="82"/>
        <v>0</v>
      </c>
      <c r="C195" s="1">
        <f t="shared" ref="C195:C258" si="100">IF(V194="discharge",M195,0)</f>
        <v>-0.29596899224806206</v>
      </c>
      <c r="D195" s="1">
        <f t="shared" si="78"/>
        <v>42.266742083458396</v>
      </c>
      <c r="E195">
        <v>150</v>
      </c>
      <c r="K195" s="1">
        <f>'Solar Availability and Gener GR'!F195</f>
        <v>0</v>
      </c>
      <c r="L195" s="1">
        <v>0.29596899224806206</v>
      </c>
      <c r="M195" s="1">
        <f t="shared" ref="M195:M258" si="101">K195-L195</f>
        <v>-0.29596899224806206</v>
      </c>
      <c r="N195" s="1" t="str">
        <f t="shared" ref="N195:N258" si="102">IF(M195&lt;0,"Buy from Grid","sell the surplus or charge")</f>
        <v>Buy from Grid</v>
      </c>
      <c r="V195" s="1" t="str">
        <f t="shared" si="98"/>
        <v>discharge</v>
      </c>
      <c r="Y195" s="1">
        <f t="shared" si="99"/>
        <v>4.439534883720931E-2</v>
      </c>
      <c r="AA195" s="1">
        <f t="shared" ref="AA195:AA258" si="103">M195+AA194</f>
        <v>67.645180402639696</v>
      </c>
      <c r="AD195" s="1">
        <f t="shared" ref="AD195:AD258" si="104">AC195+O195</f>
        <v>0</v>
      </c>
      <c r="AF195" s="1">
        <f t="shared" ref="AF195:AF258" si="105">T195*1.2</f>
        <v>0</v>
      </c>
      <c r="AH195" s="1">
        <f t="shared" si="81"/>
        <v>0</v>
      </c>
    </row>
    <row r="196" spans="1:34" ht="15">
      <c r="A196" s="1">
        <v>195</v>
      </c>
      <c r="B196" s="1">
        <f t="shared" si="82"/>
        <v>0</v>
      </c>
      <c r="C196" s="1">
        <f t="shared" si="100"/>
        <v>-0.29596899224806206</v>
      </c>
      <c r="D196" s="1">
        <f t="shared" ref="D196:D259" si="106">(D195)+(B196*0.8)+(C196/0.8)</f>
        <v>41.896780843148321</v>
      </c>
      <c r="E196">
        <v>151.04</v>
      </c>
      <c r="K196" s="1">
        <f>'Solar Availability and Gener GR'!F196</f>
        <v>0</v>
      </c>
      <c r="L196" s="1">
        <v>0.29596899224806206</v>
      </c>
      <c r="M196" s="1">
        <f t="shared" si="101"/>
        <v>-0.29596899224806206</v>
      </c>
      <c r="N196" s="1" t="str">
        <f t="shared" si="102"/>
        <v>Buy from Grid</v>
      </c>
      <c r="V196" s="1" t="str">
        <f t="shared" si="98"/>
        <v>discharge</v>
      </c>
      <c r="Y196" s="1">
        <f t="shared" si="99"/>
        <v>4.4703156589147294E-2</v>
      </c>
      <c r="AA196" s="1">
        <f t="shared" si="103"/>
        <v>67.349211410391632</v>
      </c>
      <c r="AD196" s="1">
        <f t="shared" si="104"/>
        <v>0</v>
      </c>
      <c r="AF196" s="1">
        <f t="shared" si="105"/>
        <v>0</v>
      </c>
      <c r="AH196" s="1">
        <f t="shared" si="81"/>
        <v>0</v>
      </c>
    </row>
    <row r="197" spans="1:34" ht="15">
      <c r="A197" s="1">
        <v>196</v>
      </c>
      <c r="B197" s="1">
        <f t="shared" si="82"/>
        <v>0</v>
      </c>
      <c r="C197" s="1">
        <f t="shared" si="100"/>
        <v>-0.39891472868217059</v>
      </c>
      <c r="D197" s="1">
        <f t="shared" si="106"/>
        <v>41.398137432295606</v>
      </c>
      <c r="E197">
        <v>100</v>
      </c>
      <c r="K197" s="1">
        <f>'Solar Availability and Gener GR'!F197</f>
        <v>0</v>
      </c>
      <c r="L197" s="1">
        <v>0.39891472868217059</v>
      </c>
      <c r="M197" s="1">
        <f t="shared" si="101"/>
        <v>-0.39891472868217059</v>
      </c>
      <c r="N197" s="1" t="str">
        <f t="shared" si="102"/>
        <v>Buy from Grid</v>
      </c>
      <c r="V197" s="1" t="str">
        <f t="shared" si="98"/>
        <v>discharge</v>
      </c>
      <c r="Y197" s="1">
        <f t="shared" si="99"/>
        <v>3.9891472868217058E-2</v>
      </c>
      <c r="AA197" s="1">
        <f t="shared" si="103"/>
        <v>66.95029668170946</v>
      </c>
      <c r="AD197" s="1">
        <f t="shared" si="104"/>
        <v>0</v>
      </c>
      <c r="AF197" s="1">
        <f t="shared" si="105"/>
        <v>0</v>
      </c>
      <c r="AH197" s="1">
        <f t="shared" si="81"/>
        <v>0</v>
      </c>
    </row>
    <row r="198" spans="1:34" ht="15">
      <c r="A198" s="1">
        <v>197</v>
      </c>
      <c r="B198" s="1">
        <f t="shared" si="82"/>
        <v>0</v>
      </c>
      <c r="C198" s="1">
        <f t="shared" si="100"/>
        <v>-0.66914728682170543</v>
      </c>
      <c r="D198" s="1">
        <f t="shared" si="106"/>
        <v>40.561703323768477</v>
      </c>
      <c r="E198">
        <v>152.37</v>
      </c>
      <c r="K198" s="1">
        <f>'Solar Availability and Gener GR'!F198</f>
        <v>0</v>
      </c>
      <c r="L198" s="1">
        <v>0.66914728682170543</v>
      </c>
      <c r="M198" s="1">
        <f t="shared" si="101"/>
        <v>-0.66914728682170543</v>
      </c>
      <c r="N198" s="1" t="str">
        <f t="shared" si="102"/>
        <v>Buy from Grid</v>
      </c>
      <c r="V198" s="1" t="str">
        <f t="shared" si="98"/>
        <v>discharge</v>
      </c>
      <c r="Y198" s="1">
        <f t="shared" si="99"/>
        <v>0.10195797209302326</v>
      </c>
      <c r="AA198" s="1">
        <f t="shared" si="103"/>
        <v>66.281149394887748</v>
      </c>
      <c r="AD198" s="1">
        <f t="shared" si="104"/>
        <v>0</v>
      </c>
      <c r="AF198" s="1">
        <f t="shared" si="105"/>
        <v>0</v>
      </c>
      <c r="AH198" s="1">
        <f t="shared" si="81"/>
        <v>0</v>
      </c>
    </row>
    <row r="199" spans="1:34" ht="15">
      <c r="A199" s="1">
        <v>198</v>
      </c>
      <c r="B199" s="1">
        <f t="shared" si="82"/>
        <v>0</v>
      </c>
      <c r="C199" s="1">
        <f t="shared" si="100"/>
        <v>-0.65627906976744199</v>
      </c>
      <c r="D199" s="1">
        <f t="shared" si="106"/>
        <v>39.741354486559175</v>
      </c>
      <c r="E199">
        <v>276.68</v>
      </c>
      <c r="K199" s="1">
        <f>'Solar Availability and Gener GR'!F199</f>
        <v>0</v>
      </c>
      <c r="L199" s="1">
        <v>0.65627906976744199</v>
      </c>
      <c r="M199" s="1">
        <f t="shared" si="101"/>
        <v>-0.65627906976744199</v>
      </c>
      <c r="N199" s="1" t="str">
        <f t="shared" si="102"/>
        <v>Buy from Grid</v>
      </c>
      <c r="V199" s="1" t="str">
        <f t="shared" si="98"/>
        <v>discharge</v>
      </c>
      <c r="Y199" s="1">
        <f t="shared" si="99"/>
        <v>0.18157929302325584</v>
      </c>
      <c r="AA199" s="1">
        <f t="shared" si="103"/>
        <v>65.624870325120312</v>
      </c>
      <c r="AD199" s="1">
        <f t="shared" si="104"/>
        <v>0</v>
      </c>
      <c r="AF199" s="1">
        <f t="shared" si="105"/>
        <v>0</v>
      </c>
      <c r="AH199" s="1">
        <f t="shared" si="81"/>
        <v>0</v>
      </c>
    </row>
    <row r="200" spans="1:34" ht="15">
      <c r="A200" s="1">
        <v>199</v>
      </c>
      <c r="B200" s="1">
        <f t="shared" si="82"/>
        <v>0</v>
      </c>
      <c r="C200" s="1">
        <f t="shared" si="100"/>
        <v>-0.63966730087222212</v>
      </c>
      <c r="D200" s="1">
        <f t="shared" si="106"/>
        <v>38.941770360468894</v>
      </c>
      <c r="E200">
        <v>351.1</v>
      </c>
      <c r="K200" s="1">
        <f>'Solar Availability and Gener GR'!F200</f>
        <v>1.6611768895219918E-2</v>
      </c>
      <c r="L200" s="1">
        <v>0.65627906976744199</v>
      </c>
      <c r="M200" s="1">
        <f t="shared" si="101"/>
        <v>-0.63966730087222212</v>
      </c>
      <c r="N200" s="1" t="str">
        <f t="shared" si="102"/>
        <v>Buy from Grid</v>
      </c>
      <c r="V200" s="1" t="str">
        <f t="shared" si="98"/>
        <v>discharge</v>
      </c>
      <c r="Y200" s="1">
        <f t="shared" si="99"/>
        <v>0.2304195813953489</v>
      </c>
      <c r="AA200" s="1">
        <f t="shared" si="103"/>
        <v>64.985203024248094</v>
      </c>
      <c r="AD200" s="1">
        <f t="shared" si="104"/>
        <v>0</v>
      </c>
      <c r="AF200" s="1">
        <f t="shared" si="105"/>
        <v>0</v>
      </c>
      <c r="AH200" s="1">
        <f t="shared" si="81"/>
        <v>0</v>
      </c>
    </row>
    <row r="201" spans="1:34" ht="15">
      <c r="A201" s="1">
        <v>200</v>
      </c>
      <c r="B201" s="1">
        <f t="shared" si="82"/>
        <v>0</v>
      </c>
      <c r="C201" s="1">
        <f t="shared" si="100"/>
        <v>-0.32523004961157526</v>
      </c>
      <c r="D201" s="1">
        <f t="shared" si="106"/>
        <v>38.535232798454423</v>
      </c>
      <c r="E201">
        <v>351.25</v>
      </c>
      <c r="K201" s="1">
        <f>'Solar Availability and Gener GR'!F201</f>
        <v>7.3684679070595324E-2</v>
      </c>
      <c r="L201" s="1">
        <v>0.39891472868217059</v>
      </c>
      <c r="M201" s="1">
        <f t="shared" si="101"/>
        <v>-0.32523004961157526</v>
      </c>
      <c r="N201" s="1" t="str">
        <f t="shared" si="102"/>
        <v>Buy from Grid</v>
      </c>
      <c r="V201" s="1" t="str">
        <f t="shared" si="98"/>
        <v>discharge</v>
      </c>
      <c r="Y201" s="1">
        <f t="shared" si="99"/>
        <v>0.14011879844961242</v>
      </c>
      <c r="AA201" s="1">
        <f t="shared" si="103"/>
        <v>64.659972974636517</v>
      </c>
      <c r="AD201" s="1">
        <f t="shared" si="104"/>
        <v>0</v>
      </c>
      <c r="AF201" s="1">
        <f t="shared" si="105"/>
        <v>0</v>
      </c>
      <c r="AH201" s="1">
        <f t="shared" si="81"/>
        <v>0</v>
      </c>
    </row>
    <row r="202" spans="1:34" ht="15">
      <c r="A202" s="1">
        <v>201</v>
      </c>
      <c r="B202" s="1">
        <f t="shared" si="82"/>
        <v>0</v>
      </c>
      <c r="C202" s="1">
        <f t="shared" si="100"/>
        <v>-0.10544459603728495</v>
      </c>
      <c r="D202" s="1">
        <f t="shared" si="106"/>
        <v>38.403427053407817</v>
      </c>
      <c r="E202">
        <v>283.37</v>
      </c>
      <c r="K202" s="1">
        <f>'Solar Availability and Gener GR'!F202</f>
        <v>0.29347013264488564</v>
      </c>
      <c r="L202" s="1">
        <v>0.39891472868217059</v>
      </c>
      <c r="M202" s="1">
        <f t="shared" si="101"/>
        <v>-0.10544459603728495</v>
      </c>
      <c r="N202" s="1" t="str">
        <f t="shared" si="102"/>
        <v>Buy from Grid</v>
      </c>
      <c r="V202" s="1" t="str">
        <f t="shared" si="98"/>
        <v>discharge</v>
      </c>
      <c r="Y202" s="1">
        <f t="shared" si="99"/>
        <v>0.11304046666666669</v>
      </c>
      <c r="AA202" s="1">
        <f t="shared" si="103"/>
        <v>64.55452837859923</v>
      </c>
      <c r="AD202" s="1">
        <f t="shared" si="104"/>
        <v>0</v>
      </c>
      <c r="AF202" s="1">
        <f t="shared" si="105"/>
        <v>0</v>
      </c>
      <c r="AH202" s="1">
        <f t="shared" si="81"/>
        <v>0</v>
      </c>
    </row>
    <row r="203" spans="1:34" ht="15">
      <c r="A203" s="1">
        <v>202</v>
      </c>
      <c r="B203" s="1">
        <f t="shared" si="82"/>
        <v>0</v>
      </c>
      <c r="C203" s="1">
        <f t="shared" si="100"/>
        <v>0.34412809157955548</v>
      </c>
      <c r="D203" s="1">
        <f t="shared" si="106"/>
        <v>38.833587167882264</v>
      </c>
      <c r="E203">
        <v>193.39</v>
      </c>
      <c r="K203" s="1">
        <f>'Solar Availability and Gener GR'!F203</f>
        <v>0.74304282026172608</v>
      </c>
      <c r="L203" s="1">
        <v>0.39891472868217059</v>
      </c>
      <c r="M203" s="1">
        <f t="shared" si="101"/>
        <v>0.34412809157955548</v>
      </c>
      <c r="N203" s="1" t="str">
        <f t="shared" si="102"/>
        <v>sell the surplus or charge</v>
      </c>
      <c r="O203" s="1">
        <v>0.25</v>
      </c>
      <c r="P203" s="1">
        <f t="shared" ref="P203:P211" si="107">0.25/L203</f>
        <v>0.62670034978624167</v>
      </c>
      <c r="Q203" s="1">
        <f t="shared" ref="Q203:Q211" si="108">K203-P203*L203</f>
        <v>0.49304282026172608</v>
      </c>
      <c r="R203" s="1">
        <f t="shared" ref="R203:R211" si="109">((1/(E203+0.01))*LN(0.25))+(E203*(K203-0.25))</f>
        <v>95.342382994070221</v>
      </c>
      <c r="S203" s="1">
        <f t="shared" ref="S203:S211" si="110">((1/(E203+0.01))*LN(L203))+(E203*(K203-L203))</f>
        <v>66.546179781565542</v>
      </c>
      <c r="T203" s="1">
        <f t="shared" ref="T203:T211" si="111">(S203+((S203^2)-4*(K203-L203*P203)*LN(L203*P203))^(0.5))/(2*(K203-L203*P203))</f>
        <v>134.99121488401809</v>
      </c>
      <c r="U203" s="1" t="str">
        <f t="shared" ref="U203:U211" si="112">IF(E203&gt;=T203*1.2,"sell to the Grid","charge")</f>
        <v>sell to the Grid</v>
      </c>
      <c r="W203" s="1">
        <f>(Q203*E203)/1000</f>
        <v>9.5349551010415201E-2</v>
      </c>
      <c r="Y203" s="1">
        <f t="shared" si="99"/>
        <v>7.714611937984496E-2</v>
      </c>
      <c r="AA203" s="1">
        <f t="shared" si="103"/>
        <v>64.898656470178778</v>
      </c>
      <c r="AD203" s="1">
        <f t="shared" si="104"/>
        <v>0.25</v>
      </c>
      <c r="AF203" s="1">
        <f t="shared" si="105"/>
        <v>161.98945786082172</v>
      </c>
      <c r="AG203" s="1">
        <f>E203</f>
        <v>193.39</v>
      </c>
      <c r="AH203" s="1">
        <f t="shared" si="81"/>
        <v>95.349551010415198</v>
      </c>
    </row>
    <row r="204" spans="1:34" ht="15">
      <c r="A204" s="1">
        <v>203</v>
      </c>
      <c r="B204" s="1">
        <f t="shared" si="82"/>
        <v>1.4500890234131563</v>
      </c>
      <c r="C204" s="1">
        <f t="shared" si="100"/>
        <v>0</v>
      </c>
      <c r="D204" s="1">
        <f t="shared" si="106"/>
        <v>39.993658386612786</v>
      </c>
      <c r="E204">
        <v>180.8</v>
      </c>
      <c r="K204" s="1">
        <f>'Solar Availability and Gener GR'!F204</f>
        <v>1.7000890234131563</v>
      </c>
      <c r="L204" s="1">
        <v>0.39891472868217059</v>
      </c>
      <c r="M204" s="1">
        <f t="shared" si="101"/>
        <v>1.3011742947309857</v>
      </c>
      <c r="N204" s="1" t="str">
        <f t="shared" si="102"/>
        <v>sell the surplus or charge</v>
      </c>
      <c r="O204" s="1">
        <v>0.25</v>
      </c>
      <c r="P204" s="1">
        <f t="shared" si="107"/>
        <v>0.62670034978624167</v>
      </c>
      <c r="Q204" s="1">
        <f t="shared" si="108"/>
        <v>1.4500890234131563</v>
      </c>
      <c r="R204" s="1">
        <f t="shared" si="109"/>
        <v>262.1684282998587</v>
      </c>
      <c r="S204" s="1">
        <f t="shared" si="110"/>
        <v>235.24722976186303</v>
      </c>
      <c r="T204" s="1">
        <f t="shared" si="111"/>
        <v>162.23540135770193</v>
      </c>
      <c r="U204" s="1" t="str">
        <f t="shared" si="112"/>
        <v>charge</v>
      </c>
      <c r="Y204" s="1">
        <f t="shared" si="99"/>
        <v>7.2123782945736445E-2</v>
      </c>
      <c r="AA204" s="1">
        <f t="shared" si="103"/>
        <v>66.199830764909763</v>
      </c>
      <c r="AD204" s="1">
        <f t="shared" si="104"/>
        <v>0.25</v>
      </c>
      <c r="AF204" s="1">
        <f t="shared" si="105"/>
        <v>194.68248162924232</v>
      </c>
      <c r="AH204" s="1">
        <f t="shared" si="81"/>
        <v>0</v>
      </c>
    </row>
    <row r="205" spans="1:34" ht="15">
      <c r="A205" s="1">
        <v>204</v>
      </c>
      <c r="B205" s="1">
        <f t="shared" si="82"/>
        <v>2.0815899581589932</v>
      </c>
      <c r="C205" s="1">
        <f t="shared" si="100"/>
        <v>0</v>
      </c>
      <c r="D205" s="1">
        <f t="shared" si="106"/>
        <v>41.658930353139979</v>
      </c>
      <c r="E205">
        <v>178.89</v>
      </c>
      <c r="K205" s="1">
        <f>'Solar Availability and Gener GR'!F205</f>
        <v>2.3315899581589932</v>
      </c>
      <c r="L205" s="1">
        <v>0.39891472868217059</v>
      </c>
      <c r="M205" s="1">
        <f t="shared" si="101"/>
        <v>1.9326752294768226</v>
      </c>
      <c r="N205" s="1" t="str">
        <f t="shared" si="102"/>
        <v>sell the surplus or charge</v>
      </c>
      <c r="O205" s="1">
        <v>0.25</v>
      </c>
      <c r="P205" s="1">
        <f t="shared" si="107"/>
        <v>0.62670034978624167</v>
      </c>
      <c r="Q205" s="1">
        <f t="shared" si="108"/>
        <v>2.0815899581589932</v>
      </c>
      <c r="R205" s="1">
        <f t="shared" si="109"/>
        <v>372.36787862478212</v>
      </c>
      <c r="S205" s="1">
        <f t="shared" si="110"/>
        <v>345.73113481062524</v>
      </c>
      <c r="T205" s="1">
        <f t="shared" si="111"/>
        <v>166.09394175012386</v>
      </c>
      <c r="U205" s="1" t="str">
        <f t="shared" si="112"/>
        <v>charge</v>
      </c>
      <c r="Y205" s="1">
        <f t="shared" si="99"/>
        <v>7.1361855813953504E-2</v>
      </c>
      <c r="AA205" s="1">
        <f t="shared" si="103"/>
        <v>68.132505994386591</v>
      </c>
      <c r="AD205" s="1">
        <f t="shared" si="104"/>
        <v>0.25</v>
      </c>
      <c r="AF205" s="1">
        <f t="shared" si="105"/>
        <v>199.31273010014863</v>
      </c>
      <c r="AH205" s="1">
        <f t="shared" ref="AH205:AH268" si="113">AG205*Q205</f>
        <v>0</v>
      </c>
    </row>
    <row r="206" spans="1:34" ht="15">
      <c r="A206" s="1">
        <v>205</v>
      </c>
      <c r="B206" s="1">
        <f t="shared" si="82"/>
        <v>2.3013754117332827</v>
      </c>
      <c r="C206" s="1">
        <f t="shared" si="100"/>
        <v>0</v>
      </c>
      <c r="D206" s="1">
        <f t="shared" si="106"/>
        <v>43.500030682526607</v>
      </c>
      <c r="E206">
        <v>173.16</v>
      </c>
      <c r="K206" s="1">
        <f>'Solar Availability and Gener GR'!F206</f>
        <v>2.5513754117332827</v>
      </c>
      <c r="L206" s="1">
        <v>0.39891472868217059</v>
      </c>
      <c r="M206" s="1">
        <f t="shared" si="101"/>
        <v>2.1524606830511122</v>
      </c>
      <c r="N206" s="1" t="str">
        <f t="shared" si="102"/>
        <v>sell the surplus or charge</v>
      </c>
      <c r="O206" s="1">
        <v>0.25</v>
      </c>
      <c r="P206" s="1">
        <f t="shared" si="107"/>
        <v>0.62670034978624167</v>
      </c>
      <c r="Q206" s="1">
        <f t="shared" si="108"/>
        <v>2.3013754117332827</v>
      </c>
      <c r="R206" s="1">
        <f t="shared" si="109"/>
        <v>398.49816090010597</v>
      </c>
      <c r="S206" s="1">
        <f t="shared" si="110"/>
        <v>372.71478490942542</v>
      </c>
      <c r="T206" s="1">
        <f t="shared" si="111"/>
        <v>161.956777093179</v>
      </c>
      <c r="U206" s="1" t="str">
        <f t="shared" si="112"/>
        <v>charge</v>
      </c>
      <c r="Y206" s="1">
        <f t="shared" si="99"/>
        <v>6.9076074418604666E-2</v>
      </c>
      <c r="AA206" s="1">
        <f t="shared" si="103"/>
        <v>70.284966677437708</v>
      </c>
      <c r="AD206" s="1">
        <f t="shared" si="104"/>
        <v>0.25</v>
      </c>
      <c r="AF206" s="1">
        <f t="shared" si="105"/>
        <v>194.34813251181478</v>
      </c>
      <c r="AH206" s="1">
        <f t="shared" si="113"/>
        <v>0</v>
      </c>
    </row>
    <row r="207" spans="1:34" ht="15">
      <c r="A207" s="1">
        <v>206</v>
      </c>
      <c r="B207" s="1">
        <f t="shared" si="82"/>
        <v>2.348833793287632</v>
      </c>
      <c r="C207" s="1">
        <f t="shared" si="100"/>
        <v>0</v>
      </c>
      <c r="D207" s="1">
        <f t="shared" si="106"/>
        <v>45.379097717156711</v>
      </c>
      <c r="E207">
        <v>173.77</v>
      </c>
      <c r="K207" s="1">
        <f>'Solar Availability and Gener GR'!F207</f>
        <v>2.598833793287632</v>
      </c>
      <c r="L207" s="1">
        <v>0.39891472868217059</v>
      </c>
      <c r="M207" s="1">
        <f t="shared" si="101"/>
        <v>2.1999190646054614</v>
      </c>
      <c r="N207" s="1" t="str">
        <f t="shared" si="102"/>
        <v>sell the surplus or charge</v>
      </c>
      <c r="O207" s="1">
        <v>0.25</v>
      </c>
      <c r="P207" s="1">
        <f t="shared" si="107"/>
        <v>0.62670034978624167</v>
      </c>
      <c r="Q207" s="1">
        <f t="shared" si="108"/>
        <v>2.348833793287632</v>
      </c>
      <c r="R207" s="1">
        <f t="shared" si="109"/>
        <v>408.14887096438451</v>
      </c>
      <c r="S207" s="1">
        <f t="shared" si="110"/>
        <v>382.27464751722579</v>
      </c>
      <c r="T207" s="1">
        <f t="shared" si="111"/>
        <v>162.75445555756636</v>
      </c>
      <c r="U207" s="1" t="str">
        <f t="shared" si="112"/>
        <v>charge</v>
      </c>
      <c r="Y207" s="1">
        <f t="shared" si="99"/>
        <v>6.9319412403100786E-2</v>
      </c>
      <c r="AA207" s="1">
        <f t="shared" si="103"/>
        <v>72.484885742043176</v>
      </c>
      <c r="AD207" s="1">
        <f t="shared" si="104"/>
        <v>0.25</v>
      </c>
      <c r="AF207" s="1">
        <f t="shared" si="105"/>
        <v>195.30534666907963</v>
      </c>
      <c r="AH207" s="1">
        <f t="shared" si="113"/>
        <v>0</v>
      </c>
    </row>
    <row r="208" spans="1:34" ht="15">
      <c r="A208" s="1">
        <v>207</v>
      </c>
      <c r="B208" s="1">
        <f t="shared" ref="B208:B271" si="114">IF(U208="charge",Q208,0)</f>
        <v>2.2718374432475708</v>
      </c>
      <c r="C208" s="1">
        <f t="shared" si="100"/>
        <v>0</v>
      </c>
      <c r="D208" s="1">
        <f t="shared" si="106"/>
        <v>47.196567671754764</v>
      </c>
      <c r="E208">
        <v>178.79</v>
      </c>
      <c r="K208" s="1">
        <f>'Solar Availability and Gener GR'!F208</f>
        <v>2.5218374432475708</v>
      </c>
      <c r="L208" s="1">
        <v>0.39891472868217059</v>
      </c>
      <c r="M208" s="1">
        <f t="shared" si="101"/>
        <v>2.1229227145654002</v>
      </c>
      <c r="N208" s="1" t="str">
        <f t="shared" si="102"/>
        <v>sell the surplus or charge</v>
      </c>
      <c r="O208" s="1">
        <v>0.25</v>
      </c>
      <c r="P208" s="1">
        <f t="shared" si="107"/>
        <v>0.62670034978624167</v>
      </c>
      <c r="Q208" s="1">
        <f t="shared" si="108"/>
        <v>2.2718374432475708</v>
      </c>
      <c r="R208" s="1">
        <f t="shared" si="109"/>
        <v>406.17406315406583</v>
      </c>
      <c r="S208" s="1">
        <f t="shared" si="110"/>
        <v>379.55221227362711</v>
      </c>
      <c r="T208" s="1">
        <f t="shared" si="111"/>
        <v>167.07203721215072</v>
      </c>
      <c r="U208" s="1" t="str">
        <f t="shared" si="112"/>
        <v>charge</v>
      </c>
      <c r="Y208" s="1">
        <f t="shared" si="99"/>
        <v>7.1321964341085273E-2</v>
      </c>
      <c r="AA208" s="1">
        <f t="shared" si="103"/>
        <v>74.607808456608581</v>
      </c>
      <c r="AD208" s="1">
        <f t="shared" si="104"/>
        <v>0.25</v>
      </c>
      <c r="AF208" s="1">
        <f t="shared" si="105"/>
        <v>200.48644465458085</v>
      </c>
      <c r="AH208" s="1">
        <f t="shared" si="113"/>
        <v>0</v>
      </c>
    </row>
    <row r="209" spans="1:34" ht="15">
      <c r="A209" s="1">
        <v>208</v>
      </c>
      <c r="B209" s="1">
        <f t="shared" si="114"/>
        <v>0</v>
      </c>
      <c r="C209" s="1">
        <f t="shared" si="100"/>
        <v>0</v>
      </c>
      <c r="D209" s="1">
        <f t="shared" si="106"/>
        <v>47.196567671754764</v>
      </c>
      <c r="E209">
        <v>183.23</v>
      </c>
      <c r="K209" s="1">
        <f>'Solar Availability and Gener GR'!F209</f>
        <v>2.13843140746016</v>
      </c>
      <c r="L209" s="1">
        <v>0.65627906976744199</v>
      </c>
      <c r="M209" s="1">
        <f t="shared" si="101"/>
        <v>1.4821523376927179</v>
      </c>
      <c r="N209" s="1" t="str">
        <f t="shared" si="102"/>
        <v>sell the surplus or charge</v>
      </c>
      <c r="O209" s="1">
        <v>0.25</v>
      </c>
      <c r="P209" s="1">
        <f t="shared" si="107"/>
        <v>0.38093550673281351</v>
      </c>
      <c r="Q209" s="1">
        <f t="shared" si="108"/>
        <v>1.88843140746016</v>
      </c>
      <c r="R209" s="1">
        <f t="shared" si="109"/>
        <v>346.00972133181358</v>
      </c>
      <c r="S209" s="1">
        <f t="shared" si="110"/>
        <v>271.57247437893557</v>
      </c>
      <c r="T209" s="1">
        <f t="shared" si="111"/>
        <v>143.81359726821233</v>
      </c>
      <c r="U209" s="1" t="str">
        <f t="shared" si="112"/>
        <v>sell to the Grid</v>
      </c>
      <c r="W209" s="1">
        <f>(Q209*E209)/1000</f>
        <v>0.34601728678892513</v>
      </c>
      <c r="Y209" s="1">
        <f t="shared" si="99"/>
        <v>0.12025001395348839</v>
      </c>
      <c r="AA209" s="1">
        <f t="shared" si="103"/>
        <v>76.089960794301305</v>
      </c>
      <c r="AD209" s="1">
        <f t="shared" si="104"/>
        <v>0.25</v>
      </c>
      <c r="AF209" s="1">
        <f t="shared" si="105"/>
        <v>172.57631672185479</v>
      </c>
      <c r="AG209" s="1">
        <f>AF208</f>
        <v>200.48644465458085</v>
      </c>
      <c r="AH209" s="1">
        <f t="shared" si="113"/>
        <v>378.60489885573361</v>
      </c>
    </row>
    <row r="210" spans="1:34" ht="15">
      <c r="A210" s="1">
        <v>209</v>
      </c>
      <c r="B210" s="1">
        <f t="shared" si="114"/>
        <v>0</v>
      </c>
      <c r="C210" s="1">
        <f t="shared" si="100"/>
        <v>0</v>
      </c>
      <c r="D210" s="1">
        <f t="shared" si="106"/>
        <v>47.196567671754764</v>
      </c>
      <c r="E210">
        <v>183.92</v>
      </c>
      <c r="K210" s="1">
        <f>'Solar Availability and Gener GR'!F210</f>
        <v>1.6784563340158452</v>
      </c>
      <c r="L210" s="1">
        <v>0.66914728682170543</v>
      </c>
      <c r="M210" s="1">
        <f t="shared" si="101"/>
        <v>1.0093090471941397</v>
      </c>
      <c r="N210" s="1" t="str">
        <f t="shared" si="102"/>
        <v>sell the surplus or charge</v>
      </c>
      <c r="O210" s="1">
        <v>0.25</v>
      </c>
      <c r="P210" s="1">
        <f t="shared" si="107"/>
        <v>0.3736098239110287</v>
      </c>
      <c r="Q210" s="1">
        <f t="shared" si="108"/>
        <v>1.4284563340158452</v>
      </c>
      <c r="R210" s="1">
        <f t="shared" si="109"/>
        <v>262.71415187634403</v>
      </c>
      <c r="S210" s="1">
        <f t="shared" si="110"/>
        <v>185.62993569917623</v>
      </c>
      <c r="T210" s="1">
        <f t="shared" si="111"/>
        <v>129.95889230520569</v>
      </c>
      <c r="U210" s="1" t="str">
        <f t="shared" si="112"/>
        <v>sell to the Grid</v>
      </c>
      <c r="W210" s="1">
        <f>(Q210*E210)/1000</f>
        <v>0.26272168895219422</v>
      </c>
      <c r="Y210" s="1">
        <f t="shared" si="99"/>
        <v>0.12306956899224805</v>
      </c>
      <c r="AA210" s="1">
        <f t="shared" si="103"/>
        <v>77.099269841495442</v>
      </c>
      <c r="AD210" s="1">
        <f t="shared" si="104"/>
        <v>0.25</v>
      </c>
      <c r="AF210" s="1">
        <f t="shared" si="105"/>
        <v>155.95067076624682</v>
      </c>
      <c r="AG210" s="1">
        <f t="shared" ref="AG210:AG211" si="115">AF209</f>
        <v>172.57631672185479</v>
      </c>
      <c r="AH210" s="1">
        <f t="shared" si="113"/>
        <v>246.51773272245811</v>
      </c>
    </row>
    <row r="211" spans="1:34" ht="15">
      <c r="A211" s="1">
        <v>210</v>
      </c>
      <c r="B211" s="1">
        <f t="shared" si="114"/>
        <v>0</v>
      </c>
      <c r="C211" s="1">
        <f t="shared" si="100"/>
        <v>0</v>
      </c>
      <c r="D211" s="1">
        <f t="shared" si="106"/>
        <v>47.196567671754764</v>
      </c>
      <c r="E211">
        <v>199.16</v>
      </c>
      <c r="K211" s="1">
        <f>'Solar Availability and Gener GR'!F211</f>
        <v>1.0269518383334808</v>
      </c>
      <c r="L211" s="1">
        <v>0.65627906976744199</v>
      </c>
      <c r="M211" s="1">
        <f t="shared" si="101"/>
        <v>0.37067276856603881</v>
      </c>
      <c r="N211" s="1" t="str">
        <f t="shared" si="102"/>
        <v>sell the surplus or charge</v>
      </c>
      <c r="O211" s="1">
        <v>0.25</v>
      </c>
      <c r="P211" s="1">
        <f t="shared" si="107"/>
        <v>0.38093550673281351</v>
      </c>
      <c r="Q211" s="1">
        <f t="shared" si="108"/>
        <v>0.7769518383334808</v>
      </c>
      <c r="R211" s="1">
        <f t="shared" si="109"/>
        <v>154.7307677652077</v>
      </c>
      <c r="S211" s="1">
        <f t="shared" si="110"/>
        <v>73.821073966086615</v>
      </c>
      <c r="T211" s="1">
        <f t="shared" si="111"/>
        <v>95.032481947613334</v>
      </c>
      <c r="U211" s="1" t="str">
        <f t="shared" si="112"/>
        <v>sell to the Grid</v>
      </c>
      <c r="W211" s="1">
        <f>(Q211*E211)/1000</f>
        <v>0.15473772812249603</v>
      </c>
      <c r="Y211" s="1">
        <f t="shared" si="99"/>
        <v>0.13070453953488373</v>
      </c>
      <c r="AA211" s="1">
        <f t="shared" si="103"/>
        <v>77.46994261006148</v>
      </c>
      <c r="AD211" s="1">
        <f t="shared" si="104"/>
        <v>0.25</v>
      </c>
      <c r="AF211" s="1">
        <f t="shared" si="105"/>
        <v>114.038978337136</v>
      </c>
      <c r="AG211" s="1">
        <f t="shared" si="115"/>
        <v>155.95067076624682</v>
      </c>
      <c r="AH211" s="1">
        <f t="shared" si="113"/>
        <v>121.16616034117489</v>
      </c>
    </row>
    <row r="212" spans="1:34" ht="15">
      <c r="A212" s="1">
        <v>211</v>
      </c>
      <c r="B212" s="1">
        <f t="shared" si="114"/>
        <v>0</v>
      </c>
      <c r="C212" s="1">
        <f t="shared" si="100"/>
        <v>0</v>
      </c>
      <c r="D212" s="1">
        <f t="shared" si="106"/>
        <v>47.196567671754764</v>
      </c>
      <c r="E212">
        <v>182.18</v>
      </c>
      <c r="K212" s="1">
        <f>'Solar Availability and Gener GR'!F212</f>
        <v>0.35632511350485152</v>
      </c>
      <c r="L212" s="1">
        <v>0.66914728682170543</v>
      </c>
      <c r="M212" s="1">
        <f t="shared" si="101"/>
        <v>-0.31282217331685391</v>
      </c>
      <c r="N212" s="1" t="str">
        <f t="shared" si="102"/>
        <v>Buy from Grid</v>
      </c>
      <c r="V212" s="1" t="str">
        <f t="shared" ref="V212:V226" si="116">IF(D212+M212&gt;0,"discharge","buy from the Grid")</f>
        <v>discharge</v>
      </c>
      <c r="Y212" s="1">
        <f t="shared" si="99"/>
        <v>0.1219052527131783</v>
      </c>
      <c r="AA212" s="1">
        <f t="shared" si="103"/>
        <v>77.15712043674462</v>
      </c>
      <c r="AD212" s="1">
        <f t="shared" si="104"/>
        <v>0</v>
      </c>
      <c r="AF212" s="1">
        <f t="shared" si="105"/>
        <v>0</v>
      </c>
      <c r="AH212" s="1">
        <f t="shared" si="113"/>
        <v>0</v>
      </c>
    </row>
    <row r="213" spans="1:34" ht="15">
      <c r="A213" s="1">
        <v>212</v>
      </c>
      <c r="B213" s="1">
        <f t="shared" si="114"/>
        <v>0</v>
      </c>
      <c r="C213" s="1">
        <f t="shared" si="100"/>
        <v>-0.35896102085701259</v>
      </c>
      <c r="D213" s="1">
        <f t="shared" si="106"/>
        <v>46.747866395683495</v>
      </c>
      <c r="E213">
        <v>180.8</v>
      </c>
      <c r="K213" s="1">
        <f>'Solar Availability and Gener GR'!F213</f>
        <v>3.9953707825157996E-2</v>
      </c>
      <c r="L213" s="1">
        <v>0.39891472868217059</v>
      </c>
      <c r="M213" s="1">
        <f t="shared" si="101"/>
        <v>-0.35896102085701259</v>
      </c>
      <c r="N213" s="1" t="str">
        <f t="shared" si="102"/>
        <v>Buy from Grid</v>
      </c>
      <c r="V213" s="1" t="str">
        <f t="shared" si="116"/>
        <v>discharge</v>
      </c>
      <c r="Y213" s="1">
        <f t="shared" si="99"/>
        <v>7.2123782945736445E-2</v>
      </c>
      <c r="AA213" s="1">
        <f t="shared" si="103"/>
        <v>76.798159415887611</v>
      </c>
      <c r="AD213" s="1">
        <f t="shared" si="104"/>
        <v>0</v>
      </c>
      <c r="AF213" s="1">
        <f t="shared" si="105"/>
        <v>0</v>
      </c>
      <c r="AH213" s="1">
        <f t="shared" si="113"/>
        <v>0</v>
      </c>
    </row>
    <row r="214" spans="1:34" ht="15">
      <c r="A214" s="1">
        <v>213</v>
      </c>
      <c r="B214" s="1">
        <f t="shared" si="114"/>
        <v>0</v>
      </c>
      <c r="C214" s="1">
        <f t="shared" si="100"/>
        <v>-0.39891472868217059</v>
      </c>
      <c r="D214" s="1">
        <f t="shared" si="106"/>
        <v>46.24922298483078</v>
      </c>
      <c r="E214">
        <v>170</v>
      </c>
      <c r="K214" s="1">
        <f>'Solar Availability and Gener GR'!F214</f>
        <v>0</v>
      </c>
      <c r="L214" s="1">
        <v>0.39891472868217059</v>
      </c>
      <c r="M214" s="1">
        <f t="shared" si="101"/>
        <v>-0.39891472868217059</v>
      </c>
      <c r="N214" s="1" t="str">
        <f t="shared" si="102"/>
        <v>Buy from Grid</v>
      </c>
      <c r="V214" s="1" t="str">
        <f t="shared" si="116"/>
        <v>discharge</v>
      </c>
      <c r="Y214" s="1">
        <f t="shared" si="99"/>
        <v>6.7815503875969005E-2</v>
      </c>
      <c r="AA214" s="1">
        <f t="shared" si="103"/>
        <v>76.399244687205439</v>
      </c>
      <c r="AD214" s="1">
        <f t="shared" si="104"/>
        <v>0</v>
      </c>
      <c r="AF214" s="1">
        <f t="shared" si="105"/>
        <v>0</v>
      </c>
      <c r="AH214" s="1">
        <f t="shared" si="113"/>
        <v>0</v>
      </c>
    </row>
    <row r="215" spans="1:34" ht="15">
      <c r="A215" s="1">
        <v>214</v>
      </c>
      <c r="B215" s="1">
        <f t="shared" si="114"/>
        <v>0</v>
      </c>
      <c r="C215" s="1">
        <f t="shared" si="100"/>
        <v>-0.39891472868217059</v>
      </c>
      <c r="D215" s="1">
        <f t="shared" si="106"/>
        <v>45.750579573978065</v>
      </c>
      <c r="E215">
        <v>139.63</v>
      </c>
      <c r="K215" s="1">
        <f>'Solar Availability and Gener GR'!F215</f>
        <v>0</v>
      </c>
      <c r="L215" s="1">
        <v>0.39891472868217059</v>
      </c>
      <c r="M215" s="1">
        <f t="shared" si="101"/>
        <v>-0.39891472868217059</v>
      </c>
      <c r="N215" s="1" t="str">
        <f t="shared" si="102"/>
        <v>Buy from Grid</v>
      </c>
      <c r="V215" s="1" t="str">
        <f t="shared" si="116"/>
        <v>discharge</v>
      </c>
      <c r="Y215" s="1">
        <f t="shared" si="99"/>
        <v>5.5700463565891478E-2</v>
      </c>
      <c r="AA215" s="1">
        <f t="shared" si="103"/>
        <v>76.000329958523267</v>
      </c>
      <c r="AD215" s="1">
        <f t="shared" si="104"/>
        <v>0</v>
      </c>
      <c r="AF215" s="1">
        <f t="shared" si="105"/>
        <v>0</v>
      </c>
      <c r="AH215" s="1">
        <f t="shared" si="113"/>
        <v>0</v>
      </c>
    </row>
    <row r="216" spans="1:34" ht="15">
      <c r="A216" s="1">
        <v>215</v>
      </c>
      <c r="B216" s="1">
        <f t="shared" si="114"/>
        <v>0</v>
      </c>
      <c r="C216" s="1">
        <f t="shared" si="100"/>
        <v>-0.29596899224806206</v>
      </c>
      <c r="D216" s="1">
        <f t="shared" si="106"/>
        <v>45.380618333667989</v>
      </c>
      <c r="E216">
        <v>132</v>
      </c>
      <c r="K216" s="1">
        <f>'Solar Availability and Gener GR'!F216</f>
        <v>0</v>
      </c>
      <c r="L216" s="1">
        <v>0.29596899224806206</v>
      </c>
      <c r="M216" s="1">
        <f t="shared" si="101"/>
        <v>-0.29596899224806206</v>
      </c>
      <c r="N216" s="1" t="str">
        <f t="shared" si="102"/>
        <v>Buy from Grid</v>
      </c>
      <c r="V216" s="1" t="str">
        <f t="shared" si="116"/>
        <v>discharge</v>
      </c>
      <c r="Y216" s="1">
        <f t="shared" si="99"/>
        <v>3.9067906976744192E-2</v>
      </c>
      <c r="AA216" s="1">
        <f t="shared" si="103"/>
        <v>75.704360966275203</v>
      </c>
      <c r="AD216" s="1">
        <f t="shared" si="104"/>
        <v>0</v>
      </c>
      <c r="AF216" s="1">
        <f t="shared" si="105"/>
        <v>0</v>
      </c>
      <c r="AH216" s="1">
        <f t="shared" si="113"/>
        <v>0</v>
      </c>
    </row>
    <row r="217" spans="1:34" ht="15">
      <c r="A217" s="1">
        <v>216</v>
      </c>
      <c r="B217" s="1">
        <f t="shared" si="114"/>
        <v>0</v>
      </c>
      <c r="C217" s="1">
        <f t="shared" si="100"/>
        <v>-0.29596899224806206</v>
      </c>
      <c r="D217" s="1">
        <f t="shared" si="106"/>
        <v>45.010657093357914</v>
      </c>
      <c r="E217">
        <v>99.45</v>
      </c>
      <c r="K217" s="1">
        <f>'Solar Availability and Gener GR'!F217</f>
        <v>0</v>
      </c>
      <c r="L217" s="1">
        <v>0.29596899224806206</v>
      </c>
      <c r="M217" s="1">
        <f t="shared" si="101"/>
        <v>-0.29596899224806206</v>
      </c>
      <c r="N217" s="1" t="str">
        <f t="shared" si="102"/>
        <v>Buy from Grid</v>
      </c>
      <c r="V217" s="1" t="str">
        <f t="shared" si="116"/>
        <v>discharge</v>
      </c>
      <c r="Y217" s="1">
        <f t="shared" si="99"/>
        <v>2.9434116279069774E-2</v>
      </c>
      <c r="AA217" s="1">
        <f t="shared" si="103"/>
        <v>75.40839197402714</v>
      </c>
      <c r="AD217" s="1">
        <f t="shared" si="104"/>
        <v>0</v>
      </c>
      <c r="AF217" s="1">
        <f t="shared" si="105"/>
        <v>0</v>
      </c>
      <c r="AH217" s="1">
        <f t="shared" si="113"/>
        <v>0</v>
      </c>
    </row>
    <row r="218" spans="1:34" ht="15">
      <c r="A218" s="1">
        <v>217</v>
      </c>
      <c r="B218" s="1">
        <f t="shared" si="114"/>
        <v>0</v>
      </c>
      <c r="C218" s="1">
        <f t="shared" si="100"/>
        <v>-0.29596899224806206</v>
      </c>
      <c r="D218" s="1">
        <f t="shared" si="106"/>
        <v>44.640695853047838</v>
      </c>
      <c r="E218">
        <v>100</v>
      </c>
      <c r="K218" s="1">
        <f>'Solar Availability and Gener GR'!F218</f>
        <v>0</v>
      </c>
      <c r="L218" s="1">
        <v>0.29596899224806206</v>
      </c>
      <c r="M218" s="1">
        <f t="shared" si="101"/>
        <v>-0.29596899224806206</v>
      </c>
      <c r="N218" s="1" t="str">
        <f t="shared" si="102"/>
        <v>Buy from Grid</v>
      </c>
      <c r="V218" s="1" t="str">
        <f t="shared" si="116"/>
        <v>discharge</v>
      </c>
      <c r="Y218" s="1">
        <f t="shared" si="99"/>
        <v>2.9596899224806204E-2</v>
      </c>
      <c r="AA218" s="1">
        <f t="shared" si="103"/>
        <v>75.112422981779076</v>
      </c>
      <c r="AD218" s="1">
        <f t="shared" si="104"/>
        <v>0</v>
      </c>
      <c r="AF218" s="1">
        <f t="shared" si="105"/>
        <v>0</v>
      </c>
      <c r="AH218" s="1">
        <f t="shared" si="113"/>
        <v>0</v>
      </c>
    </row>
    <row r="219" spans="1:34" ht="15">
      <c r="A219" s="1">
        <v>218</v>
      </c>
      <c r="B219" s="1">
        <f t="shared" si="114"/>
        <v>0</v>
      </c>
      <c r="C219" s="1">
        <f t="shared" si="100"/>
        <v>-0.29596899224806206</v>
      </c>
      <c r="D219" s="1">
        <f t="shared" si="106"/>
        <v>44.270734612737762</v>
      </c>
      <c r="E219">
        <v>85.79</v>
      </c>
      <c r="K219" s="1">
        <f>'Solar Availability and Gener GR'!F219</f>
        <v>0</v>
      </c>
      <c r="L219" s="1">
        <v>0.29596899224806206</v>
      </c>
      <c r="M219" s="1">
        <f t="shared" si="101"/>
        <v>-0.29596899224806206</v>
      </c>
      <c r="N219" s="1" t="str">
        <f t="shared" si="102"/>
        <v>Buy from Grid</v>
      </c>
      <c r="V219" s="1" t="str">
        <f t="shared" si="116"/>
        <v>discharge</v>
      </c>
      <c r="Y219" s="1">
        <f t="shared" si="99"/>
        <v>2.5391179844961247E-2</v>
      </c>
      <c r="AA219" s="1">
        <f t="shared" si="103"/>
        <v>74.816453989531013</v>
      </c>
      <c r="AD219" s="1">
        <f t="shared" si="104"/>
        <v>0</v>
      </c>
      <c r="AF219" s="1">
        <f t="shared" si="105"/>
        <v>0</v>
      </c>
      <c r="AH219" s="1">
        <f t="shared" si="113"/>
        <v>0</v>
      </c>
    </row>
    <row r="220" spans="1:34" ht="15">
      <c r="A220" s="1">
        <v>219</v>
      </c>
      <c r="B220" s="1">
        <f t="shared" si="114"/>
        <v>0</v>
      </c>
      <c r="C220" s="1">
        <f t="shared" si="100"/>
        <v>-0.29596899224806206</v>
      </c>
      <c r="D220" s="1">
        <f t="shared" si="106"/>
        <v>43.900773372427686</v>
      </c>
      <c r="E220">
        <v>71.08</v>
      </c>
      <c r="K220" s="1">
        <f>'Solar Availability and Gener GR'!F220</f>
        <v>0</v>
      </c>
      <c r="L220" s="1">
        <v>0.29596899224806206</v>
      </c>
      <c r="M220" s="1">
        <f t="shared" si="101"/>
        <v>-0.29596899224806206</v>
      </c>
      <c r="N220" s="1" t="str">
        <f t="shared" si="102"/>
        <v>Buy from Grid</v>
      </c>
      <c r="V220" s="1" t="str">
        <f t="shared" si="116"/>
        <v>discharge</v>
      </c>
      <c r="Y220" s="1">
        <f t="shared" si="99"/>
        <v>2.1037475968992251E-2</v>
      </c>
      <c r="AA220" s="1">
        <f t="shared" si="103"/>
        <v>74.520484997282949</v>
      </c>
      <c r="AD220" s="1">
        <f t="shared" si="104"/>
        <v>0</v>
      </c>
      <c r="AF220" s="1">
        <f t="shared" si="105"/>
        <v>0</v>
      </c>
      <c r="AH220" s="1">
        <f t="shared" si="113"/>
        <v>0</v>
      </c>
    </row>
    <row r="221" spans="1:34" ht="15">
      <c r="A221" s="1">
        <v>220</v>
      </c>
      <c r="B221" s="1">
        <f t="shared" si="114"/>
        <v>0</v>
      </c>
      <c r="C221" s="1">
        <f t="shared" si="100"/>
        <v>-0.39891472868217059</v>
      </c>
      <c r="D221" s="1">
        <f t="shared" si="106"/>
        <v>43.402129961574971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101"/>
        <v>-0.39891472868217059</v>
      </c>
      <c r="N221" s="1" t="str">
        <f t="shared" si="102"/>
        <v>Buy from Grid</v>
      </c>
      <c r="V221" s="1" t="str">
        <f t="shared" si="116"/>
        <v>discharge</v>
      </c>
      <c r="Y221" s="1">
        <f t="shared" si="99"/>
        <v>2.364367596899225E-2</v>
      </c>
      <c r="AA221" s="1">
        <f t="shared" si="103"/>
        <v>74.121570268600777</v>
      </c>
      <c r="AD221" s="1">
        <f t="shared" si="104"/>
        <v>0</v>
      </c>
      <c r="AF221" s="1">
        <f t="shared" si="105"/>
        <v>0</v>
      </c>
      <c r="AH221" s="1">
        <f t="shared" si="113"/>
        <v>0</v>
      </c>
    </row>
    <row r="222" spans="1:34" ht="15">
      <c r="A222" s="1">
        <v>221</v>
      </c>
      <c r="B222" s="1">
        <f t="shared" si="114"/>
        <v>0</v>
      </c>
      <c r="C222" s="1">
        <f t="shared" si="100"/>
        <v>-0.51472868217054268</v>
      </c>
      <c r="D222" s="1">
        <f t="shared" si="106"/>
        <v>42.75871910886179</v>
      </c>
      <c r="E222">
        <v>92.99</v>
      </c>
      <c r="K222" s="1">
        <f>'Solar Availability and Gener GR'!F222</f>
        <v>0</v>
      </c>
      <c r="L222" s="1">
        <v>0.51472868217054268</v>
      </c>
      <c r="M222" s="1">
        <f t="shared" si="101"/>
        <v>-0.51472868217054268</v>
      </c>
      <c r="N222" s="1" t="str">
        <f t="shared" si="102"/>
        <v>Buy from Grid</v>
      </c>
      <c r="V222" s="1" t="str">
        <f t="shared" si="116"/>
        <v>discharge</v>
      </c>
      <c r="Y222" s="1">
        <f t="shared" si="99"/>
        <v>4.7864620155038763E-2</v>
      </c>
      <c r="AA222" s="1">
        <f t="shared" si="103"/>
        <v>73.606841586430235</v>
      </c>
      <c r="AD222" s="1">
        <f t="shared" si="104"/>
        <v>0</v>
      </c>
      <c r="AF222" s="1">
        <f t="shared" si="105"/>
        <v>0</v>
      </c>
      <c r="AH222" s="1">
        <f t="shared" si="113"/>
        <v>0</v>
      </c>
    </row>
    <row r="223" spans="1:34" ht="15">
      <c r="A223" s="1">
        <v>222</v>
      </c>
      <c r="B223" s="1">
        <f t="shared" si="114"/>
        <v>0</v>
      </c>
      <c r="C223" s="1">
        <f t="shared" si="100"/>
        <v>-0.65627906976744199</v>
      </c>
      <c r="D223" s="1">
        <f t="shared" si="106"/>
        <v>41.938370271652488</v>
      </c>
      <c r="E223">
        <v>108.61</v>
      </c>
      <c r="K223" s="1">
        <f>'Solar Availability and Gener GR'!F223</f>
        <v>0</v>
      </c>
      <c r="L223" s="1">
        <v>0.65627906976744199</v>
      </c>
      <c r="M223" s="1">
        <f t="shared" si="101"/>
        <v>-0.65627906976744199</v>
      </c>
      <c r="N223" s="1" t="str">
        <f t="shared" si="102"/>
        <v>Buy from Grid</v>
      </c>
      <c r="V223" s="1" t="str">
        <f t="shared" si="116"/>
        <v>discharge</v>
      </c>
      <c r="Y223" s="1">
        <f t="shared" si="99"/>
        <v>7.1278469767441871E-2</v>
      </c>
      <c r="AA223" s="1">
        <f t="shared" si="103"/>
        <v>72.950562516662799</v>
      </c>
      <c r="AD223" s="1">
        <f t="shared" si="104"/>
        <v>0</v>
      </c>
      <c r="AF223" s="1">
        <f t="shared" si="105"/>
        <v>0</v>
      </c>
      <c r="AH223" s="1">
        <f t="shared" si="113"/>
        <v>0</v>
      </c>
    </row>
    <row r="224" spans="1:34" ht="15">
      <c r="A224" s="1">
        <v>223</v>
      </c>
      <c r="B224" s="1">
        <f t="shared" si="114"/>
        <v>0</v>
      </c>
      <c r="C224" s="1">
        <f t="shared" si="100"/>
        <v>-0.63966730087222212</v>
      </c>
      <c r="D224" s="1">
        <f t="shared" si="106"/>
        <v>41.138786145562207</v>
      </c>
      <c r="E224">
        <v>145.69</v>
      </c>
      <c r="K224" s="1">
        <f>'Solar Availability and Gener GR'!F224</f>
        <v>1.6611768895219918E-2</v>
      </c>
      <c r="L224" s="1">
        <v>0.65627906976744199</v>
      </c>
      <c r="M224" s="1">
        <f t="shared" si="101"/>
        <v>-0.63966730087222212</v>
      </c>
      <c r="N224" s="1" t="str">
        <f t="shared" si="102"/>
        <v>Buy from Grid</v>
      </c>
      <c r="V224" s="1" t="str">
        <f t="shared" si="116"/>
        <v>discharge</v>
      </c>
      <c r="Y224" s="1">
        <f t="shared" si="99"/>
        <v>9.5613297674418618E-2</v>
      </c>
      <c r="AA224" s="1">
        <f t="shared" si="103"/>
        <v>72.31089521579058</v>
      </c>
      <c r="AD224" s="1">
        <f t="shared" si="104"/>
        <v>0</v>
      </c>
      <c r="AF224" s="1">
        <f t="shared" si="105"/>
        <v>0</v>
      </c>
      <c r="AH224" s="1">
        <f t="shared" si="113"/>
        <v>0</v>
      </c>
    </row>
    <row r="225" spans="1:34" ht="15">
      <c r="A225" s="1">
        <v>224</v>
      </c>
      <c r="B225" s="1">
        <f t="shared" si="114"/>
        <v>0</v>
      </c>
      <c r="C225" s="1">
        <f t="shared" si="100"/>
        <v>-0.37312909706105396</v>
      </c>
      <c r="D225" s="1">
        <f t="shared" si="106"/>
        <v>40.672374774235891</v>
      </c>
      <c r="E225">
        <v>176.37</v>
      </c>
      <c r="K225" s="1">
        <f>'Solar Availability and Gener GR'!F225</f>
        <v>2.5785631621116648E-2</v>
      </c>
      <c r="L225" s="1">
        <v>0.39891472868217059</v>
      </c>
      <c r="M225" s="1">
        <f t="shared" si="101"/>
        <v>-0.37312909706105396</v>
      </c>
      <c r="N225" s="1" t="str">
        <f t="shared" si="102"/>
        <v>Buy from Grid</v>
      </c>
      <c r="V225" s="1" t="str">
        <f t="shared" si="116"/>
        <v>discharge</v>
      </c>
      <c r="Y225" s="1">
        <f t="shared" si="99"/>
        <v>7.0356590697674429E-2</v>
      </c>
      <c r="AA225" s="1">
        <f t="shared" si="103"/>
        <v>71.937766118729527</v>
      </c>
      <c r="AD225" s="1">
        <f t="shared" si="104"/>
        <v>0</v>
      </c>
      <c r="AF225" s="1">
        <f t="shared" si="105"/>
        <v>0</v>
      </c>
      <c r="AH225" s="1">
        <f t="shared" si="113"/>
        <v>0</v>
      </c>
    </row>
    <row r="226" spans="1:34" ht="15">
      <c r="A226" s="1">
        <v>225</v>
      </c>
      <c r="B226" s="1">
        <f t="shared" si="114"/>
        <v>0</v>
      </c>
      <c r="C226" s="1">
        <f t="shared" si="100"/>
        <v>-0.21075039146148189</v>
      </c>
      <c r="D226" s="1">
        <f t="shared" si="106"/>
        <v>40.408936784909038</v>
      </c>
      <c r="E226">
        <v>183.06</v>
      </c>
      <c r="K226" s="1">
        <f>'Solar Availability and Gener GR'!F226</f>
        <v>0.1881643372206887</v>
      </c>
      <c r="L226" s="1">
        <v>0.39891472868217059</v>
      </c>
      <c r="M226" s="1">
        <f t="shared" si="101"/>
        <v>-0.21075039146148189</v>
      </c>
      <c r="N226" s="1" t="str">
        <f t="shared" si="102"/>
        <v>Buy from Grid</v>
      </c>
      <c r="V226" s="1" t="str">
        <f t="shared" si="116"/>
        <v>discharge</v>
      </c>
      <c r="Y226" s="1">
        <f t="shared" si="99"/>
        <v>7.3025330232558153E-2</v>
      </c>
      <c r="AA226" s="1">
        <f t="shared" si="103"/>
        <v>71.727015727268039</v>
      </c>
      <c r="AD226" s="1">
        <f t="shared" si="104"/>
        <v>0</v>
      </c>
      <c r="AF226" s="1">
        <f t="shared" si="105"/>
        <v>0</v>
      </c>
      <c r="AH226" s="1">
        <f t="shared" si="113"/>
        <v>0</v>
      </c>
    </row>
    <row r="227" spans="1:34" ht="15">
      <c r="A227" s="1">
        <v>226</v>
      </c>
      <c r="B227" s="1">
        <f t="shared" si="114"/>
        <v>0</v>
      </c>
      <c r="C227" s="1">
        <f t="shared" si="100"/>
        <v>0.286694636580891</v>
      </c>
      <c r="D227" s="1">
        <f t="shared" si="106"/>
        <v>40.767305080635154</v>
      </c>
      <c r="E227">
        <v>169.51</v>
      </c>
      <c r="K227" s="1">
        <f>'Solar Availability and Gener GR'!F227</f>
        <v>0.6856093652630616</v>
      </c>
      <c r="L227" s="1">
        <v>0.39891472868217059</v>
      </c>
      <c r="M227" s="1">
        <f t="shared" si="101"/>
        <v>0.286694636580891</v>
      </c>
      <c r="N227" s="1" t="str">
        <f t="shared" si="102"/>
        <v>sell the surplus or charge</v>
      </c>
      <c r="O227" s="1">
        <v>0.25</v>
      </c>
      <c r="P227" s="1">
        <f t="shared" ref="P227:P234" si="117">0.25/L227</f>
        <v>0.62670034978624167</v>
      </c>
      <c r="Q227" s="1">
        <f t="shared" ref="Q227:Q234" si="118">K227-P227*L227</f>
        <v>0.4356093652630616</v>
      </c>
      <c r="R227" s="1">
        <f t="shared" ref="R227:R234" si="119">((1/(E227+0.01))*LN(0.25))+(E227*(K227-0.25))</f>
        <v>73.831965742875113</v>
      </c>
      <c r="S227" s="1">
        <f t="shared" ref="S227:S234" si="120">((1/(E227+0.01))*LN(L227))+(E227*(K227-L227))</f>
        <v>48.592186612768856</v>
      </c>
      <c r="T227" s="1">
        <f t="shared" ref="T227:T234" si="121">(S227+((S227^2)-4*(K227-L227*P227)*LN(L227*P227))^(0.5))/(2*(K227-L227*P227))</f>
        <v>111.57843444616124</v>
      </c>
      <c r="U227" s="1" t="str">
        <f t="shared" ref="U227:U234" si="122">IF(E227&gt;=T227*1.2,"sell to the Grid","charge")</f>
        <v>sell to the Grid</v>
      </c>
      <c r="W227" s="1">
        <f>(Q227*E227)/1000</f>
        <v>7.3840143505741571E-2</v>
      </c>
      <c r="Y227" s="1">
        <f t="shared" si="99"/>
        <v>6.7620035658914737E-2</v>
      </c>
      <c r="AA227" s="1">
        <f t="shared" si="103"/>
        <v>72.013710363848929</v>
      </c>
      <c r="AD227" s="1">
        <f t="shared" si="104"/>
        <v>0.25</v>
      </c>
      <c r="AF227" s="1">
        <f t="shared" si="105"/>
        <v>133.89412133539349</v>
      </c>
      <c r="AG227" s="1">
        <f>E227</f>
        <v>169.51</v>
      </c>
      <c r="AH227" s="1">
        <f t="shared" si="113"/>
        <v>73.840143505741565</v>
      </c>
    </row>
    <row r="228" spans="1:34" ht="15">
      <c r="A228" s="1">
        <v>227</v>
      </c>
      <c r="B228" s="1">
        <f t="shared" si="114"/>
        <v>1.1245571085195381</v>
      </c>
      <c r="C228" s="1">
        <f t="shared" si="100"/>
        <v>0</v>
      </c>
      <c r="D228" s="1">
        <f t="shared" si="106"/>
        <v>41.666950767450786</v>
      </c>
      <c r="E228">
        <v>162.44</v>
      </c>
      <c r="K228" s="1">
        <f>'Solar Availability and Gener GR'!F228</f>
        <v>1.3745571085195381</v>
      </c>
      <c r="L228" s="1">
        <v>0.39891472868217059</v>
      </c>
      <c r="M228" s="1">
        <f t="shared" si="101"/>
        <v>0.97564237983736746</v>
      </c>
      <c r="N228" s="1" t="str">
        <f t="shared" si="102"/>
        <v>sell the surplus or charge</v>
      </c>
      <c r="O228" s="1">
        <v>0.25</v>
      </c>
      <c r="P228" s="1">
        <f t="shared" si="117"/>
        <v>0.62670034978624167</v>
      </c>
      <c r="Q228" s="1">
        <f t="shared" si="118"/>
        <v>1.1245571085195381</v>
      </c>
      <c r="R228" s="1">
        <f t="shared" si="119"/>
        <v>182.66452303994748</v>
      </c>
      <c r="S228" s="1">
        <f t="shared" si="120"/>
        <v>158.47769100874439</v>
      </c>
      <c r="T228" s="1">
        <f t="shared" si="121"/>
        <v>140.9332850569958</v>
      </c>
      <c r="U228" s="1" t="str">
        <f t="shared" si="122"/>
        <v>charge</v>
      </c>
      <c r="Y228" s="1">
        <f t="shared" si="99"/>
        <v>6.479970852713178E-2</v>
      </c>
      <c r="AA228" s="1">
        <f t="shared" si="103"/>
        <v>72.989352743686297</v>
      </c>
      <c r="AD228" s="1">
        <f t="shared" si="104"/>
        <v>0.25</v>
      </c>
      <c r="AF228" s="1">
        <f t="shared" si="105"/>
        <v>169.11994206839495</v>
      </c>
      <c r="AH228" s="1">
        <f t="shared" si="113"/>
        <v>0</v>
      </c>
    </row>
    <row r="229" spans="1:34" ht="15">
      <c r="A229" s="1">
        <v>228</v>
      </c>
      <c r="B229" s="1">
        <f t="shared" si="114"/>
        <v>1.5453930383690888</v>
      </c>
      <c r="C229" s="1">
        <f t="shared" si="100"/>
        <v>0</v>
      </c>
      <c r="D229" s="1">
        <f t="shared" si="106"/>
        <v>42.903265198146059</v>
      </c>
      <c r="E229">
        <v>159.97999999999999</v>
      </c>
      <c r="K229" s="1">
        <f>'Solar Availability and Gener GR'!F229</f>
        <v>1.7953930383690888</v>
      </c>
      <c r="L229" s="1">
        <v>0.39891472868217059</v>
      </c>
      <c r="M229" s="1">
        <f t="shared" si="101"/>
        <v>1.3964783096869182</v>
      </c>
      <c r="N229" s="1" t="str">
        <f t="shared" si="102"/>
        <v>sell the surplus or charge</v>
      </c>
      <c r="O229" s="1">
        <v>0.25</v>
      </c>
      <c r="P229" s="1">
        <f t="shared" si="117"/>
        <v>0.62670034978624167</v>
      </c>
      <c r="Q229" s="1">
        <f t="shared" si="118"/>
        <v>1.5453930383690888</v>
      </c>
      <c r="R229" s="1">
        <f t="shared" si="119"/>
        <v>247.22331339697473</v>
      </c>
      <c r="S229" s="1">
        <f t="shared" si="120"/>
        <v>223.40285582721896</v>
      </c>
      <c r="T229" s="1">
        <f t="shared" si="121"/>
        <v>144.56674747681279</v>
      </c>
      <c r="U229" s="1" t="str">
        <f t="shared" si="122"/>
        <v>charge</v>
      </c>
      <c r="Y229" s="1">
        <f t="shared" si="99"/>
        <v>6.3818378294573652E-2</v>
      </c>
      <c r="AA229" s="1">
        <f t="shared" si="103"/>
        <v>74.385831053373209</v>
      </c>
      <c r="AD229" s="1">
        <f t="shared" si="104"/>
        <v>0.25</v>
      </c>
      <c r="AF229" s="1">
        <f t="shared" si="105"/>
        <v>173.48009697217535</v>
      </c>
      <c r="AH229" s="1">
        <f t="shared" si="113"/>
        <v>0</v>
      </c>
    </row>
    <row r="230" spans="1:34" ht="15">
      <c r="A230" s="1">
        <v>229</v>
      </c>
      <c r="B230" s="1">
        <f t="shared" si="114"/>
        <v>1.7268939731149291</v>
      </c>
      <c r="C230" s="1">
        <f t="shared" si="100"/>
        <v>0</v>
      </c>
      <c r="D230" s="1">
        <f t="shared" si="106"/>
        <v>44.284780376638004</v>
      </c>
      <c r="E230">
        <v>146.19</v>
      </c>
      <c r="K230" s="1">
        <f>'Solar Availability and Gener GR'!F230</f>
        <v>1.9768939731149291</v>
      </c>
      <c r="L230" s="1">
        <v>0.39891472868217059</v>
      </c>
      <c r="M230" s="1">
        <f t="shared" si="101"/>
        <v>1.5779792444327585</v>
      </c>
      <c r="N230" s="1" t="str">
        <f t="shared" si="102"/>
        <v>sell the surplus or charge</v>
      </c>
      <c r="O230" s="1">
        <v>0.25</v>
      </c>
      <c r="P230" s="1">
        <f t="shared" si="117"/>
        <v>0.62670034978624167</v>
      </c>
      <c r="Q230" s="1">
        <f t="shared" si="118"/>
        <v>1.7268939731149291</v>
      </c>
      <c r="R230" s="1">
        <f t="shared" si="119"/>
        <v>252.44514775209885</v>
      </c>
      <c r="S230" s="1">
        <f t="shared" si="120"/>
        <v>230.6784997819457</v>
      </c>
      <c r="T230" s="1">
        <f t="shared" si="121"/>
        <v>133.58601102026228</v>
      </c>
      <c r="U230" s="1" t="str">
        <f t="shared" si="122"/>
        <v>charge</v>
      </c>
      <c r="Y230" s="1">
        <f t="shared" si="99"/>
        <v>5.8317344186046519E-2</v>
      </c>
      <c r="AA230" s="1">
        <f t="shared" si="103"/>
        <v>75.963810297805964</v>
      </c>
      <c r="AD230" s="1">
        <f t="shared" si="104"/>
        <v>0.25</v>
      </c>
      <c r="AF230" s="1">
        <f t="shared" si="105"/>
        <v>160.30321322431473</v>
      </c>
      <c r="AH230" s="1">
        <f t="shared" si="113"/>
        <v>0</v>
      </c>
    </row>
    <row r="231" spans="1:34" ht="15">
      <c r="A231" s="1">
        <v>230</v>
      </c>
      <c r="B231" s="1">
        <f t="shared" si="114"/>
        <v>1.7456423039259323</v>
      </c>
      <c r="C231" s="1">
        <f t="shared" si="100"/>
        <v>0</v>
      </c>
      <c r="D231" s="1">
        <f t="shared" si="106"/>
        <v>45.681294219778749</v>
      </c>
      <c r="E231">
        <v>145.13</v>
      </c>
      <c r="K231" s="1">
        <f>'Solar Availability and Gener GR'!F231</f>
        <v>1.9956423039259323</v>
      </c>
      <c r="L231" s="1">
        <v>0.39891472868217059</v>
      </c>
      <c r="M231" s="1">
        <f t="shared" si="101"/>
        <v>1.5967275752437617</v>
      </c>
      <c r="N231" s="1" t="str">
        <f t="shared" si="102"/>
        <v>sell the surplus or charge</v>
      </c>
      <c r="O231" s="1">
        <v>0.25</v>
      </c>
      <c r="P231" s="1">
        <f t="shared" si="117"/>
        <v>0.62670034978624167</v>
      </c>
      <c r="Q231" s="1">
        <f t="shared" si="118"/>
        <v>1.7456423039259323</v>
      </c>
      <c r="R231" s="1">
        <f t="shared" si="119"/>
        <v>253.33551614007331</v>
      </c>
      <c r="S231" s="1">
        <f t="shared" si="120"/>
        <v>231.7267411252256</v>
      </c>
      <c r="T231" s="1">
        <f t="shared" si="121"/>
        <v>132.75181482292444</v>
      </c>
      <c r="U231" s="1" t="str">
        <f t="shared" si="122"/>
        <v>charge</v>
      </c>
      <c r="Y231" s="1">
        <f t="shared" si="99"/>
        <v>5.7894494573643415E-2</v>
      </c>
      <c r="AA231" s="1">
        <f t="shared" si="103"/>
        <v>77.560537873049725</v>
      </c>
      <c r="AD231" s="1">
        <f t="shared" si="104"/>
        <v>0.25</v>
      </c>
      <c r="AF231" s="1">
        <f t="shared" si="105"/>
        <v>159.30217778750932</v>
      </c>
      <c r="AH231" s="1">
        <f t="shared" si="113"/>
        <v>0</v>
      </c>
    </row>
    <row r="232" spans="1:34" ht="15">
      <c r="A232" s="1">
        <v>231</v>
      </c>
      <c r="B232" s="1">
        <f t="shared" si="114"/>
        <v>1.6111857918632597</v>
      </c>
      <c r="C232" s="1">
        <f t="shared" si="100"/>
        <v>0</v>
      </c>
      <c r="D232" s="1">
        <f t="shared" si="106"/>
        <v>46.970242853269355</v>
      </c>
      <c r="E232">
        <v>162.46</v>
      </c>
      <c r="K232" s="1">
        <f>'Solar Availability and Gener GR'!F232</f>
        <v>1.8611857918632597</v>
      </c>
      <c r="L232" s="1">
        <v>0.4117829457364342</v>
      </c>
      <c r="M232" s="1">
        <f t="shared" si="101"/>
        <v>1.4494028461268256</v>
      </c>
      <c r="N232" s="1" t="str">
        <f t="shared" si="102"/>
        <v>sell the surplus or charge</v>
      </c>
      <c r="O232" s="1">
        <v>0.25</v>
      </c>
      <c r="P232" s="1">
        <f t="shared" si="117"/>
        <v>0.60711596385542155</v>
      </c>
      <c r="Q232" s="1">
        <f t="shared" si="118"/>
        <v>1.6111857918632597</v>
      </c>
      <c r="R232" s="1">
        <f t="shared" si="119"/>
        <v>261.74471112863046</v>
      </c>
      <c r="S232" s="1">
        <f t="shared" si="120"/>
        <v>235.4645253188036</v>
      </c>
      <c r="T232" s="1">
        <f t="shared" si="121"/>
        <v>146.14950799682887</v>
      </c>
      <c r="U232" s="1" t="str">
        <f t="shared" si="122"/>
        <v>charge</v>
      </c>
      <c r="Y232" s="1">
        <f t="shared" si="99"/>
        <v>6.6898257364341102E-2</v>
      </c>
      <c r="AA232" s="1">
        <f t="shared" si="103"/>
        <v>79.009940719176555</v>
      </c>
      <c r="AD232" s="1">
        <f t="shared" si="104"/>
        <v>0.25</v>
      </c>
      <c r="AF232" s="1">
        <f t="shared" si="105"/>
        <v>175.37940959619465</v>
      </c>
      <c r="AH232" s="1">
        <f t="shared" si="113"/>
        <v>0</v>
      </c>
    </row>
    <row r="233" spans="1:34" ht="15">
      <c r="A233" s="1">
        <v>232</v>
      </c>
      <c r="B233" s="1">
        <f t="shared" si="114"/>
        <v>0</v>
      </c>
      <c r="C233" s="1">
        <f t="shared" si="100"/>
        <v>0</v>
      </c>
      <c r="D233" s="1">
        <f t="shared" si="106"/>
        <v>46.970242853269355</v>
      </c>
      <c r="E233">
        <v>168.92</v>
      </c>
      <c r="K233" s="1">
        <f>'Solar Availability and Gener GR'!F233</f>
        <v>1.5639633223537788</v>
      </c>
      <c r="L233" s="1">
        <v>0.66914728682170543</v>
      </c>
      <c r="M233" s="1">
        <f t="shared" si="101"/>
        <v>0.89481603553207334</v>
      </c>
      <c r="N233" s="1" t="str">
        <f t="shared" si="102"/>
        <v>sell the surplus or charge</v>
      </c>
      <c r="O233" s="1">
        <v>0.25</v>
      </c>
      <c r="P233" s="1">
        <f t="shared" si="117"/>
        <v>0.3736098239110287</v>
      </c>
      <c r="Q233" s="1">
        <f t="shared" si="118"/>
        <v>1.3139633223537788</v>
      </c>
      <c r="R233" s="1">
        <f t="shared" si="119"/>
        <v>221.94647808771734</v>
      </c>
      <c r="S233" s="1">
        <f t="shared" si="120"/>
        <v>151.14994651167461</v>
      </c>
      <c r="T233" s="1">
        <f t="shared" si="121"/>
        <v>115.04278254244166</v>
      </c>
      <c r="U233" s="1" t="str">
        <f t="shared" si="122"/>
        <v>sell to the Grid</v>
      </c>
      <c r="W233" s="1">
        <f>(Q233*E233)/1000</f>
        <v>0.22195468441200028</v>
      </c>
      <c r="Y233" s="1">
        <f t="shared" si="99"/>
        <v>0.11303235968992248</v>
      </c>
      <c r="AA233" s="1">
        <f t="shared" si="103"/>
        <v>79.904756754708629</v>
      </c>
      <c r="AD233" s="1">
        <f t="shared" si="104"/>
        <v>0.25</v>
      </c>
      <c r="AF233" s="1">
        <f t="shared" si="105"/>
        <v>138.05133905092998</v>
      </c>
      <c r="AG233" s="1">
        <f>AF232</f>
        <v>175.37940959619465</v>
      </c>
      <c r="AH233" s="1">
        <f t="shared" si="113"/>
        <v>230.44211170546012</v>
      </c>
    </row>
    <row r="234" spans="1:34" ht="15">
      <c r="A234" s="1">
        <v>233</v>
      </c>
      <c r="B234" s="1">
        <f t="shared" si="114"/>
        <v>0</v>
      </c>
      <c r="C234" s="1">
        <f t="shared" si="100"/>
        <v>0</v>
      </c>
      <c r="D234" s="1">
        <f t="shared" si="106"/>
        <v>46.970242853269355</v>
      </c>
      <c r="E234">
        <v>166.2</v>
      </c>
      <c r="K234" s="1">
        <f>'Solar Availability and Gener GR'!F234</f>
        <v>1.065690376569036</v>
      </c>
      <c r="L234" s="1">
        <v>0.65627906976744199</v>
      </c>
      <c r="M234" s="1">
        <f t="shared" si="101"/>
        <v>0.40941130680159399</v>
      </c>
      <c r="N234" s="1" t="str">
        <f t="shared" si="102"/>
        <v>sell the surplus or charge</v>
      </c>
      <c r="O234" s="1">
        <v>0.25</v>
      </c>
      <c r="P234" s="1">
        <f t="shared" si="117"/>
        <v>0.38093550673281351</v>
      </c>
      <c r="Q234" s="1">
        <f t="shared" si="118"/>
        <v>0.81569037656903598</v>
      </c>
      <c r="R234" s="1">
        <f t="shared" si="119"/>
        <v>135.55939996630971</v>
      </c>
      <c r="S234" s="1">
        <f t="shared" si="120"/>
        <v>68.041625232364225</v>
      </c>
      <c r="T234" s="1">
        <f t="shared" si="121"/>
        <v>83.436365289077031</v>
      </c>
      <c r="U234" s="1" t="str">
        <f t="shared" si="122"/>
        <v>sell to the Grid</v>
      </c>
      <c r="W234" s="1">
        <f>(Q234*E234)/1000</f>
        <v>0.13556774058577378</v>
      </c>
      <c r="Y234" s="1">
        <f t="shared" si="99"/>
        <v>0.10907358139534885</v>
      </c>
      <c r="AA234" s="1">
        <f t="shared" si="103"/>
        <v>80.314168061510216</v>
      </c>
      <c r="AD234" s="1">
        <f t="shared" si="104"/>
        <v>0.25</v>
      </c>
      <c r="AF234" s="1">
        <f t="shared" si="105"/>
        <v>100.12363834689243</v>
      </c>
      <c r="AG234" s="1">
        <f>AF233</f>
        <v>138.05133905092998</v>
      </c>
      <c r="AH234" s="1">
        <f t="shared" si="113"/>
        <v>112.60714873631274</v>
      </c>
    </row>
    <row r="235" spans="1:34" ht="15">
      <c r="A235" s="1">
        <v>234</v>
      </c>
      <c r="B235" s="1">
        <f t="shared" si="114"/>
        <v>0</v>
      </c>
      <c r="C235" s="1">
        <f t="shared" si="100"/>
        <v>0</v>
      </c>
      <c r="D235" s="1">
        <f t="shared" si="106"/>
        <v>46.970242853269355</v>
      </c>
      <c r="E235">
        <v>170.71</v>
      </c>
      <c r="K235" s="1">
        <f>'Solar Availability and Gener GR'!F235</f>
        <v>0.46207157482417677</v>
      </c>
      <c r="L235" s="1">
        <v>0.66914728682170543</v>
      </c>
      <c r="M235" s="1">
        <f t="shared" si="101"/>
        <v>-0.20707571199752867</v>
      </c>
      <c r="N235" s="1" t="str">
        <f t="shared" si="102"/>
        <v>Buy from Grid</v>
      </c>
      <c r="V235" s="1" t="str">
        <f t="shared" ref="V235:V251" si="123">IF(D235+M235&gt;0,"discharge","buy from the Grid")</f>
        <v>discharge</v>
      </c>
      <c r="Y235" s="1">
        <f t="shared" si="99"/>
        <v>0.11423013333333334</v>
      </c>
      <c r="AA235" s="1">
        <f t="shared" si="103"/>
        <v>80.107092349512683</v>
      </c>
      <c r="AD235" s="1">
        <f t="shared" si="104"/>
        <v>0</v>
      </c>
      <c r="AF235" s="1">
        <f t="shared" si="105"/>
        <v>0</v>
      </c>
      <c r="AH235" s="1">
        <f t="shared" si="113"/>
        <v>0</v>
      </c>
    </row>
    <row r="236" spans="1:34" ht="15">
      <c r="A236" s="1">
        <v>235</v>
      </c>
      <c r="B236" s="1">
        <f t="shared" si="114"/>
        <v>0</v>
      </c>
      <c r="C236" s="1">
        <f t="shared" si="100"/>
        <v>-0.60964403746712481</v>
      </c>
      <c r="D236" s="1">
        <f t="shared" si="106"/>
        <v>46.208187806435447</v>
      </c>
      <c r="E236">
        <v>167.74</v>
      </c>
      <c r="K236" s="1">
        <f>'Solar Availability and Gener GR'!F236</f>
        <v>5.9503249354580651E-2</v>
      </c>
      <c r="L236" s="1">
        <v>0.66914728682170543</v>
      </c>
      <c r="M236" s="1">
        <f t="shared" si="101"/>
        <v>-0.60964403746712481</v>
      </c>
      <c r="N236" s="1" t="str">
        <f t="shared" si="102"/>
        <v>Buy from Grid</v>
      </c>
      <c r="V236" s="1" t="str">
        <f t="shared" si="123"/>
        <v>discharge</v>
      </c>
      <c r="Y236" s="1">
        <f t="shared" si="99"/>
        <v>0.11224276589147288</v>
      </c>
      <c r="AA236" s="1">
        <f t="shared" si="103"/>
        <v>79.497448312045563</v>
      </c>
      <c r="AD236" s="1">
        <f t="shared" si="104"/>
        <v>0</v>
      </c>
      <c r="AF236" s="1">
        <f t="shared" si="105"/>
        <v>0</v>
      </c>
      <c r="AH236" s="1">
        <f t="shared" si="113"/>
        <v>0</v>
      </c>
    </row>
    <row r="237" spans="1:34" ht="15">
      <c r="A237" s="1">
        <v>236</v>
      </c>
      <c r="B237" s="1">
        <f t="shared" si="114"/>
        <v>0</v>
      </c>
      <c r="C237" s="1">
        <f t="shared" si="100"/>
        <v>-0.39891472868217059</v>
      </c>
      <c r="D237" s="1">
        <f t="shared" si="106"/>
        <v>45.709544395582732</v>
      </c>
      <c r="E237">
        <v>216.28</v>
      </c>
      <c r="K237" s="1">
        <f>'Solar Availability and Gener GR'!F237</f>
        <v>0</v>
      </c>
      <c r="L237" s="1">
        <v>0.39891472868217059</v>
      </c>
      <c r="M237" s="1">
        <f t="shared" si="101"/>
        <v>-0.39891472868217059</v>
      </c>
      <c r="N237" s="1" t="str">
        <f t="shared" si="102"/>
        <v>Buy from Grid</v>
      </c>
      <c r="V237" s="1" t="str">
        <f t="shared" si="123"/>
        <v>discharge</v>
      </c>
      <c r="Y237" s="1">
        <f t="shared" si="99"/>
        <v>8.6277277519379844E-2</v>
      </c>
      <c r="AA237" s="1">
        <f t="shared" si="103"/>
        <v>79.098533583363391</v>
      </c>
      <c r="AD237" s="1">
        <f t="shared" si="104"/>
        <v>0</v>
      </c>
      <c r="AF237" s="1">
        <f t="shared" si="105"/>
        <v>0</v>
      </c>
      <c r="AH237" s="1">
        <f t="shared" si="113"/>
        <v>0</v>
      </c>
    </row>
    <row r="238" spans="1:34" ht="15">
      <c r="A238" s="1">
        <v>237</v>
      </c>
      <c r="B238" s="1">
        <f t="shared" si="114"/>
        <v>0</v>
      </c>
      <c r="C238" s="1">
        <f t="shared" si="100"/>
        <v>-0.39891472868217059</v>
      </c>
      <c r="D238" s="1">
        <f t="shared" si="106"/>
        <v>45.210900984730017</v>
      </c>
      <c r="E238">
        <v>228.74</v>
      </c>
      <c r="K238" s="1">
        <f>'Solar Availability and Gener GR'!F238</f>
        <v>0</v>
      </c>
      <c r="L238" s="1">
        <v>0.39891472868217059</v>
      </c>
      <c r="M238" s="1">
        <f t="shared" si="101"/>
        <v>-0.39891472868217059</v>
      </c>
      <c r="N238" s="1" t="str">
        <f t="shared" si="102"/>
        <v>Buy from Grid</v>
      </c>
      <c r="V238" s="1" t="str">
        <f t="shared" si="123"/>
        <v>discharge</v>
      </c>
      <c r="Y238" s="1">
        <f t="shared" si="99"/>
        <v>9.1247755038759704E-2</v>
      </c>
      <c r="AA238" s="1">
        <f t="shared" si="103"/>
        <v>78.699618854681219</v>
      </c>
      <c r="AD238" s="1">
        <f t="shared" si="104"/>
        <v>0</v>
      </c>
      <c r="AF238" s="1">
        <f t="shared" si="105"/>
        <v>0</v>
      </c>
      <c r="AH238" s="1">
        <f t="shared" si="113"/>
        <v>0</v>
      </c>
    </row>
    <row r="239" spans="1:34" ht="15">
      <c r="A239" s="1">
        <v>238</v>
      </c>
      <c r="B239" s="1">
        <f t="shared" si="114"/>
        <v>0</v>
      </c>
      <c r="C239" s="1">
        <f t="shared" si="100"/>
        <v>-0.25736434108527134</v>
      </c>
      <c r="D239" s="1">
        <f t="shared" si="106"/>
        <v>44.88919555837343</v>
      </c>
      <c r="E239">
        <v>165</v>
      </c>
      <c r="K239" s="1">
        <f>'Solar Availability and Gener GR'!F239</f>
        <v>0</v>
      </c>
      <c r="L239" s="1">
        <v>0.25736434108527134</v>
      </c>
      <c r="M239" s="1">
        <f t="shared" si="101"/>
        <v>-0.25736434108527134</v>
      </c>
      <c r="N239" s="1" t="str">
        <f t="shared" si="102"/>
        <v>Buy from Grid</v>
      </c>
      <c r="V239" s="1" t="str">
        <f t="shared" si="123"/>
        <v>discharge</v>
      </c>
      <c r="Y239" s="1">
        <f t="shared" si="99"/>
        <v>4.2465116279069771E-2</v>
      </c>
      <c r="AA239" s="1">
        <f t="shared" si="103"/>
        <v>78.442254513595941</v>
      </c>
      <c r="AD239" s="1">
        <f t="shared" si="104"/>
        <v>0</v>
      </c>
      <c r="AF239" s="1">
        <f t="shared" si="105"/>
        <v>0</v>
      </c>
      <c r="AH239" s="1">
        <f t="shared" si="113"/>
        <v>0</v>
      </c>
    </row>
    <row r="240" spans="1:34" ht="15">
      <c r="A240" s="1">
        <v>239</v>
      </c>
      <c r="B240" s="1">
        <f t="shared" si="114"/>
        <v>0</v>
      </c>
      <c r="C240" s="1">
        <f t="shared" si="100"/>
        <v>-0.25736434108527134</v>
      </c>
      <c r="D240" s="1">
        <f t="shared" si="106"/>
        <v>44.567490132016843</v>
      </c>
      <c r="E240">
        <v>155</v>
      </c>
      <c r="K240" s="1">
        <f>'Solar Availability and Gener GR'!F240</f>
        <v>0</v>
      </c>
      <c r="L240" s="1">
        <v>0.25736434108527134</v>
      </c>
      <c r="M240" s="1">
        <f t="shared" si="101"/>
        <v>-0.25736434108527134</v>
      </c>
      <c r="N240" s="1" t="str">
        <f t="shared" si="102"/>
        <v>Buy from Grid</v>
      </c>
      <c r="V240" s="1" t="str">
        <f t="shared" si="123"/>
        <v>discharge</v>
      </c>
      <c r="Y240" s="1">
        <f t="shared" si="99"/>
        <v>3.9891472868217058E-2</v>
      </c>
      <c r="AA240" s="1">
        <f t="shared" si="103"/>
        <v>78.184890172510663</v>
      </c>
      <c r="AD240" s="1">
        <f t="shared" si="104"/>
        <v>0</v>
      </c>
      <c r="AF240" s="1">
        <f t="shared" si="105"/>
        <v>0</v>
      </c>
      <c r="AH240" s="1">
        <f t="shared" si="113"/>
        <v>0</v>
      </c>
    </row>
    <row r="241" spans="1:34" ht="15">
      <c r="A241" s="1">
        <v>240</v>
      </c>
      <c r="B241" s="1">
        <f t="shared" si="114"/>
        <v>0</v>
      </c>
      <c r="C241" s="1">
        <f t="shared" si="100"/>
        <v>-0.19302325581395352</v>
      </c>
      <c r="D241" s="1">
        <f t="shared" si="106"/>
        <v>44.326211062249399</v>
      </c>
      <c r="E241">
        <v>228.5</v>
      </c>
      <c r="K241" s="1">
        <f>'Solar Availability and Gener GR'!F241</f>
        <v>0</v>
      </c>
      <c r="L241" s="1">
        <v>0.19302325581395352</v>
      </c>
      <c r="M241" s="1">
        <f t="shared" si="101"/>
        <v>-0.19302325581395352</v>
      </c>
      <c r="N241" s="1" t="str">
        <f t="shared" si="102"/>
        <v>Buy from Grid</v>
      </c>
      <c r="V241" s="1" t="str">
        <f t="shared" si="123"/>
        <v>discharge</v>
      </c>
      <c r="Y241" s="1">
        <f t="shared" si="99"/>
        <v>4.4105813953488379E-2</v>
      </c>
      <c r="AA241" s="1">
        <f t="shared" si="103"/>
        <v>77.991866916696708</v>
      </c>
      <c r="AD241" s="1">
        <f t="shared" si="104"/>
        <v>0</v>
      </c>
      <c r="AF241" s="1">
        <f t="shared" si="105"/>
        <v>0</v>
      </c>
      <c r="AH241" s="1">
        <f t="shared" si="113"/>
        <v>0</v>
      </c>
    </row>
    <row r="242" spans="1:34" ht="15">
      <c r="A242" s="1">
        <v>241</v>
      </c>
      <c r="B242" s="1">
        <f t="shared" si="114"/>
        <v>0</v>
      </c>
      <c r="C242" s="1">
        <f t="shared" si="100"/>
        <v>-0.19302325581395352</v>
      </c>
      <c r="D242" s="1">
        <f t="shared" si="106"/>
        <v>44.084931992481955</v>
      </c>
      <c r="E242">
        <v>269.12</v>
      </c>
      <c r="K242" s="1">
        <f>'Solar Availability and Gener GR'!F242</f>
        <v>0</v>
      </c>
      <c r="L242" s="1">
        <v>0.19302325581395352</v>
      </c>
      <c r="M242" s="1">
        <f t="shared" si="101"/>
        <v>-0.19302325581395352</v>
      </c>
      <c r="N242" s="1" t="str">
        <f t="shared" si="102"/>
        <v>Buy from Grid</v>
      </c>
      <c r="V242" s="1" t="str">
        <f t="shared" si="123"/>
        <v>discharge</v>
      </c>
      <c r="Y242" s="1">
        <f t="shared" si="99"/>
        <v>5.1946418604651171E-2</v>
      </c>
      <c r="AA242" s="1">
        <f t="shared" si="103"/>
        <v>77.798843660882753</v>
      </c>
      <c r="AD242" s="1">
        <f t="shared" si="104"/>
        <v>0</v>
      </c>
      <c r="AF242" s="1">
        <f t="shared" si="105"/>
        <v>0</v>
      </c>
      <c r="AH242" s="1">
        <f t="shared" si="113"/>
        <v>0</v>
      </c>
    </row>
    <row r="243" spans="1:34" ht="15">
      <c r="A243" s="1">
        <v>242</v>
      </c>
      <c r="B243" s="1">
        <f t="shared" si="114"/>
        <v>0</v>
      </c>
      <c r="C243" s="1">
        <f t="shared" si="100"/>
        <v>-0.19302325581395352</v>
      </c>
      <c r="D243" s="1">
        <f t="shared" si="106"/>
        <v>43.843652922714512</v>
      </c>
      <c r="E243">
        <v>251</v>
      </c>
      <c r="K243" s="1">
        <f>'Solar Availability and Gener GR'!F243</f>
        <v>0</v>
      </c>
      <c r="L243" s="1">
        <v>0.19302325581395352</v>
      </c>
      <c r="M243" s="1">
        <f t="shared" si="101"/>
        <v>-0.19302325581395352</v>
      </c>
      <c r="N243" s="1" t="str">
        <f t="shared" si="102"/>
        <v>Buy from Grid</v>
      </c>
      <c r="V243" s="1" t="str">
        <f t="shared" si="123"/>
        <v>discharge</v>
      </c>
      <c r="Y243" s="1">
        <f t="shared" si="99"/>
        <v>4.8448837209302334E-2</v>
      </c>
      <c r="AA243" s="1">
        <f t="shared" si="103"/>
        <v>77.605820405068798</v>
      </c>
      <c r="AD243" s="1">
        <f t="shared" si="104"/>
        <v>0</v>
      </c>
      <c r="AF243" s="1">
        <f t="shared" si="105"/>
        <v>0</v>
      </c>
      <c r="AH243" s="1">
        <f t="shared" si="113"/>
        <v>0</v>
      </c>
    </row>
    <row r="244" spans="1:34" ht="15">
      <c r="A244" s="1">
        <v>243</v>
      </c>
      <c r="B244" s="1">
        <f t="shared" si="114"/>
        <v>0</v>
      </c>
      <c r="C244" s="1">
        <f t="shared" si="100"/>
        <v>-0.19302325581395352</v>
      </c>
      <c r="D244" s="1">
        <f t="shared" si="106"/>
        <v>43.602373852947068</v>
      </c>
      <c r="E244">
        <v>251</v>
      </c>
      <c r="K244" s="1">
        <f>'Solar Availability and Gener GR'!F244</f>
        <v>0</v>
      </c>
      <c r="L244" s="1">
        <v>0.19302325581395352</v>
      </c>
      <c r="M244" s="1">
        <f t="shared" si="101"/>
        <v>-0.19302325581395352</v>
      </c>
      <c r="N244" s="1" t="str">
        <f t="shared" si="102"/>
        <v>Buy from Grid</v>
      </c>
      <c r="V244" s="1" t="str">
        <f t="shared" si="123"/>
        <v>discharge</v>
      </c>
      <c r="Y244" s="1">
        <f t="shared" si="99"/>
        <v>4.8448837209302334E-2</v>
      </c>
      <c r="AA244" s="1">
        <f t="shared" si="103"/>
        <v>77.412797149254843</v>
      </c>
      <c r="AD244" s="1">
        <f t="shared" si="104"/>
        <v>0</v>
      </c>
      <c r="AF244" s="1">
        <f t="shared" si="105"/>
        <v>0</v>
      </c>
      <c r="AH244" s="1">
        <f t="shared" si="113"/>
        <v>0</v>
      </c>
    </row>
    <row r="245" spans="1:34" ht="15">
      <c r="A245" s="1">
        <v>244</v>
      </c>
      <c r="B245" s="1">
        <f t="shared" si="114"/>
        <v>0</v>
      </c>
      <c r="C245" s="1">
        <f t="shared" si="100"/>
        <v>-0.19302325581395352</v>
      </c>
      <c r="D245" s="1">
        <f t="shared" si="106"/>
        <v>43.361094783179624</v>
      </c>
      <c r="E245">
        <v>133.94999999999999</v>
      </c>
      <c r="K245" s="1">
        <f>'Solar Availability and Gener GR'!F245</f>
        <v>0</v>
      </c>
      <c r="L245" s="1">
        <v>0.19302325581395352</v>
      </c>
      <c r="M245" s="1">
        <f t="shared" si="101"/>
        <v>-0.19302325581395352</v>
      </c>
      <c r="N245" s="1" t="str">
        <f t="shared" si="102"/>
        <v>Buy from Grid</v>
      </c>
      <c r="V245" s="1" t="str">
        <f t="shared" si="123"/>
        <v>discharge</v>
      </c>
      <c r="Y245" s="1">
        <f t="shared" si="99"/>
        <v>2.5855465116279071E-2</v>
      </c>
      <c r="AA245" s="1">
        <f t="shared" si="103"/>
        <v>77.219773893440887</v>
      </c>
      <c r="AD245" s="1">
        <f t="shared" si="104"/>
        <v>0</v>
      </c>
      <c r="AF245" s="1">
        <f t="shared" si="105"/>
        <v>0</v>
      </c>
      <c r="AH245" s="1">
        <f t="shared" si="113"/>
        <v>0</v>
      </c>
    </row>
    <row r="246" spans="1:34" ht="15">
      <c r="A246" s="1">
        <v>245</v>
      </c>
      <c r="B246" s="1">
        <f t="shared" si="114"/>
        <v>0</v>
      </c>
      <c r="C246" s="1">
        <f t="shared" si="100"/>
        <v>-0.19302325581395352</v>
      </c>
      <c r="D246" s="1">
        <f t="shared" si="106"/>
        <v>43.11981571341218</v>
      </c>
      <c r="E246">
        <v>270.58</v>
      </c>
      <c r="K246" s="1">
        <f>'Solar Availability and Gener GR'!F246</f>
        <v>0</v>
      </c>
      <c r="L246" s="1">
        <v>0.19302325581395352</v>
      </c>
      <c r="M246" s="1">
        <f t="shared" si="101"/>
        <v>-0.19302325581395352</v>
      </c>
      <c r="N246" s="1" t="str">
        <f t="shared" si="102"/>
        <v>Buy from Grid</v>
      </c>
      <c r="V246" s="1" t="str">
        <f t="shared" si="123"/>
        <v>discharge</v>
      </c>
      <c r="Y246" s="1">
        <f t="shared" si="99"/>
        <v>5.2228232558139541E-2</v>
      </c>
      <c r="AA246" s="1">
        <f t="shared" si="103"/>
        <v>77.026750637626932</v>
      </c>
      <c r="AD246" s="1">
        <f t="shared" si="104"/>
        <v>0</v>
      </c>
      <c r="AF246" s="1">
        <f t="shared" si="105"/>
        <v>0</v>
      </c>
      <c r="AH246" s="1">
        <f t="shared" si="113"/>
        <v>0</v>
      </c>
    </row>
    <row r="247" spans="1:34" ht="15">
      <c r="A247" s="1">
        <v>246</v>
      </c>
      <c r="B247" s="1">
        <f t="shared" si="114"/>
        <v>0</v>
      </c>
      <c r="C247" s="1">
        <f t="shared" si="100"/>
        <v>-0.25736434108527134</v>
      </c>
      <c r="D247" s="1">
        <f t="shared" si="106"/>
        <v>42.798110287055593</v>
      </c>
      <c r="E247">
        <v>270.29000000000002</v>
      </c>
      <c r="K247" s="1">
        <f>'Solar Availability and Gener GR'!F247</f>
        <v>0</v>
      </c>
      <c r="L247" s="1">
        <v>0.25736434108527134</v>
      </c>
      <c r="M247" s="1">
        <f t="shared" si="101"/>
        <v>-0.25736434108527134</v>
      </c>
      <c r="N247" s="1" t="str">
        <f t="shared" si="102"/>
        <v>Buy from Grid</v>
      </c>
      <c r="V247" s="1" t="str">
        <f t="shared" si="123"/>
        <v>discharge</v>
      </c>
      <c r="Y247" s="1">
        <f t="shared" si="99"/>
        <v>6.9563007751938008E-2</v>
      </c>
      <c r="AA247" s="1">
        <f t="shared" si="103"/>
        <v>76.769386296541654</v>
      </c>
      <c r="AD247" s="1">
        <f t="shared" si="104"/>
        <v>0</v>
      </c>
      <c r="AF247" s="1">
        <f t="shared" si="105"/>
        <v>0</v>
      </c>
      <c r="AH247" s="1">
        <f t="shared" si="113"/>
        <v>0</v>
      </c>
    </row>
    <row r="248" spans="1:34" ht="15">
      <c r="A248" s="1">
        <v>247</v>
      </c>
      <c r="B248" s="1">
        <f t="shared" si="114"/>
        <v>0</v>
      </c>
      <c r="C248" s="1">
        <f t="shared" si="100"/>
        <v>-0.65253551792648556</v>
      </c>
      <c r="D248" s="1">
        <f t="shared" si="106"/>
        <v>41.982440889647485</v>
      </c>
      <c r="E248">
        <v>270.12</v>
      </c>
      <c r="K248" s="1">
        <f>'Solar Availability and Gener GR'!F248</f>
        <v>1.6611768895219918E-2</v>
      </c>
      <c r="L248" s="1">
        <v>0.66914728682170543</v>
      </c>
      <c r="M248" s="1">
        <f t="shared" si="101"/>
        <v>-0.65253551792648556</v>
      </c>
      <c r="N248" s="1" t="str">
        <f t="shared" si="102"/>
        <v>Buy from Grid</v>
      </c>
      <c r="V248" s="1" t="str">
        <f t="shared" si="123"/>
        <v>discharge</v>
      </c>
      <c r="Y248" s="1">
        <f t="shared" si="99"/>
        <v>0.18075006511627909</v>
      </c>
      <c r="AA248" s="1">
        <f t="shared" si="103"/>
        <v>76.116850778615174</v>
      </c>
      <c r="AD248" s="1">
        <f t="shared" si="104"/>
        <v>0</v>
      </c>
      <c r="AF248" s="1">
        <f t="shared" si="105"/>
        <v>0</v>
      </c>
      <c r="AH248" s="1">
        <f t="shared" si="113"/>
        <v>0</v>
      </c>
    </row>
    <row r="249" spans="1:34" ht="15">
      <c r="A249" s="1">
        <v>248</v>
      </c>
      <c r="B249" s="1">
        <f t="shared" si="114"/>
        <v>0</v>
      </c>
      <c r="C249" s="1">
        <f t="shared" si="100"/>
        <v>-0.37312909706105396</v>
      </c>
      <c r="D249" s="1">
        <f t="shared" si="106"/>
        <v>41.516029518321169</v>
      </c>
      <c r="E249">
        <v>271.98</v>
      </c>
      <c r="K249" s="1">
        <f>'Solar Availability and Gener GR'!F249</f>
        <v>2.5785631621116648E-2</v>
      </c>
      <c r="L249" s="1">
        <v>0.39891472868217059</v>
      </c>
      <c r="M249" s="1">
        <f t="shared" si="101"/>
        <v>-0.37312909706105396</v>
      </c>
      <c r="N249" s="1" t="str">
        <f t="shared" si="102"/>
        <v>Buy from Grid</v>
      </c>
      <c r="V249" s="1" t="str">
        <f t="shared" si="123"/>
        <v>discharge</v>
      </c>
      <c r="Y249" s="1">
        <f t="shared" si="99"/>
        <v>0.10849682790697676</v>
      </c>
      <c r="AA249" s="1">
        <f t="shared" si="103"/>
        <v>75.743721681554121</v>
      </c>
      <c r="AD249" s="1">
        <f t="shared" si="104"/>
        <v>0</v>
      </c>
      <c r="AF249" s="1">
        <f t="shared" si="105"/>
        <v>0</v>
      </c>
      <c r="AH249" s="1">
        <f t="shared" si="113"/>
        <v>0</v>
      </c>
    </row>
    <row r="250" spans="1:34" ht="15">
      <c r="A250" s="1">
        <v>249</v>
      </c>
      <c r="B250" s="1">
        <f t="shared" si="114"/>
        <v>0</v>
      </c>
      <c r="C250" s="1">
        <f t="shared" si="100"/>
        <v>-0.32565736199473161</v>
      </c>
      <c r="D250" s="1">
        <f t="shared" si="106"/>
        <v>41.108957815827758</v>
      </c>
      <c r="E250">
        <v>271.92</v>
      </c>
      <c r="K250" s="1">
        <f>'Solar Availability and Gener GR'!F250</f>
        <v>7.3257366687438957E-2</v>
      </c>
      <c r="L250" s="1">
        <v>0.39891472868217059</v>
      </c>
      <c r="M250" s="1">
        <f t="shared" si="101"/>
        <v>-0.32565736199473161</v>
      </c>
      <c r="N250" s="1" t="str">
        <f t="shared" si="102"/>
        <v>Buy from Grid</v>
      </c>
      <c r="V250" s="1" t="str">
        <f t="shared" si="123"/>
        <v>discharge</v>
      </c>
      <c r="Y250" s="1">
        <f t="shared" si="99"/>
        <v>0.10847289302325583</v>
      </c>
      <c r="AA250" s="1">
        <f t="shared" si="103"/>
        <v>75.418064319559392</v>
      </c>
      <c r="AD250" s="1">
        <f t="shared" si="104"/>
        <v>0</v>
      </c>
      <c r="AF250" s="1">
        <f t="shared" si="105"/>
        <v>0</v>
      </c>
      <c r="AH250" s="1">
        <f t="shared" si="113"/>
        <v>0</v>
      </c>
    </row>
    <row r="251" spans="1:34" ht="15">
      <c r="A251" s="1">
        <v>250</v>
      </c>
      <c r="B251" s="1">
        <f t="shared" si="114"/>
        <v>0</v>
      </c>
      <c r="C251" s="1">
        <f t="shared" si="100"/>
        <v>-2.924945671564616E-2</v>
      </c>
      <c r="D251" s="1">
        <f t="shared" si="106"/>
        <v>41.072395994933203</v>
      </c>
      <c r="E251">
        <v>254.22</v>
      </c>
      <c r="K251" s="1">
        <f>'Solar Availability and Gener GR'!F251</f>
        <v>0.36966527196652443</v>
      </c>
      <c r="L251" s="1">
        <v>0.39891472868217059</v>
      </c>
      <c r="M251" s="1">
        <f t="shared" si="101"/>
        <v>-2.924945671564616E-2</v>
      </c>
      <c r="N251" s="1" t="str">
        <f t="shared" si="102"/>
        <v>Buy from Grid</v>
      </c>
      <c r="V251" s="1" t="str">
        <f t="shared" si="123"/>
        <v>discharge</v>
      </c>
      <c r="Y251" s="1">
        <f t="shared" si="99"/>
        <v>0.1014121023255814</v>
      </c>
      <c r="AA251" s="1">
        <f t="shared" si="103"/>
        <v>75.388814862843745</v>
      </c>
      <c r="AD251" s="1">
        <f t="shared" si="104"/>
        <v>0</v>
      </c>
      <c r="AF251" s="1">
        <f t="shared" si="105"/>
        <v>0</v>
      </c>
      <c r="AH251" s="1">
        <f t="shared" si="113"/>
        <v>0</v>
      </c>
    </row>
    <row r="252" spans="1:34" ht="15">
      <c r="A252" s="1">
        <v>251</v>
      </c>
      <c r="B252" s="1">
        <f t="shared" si="114"/>
        <v>0</v>
      </c>
      <c r="C252" s="1">
        <f t="shared" si="100"/>
        <v>0.39162653366982647</v>
      </c>
      <c r="D252" s="1">
        <f t="shared" si="106"/>
        <v>41.561929162020483</v>
      </c>
      <c r="E252">
        <v>186.71</v>
      </c>
      <c r="K252" s="1">
        <f>'Solar Availability and Gener GR'!F252</f>
        <v>0.79054126235199706</v>
      </c>
      <c r="L252" s="1">
        <v>0.39891472868217059</v>
      </c>
      <c r="M252" s="1">
        <f t="shared" si="101"/>
        <v>0.39162653366982647</v>
      </c>
      <c r="N252" s="1" t="str">
        <f t="shared" si="102"/>
        <v>sell the surplus or charge</v>
      </c>
      <c r="O252" s="1">
        <v>0.25</v>
      </c>
      <c r="P252" s="1">
        <f t="shared" ref="P252:P257" si="124">0.25/L252</f>
        <v>0.62670034978624167</v>
      </c>
      <c r="Q252" s="1">
        <f t="shared" ref="Q252:Q257" si="125">K252-P252*L252</f>
        <v>0.54054126235199706</v>
      </c>
      <c r="R252" s="1">
        <f t="shared" ref="R252:R257" si="126">((1/(E252+0.01))*LN(0.25))+(E252*(K252-0.25))</f>
        <v>100.91703463807985</v>
      </c>
      <c r="S252" s="1">
        <f t="shared" ref="S252:S257" si="127">((1/(E252+0.01))*LN(L252))+(E252*(K252-L252))</f>
        <v>73.11566825274916</v>
      </c>
      <c r="T252" s="1">
        <f t="shared" ref="T252:T257" si="128">(S252+((S252^2)-4*(K252-L252*P252)*LN(L252*P252))^(0.5))/(2*(K252-L252*P252))</f>
        <v>135.28276327712811</v>
      </c>
      <c r="U252" s="1" t="str">
        <f t="shared" ref="U252:U257" si="129">IF(E252&gt;=T252*1.2,"sell to the Grid","charge")</f>
        <v>sell to the Grid</v>
      </c>
      <c r="W252" s="1">
        <f>(Q252*E252)/1000</f>
        <v>0.10092445909374137</v>
      </c>
      <c r="Y252" s="1">
        <f t="shared" si="99"/>
        <v>7.4481368992248081E-2</v>
      </c>
      <c r="AA252" s="1">
        <f t="shared" si="103"/>
        <v>75.780441396513567</v>
      </c>
      <c r="AD252" s="1">
        <f t="shared" si="104"/>
        <v>0.25</v>
      </c>
      <c r="AF252" s="1">
        <f t="shared" si="105"/>
        <v>162.33931593255372</v>
      </c>
      <c r="AG252" s="1">
        <f>E252</f>
        <v>186.71</v>
      </c>
      <c r="AH252" s="1">
        <f t="shared" si="113"/>
        <v>100.92445909374138</v>
      </c>
    </row>
    <row r="253" spans="1:34" ht="15">
      <c r="A253" s="1">
        <v>252</v>
      </c>
      <c r="B253" s="1">
        <f t="shared" si="114"/>
        <v>1.1241431496483572</v>
      </c>
      <c r="C253" s="1">
        <f t="shared" si="100"/>
        <v>0</v>
      </c>
      <c r="D253" s="1">
        <f t="shared" si="106"/>
        <v>42.46124368173917</v>
      </c>
      <c r="E253">
        <v>174.43</v>
      </c>
      <c r="K253" s="1">
        <f>'Solar Availability and Gener GR'!F253</f>
        <v>1.3741431496483572</v>
      </c>
      <c r="L253" s="1">
        <v>0.39891472868217059</v>
      </c>
      <c r="M253" s="1">
        <f t="shared" si="101"/>
        <v>0.97522842096618656</v>
      </c>
      <c r="N253" s="1" t="str">
        <f t="shared" si="102"/>
        <v>sell the surplus or charge</v>
      </c>
      <c r="O253" s="1">
        <v>0.25</v>
      </c>
      <c r="P253" s="1">
        <f t="shared" si="124"/>
        <v>0.62670034978624167</v>
      </c>
      <c r="Q253" s="1">
        <f t="shared" si="125"/>
        <v>1.1241431496483572</v>
      </c>
      <c r="R253" s="1">
        <f t="shared" si="126"/>
        <v>196.07634248033835</v>
      </c>
      <c r="S253" s="1">
        <f t="shared" si="127"/>
        <v>170.10382513848811</v>
      </c>
      <c r="T253" s="1">
        <f t="shared" si="128"/>
        <v>151.32680043693233</v>
      </c>
      <c r="U253" s="1" t="str">
        <f t="shared" si="129"/>
        <v>charge</v>
      </c>
      <c r="Y253" s="1">
        <f t="shared" si="99"/>
        <v>6.9582696124031021E-2</v>
      </c>
      <c r="AA253" s="1">
        <f t="shared" si="103"/>
        <v>76.755669817479756</v>
      </c>
      <c r="AD253" s="1">
        <f t="shared" si="104"/>
        <v>0.25</v>
      </c>
      <c r="AF253" s="1">
        <f t="shared" si="105"/>
        <v>181.59216052431879</v>
      </c>
      <c r="AH253" s="1">
        <f t="shared" si="113"/>
        <v>0</v>
      </c>
    </row>
    <row r="254" spans="1:34" ht="15">
      <c r="A254" s="1">
        <v>253</v>
      </c>
      <c r="B254" s="1">
        <f t="shared" si="114"/>
        <v>1.2944</v>
      </c>
      <c r="C254" s="1">
        <f t="shared" si="100"/>
        <v>0</v>
      </c>
      <c r="D254" s="1">
        <f t="shared" si="106"/>
        <v>43.496763681739168</v>
      </c>
      <c r="E254">
        <v>177.45</v>
      </c>
      <c r="K254" s="1">
        <f>'Solar Availability and Gener GR'!F254</f>
        <v>1.5444</v>
      </c>
      <c r="L254" s="1">
        <v>0.39891472868217059</v>
      </c>
      <c r="M254" s="1">
        <f t="shared" si="101"/>
        <v>1.1454852713178294</v>
      </c>
      <c r="N254" s="1" t="str">
        <f t="shared" si="102"/>
        <v>sell the surplus or charge</v>
      </c>
      <c r="O254" s="1">
        <v>0.25</v>
      </c>
      <c r="P254" s="1">
        <f t="shared" si="124"/>
        <v>0.62670034978624167</v>
      </c>
      <c r="Q254" s="1">
        <f t="shared" si="125"/>
        <v>1.2944</v>
      </c>
      <c r="R254" s="1">
        <f t="shared" si="126"/>
        <v>229.68346813050195</v>
      </c>
      <c r="S254" s="1">
        <f t="shared" si="127"/>
        <v>203.26118272073194</v>
      </c>
      <c r="T254" s="1">
        <f t="shared" si="128"/>
        <v>157.03801798783519</v>
      </c>
      <c r="U254" s="1" t="str">
        <f t="shared" si="129"/>
        <v>charge</v>
      </c>
      <c r="Y254" s="1">
        <f t="shared" si="99"/>
        <v>7.0787418604651167E-2</v>
      </c>
      <c r="AA254" s="1">
        <f t="shared" si="103"/>
        <v>77.90115508879758</v>
      </c>
      <c r="AD254" s="1">
        <f t="shared" si="104"/>
        <v>0.25</v>
      </c>
      <c r="AF254" s="1">
        <f t="shared" si="105"/>
        <v>188.44562158540222</v>
      </c>
      <c r="AH254" s="1">
        <f t="shared" si="113"/>
        <v>0</v>
      </c>
    </row>
    <row r="255" spans="1:34" ht="15">
      <c r="A255" s="1">
        <v>254</v>
      </c>
      <c r="B255" s="1">
        <f t="shared" si="114"/>
        <v>1.2956423039259319</v>
      </c>
      <c r="C255" s="1">
        <f t="shared" si="100"/>
        <v>0</v>
      </c>
      <c r="D255" s="1">
        <f t="shared" si="106"/>
        <v>44.533277524879914</v>
      </c>
      <c r="E255">
        <v>179.18</v>
      </c>
      <c r="K255" s="1">
        <f>'Solar Availability and Gener GR'!F255</f>
        <v>1.5456423039259319</v>
      </c>
      <c r="L255" s="1">
        <v>0.39891472868217059</v>
      </c>
      <c r="M255" s="1">
        <f t="shared" si="101"/>
        <v>1.1467275752437613</v>
      </c>
      <c r="N255" s="1" t="str">
        <f t="shared" si="102"/>
        <v>sell the surplus or charge</v>
      </c>
      <c r="O255" s="1">
        <v>0.25</v>
      </c>
      <c r="P255" s="1">
        <f t="shared" si="124"/>
        <v>0.62670034978624167</v>
      </c>
      <c r="Q255" s="1">
        <f t="shared" si="125"/>
        <v>1.2956423039259319</v>
      </c>
      <c r="R255" s="1">
        <f t="shared" si="126"/>
        <v>232.1454515680868</v>
      </c>
      <c r="S255" s="1">
        <f t="shared" si="127"/>
        <v>205.46551825536758</v>
      </c>
      <c r="T255" s="1">
        <f t="shared" si="128"/>
        <v>158.58872396818251</v>
      </c>
      <c r="U255" s="1" t="str">
        <f t="shared" si="129"/>
        <v>charge</v>
      </c>
      <c r="Y255" s="1">
        <f t="shared" si="99"/>
        <v>7.1477541085271323E-2</v>
      </c>
      <c r="AA255" s="1">
        <f t="shared" si="103"/>
        <v>79.047882664041339</v>
      </c>
      <c r="AD255" s="1">
        <f t="shared" si="104"/>
        <v>0.25</v>
      </c>
      <c r="AF255" s="1">
        <f t="shared" si="105"/>
        <v>190.30646876181899</v>
      </c>
      <c r="AH255" s="1">
        <f t="shared" si="113"/>
        <v>0</v>
      </c>
    </row>
    <row r="256" spans="1:34" ht="15">
      <c r="A256" s="1">
        <v>255</v>
      </c>
      <c r="B256" s="1">
        <f t="shared" si="114"/>
        <v>1.1803347280334719</v>
      </c>
      <c r="C256" s="1">
        <f t="shared" si="100"/>
        <v>0</v>
      </c>
      <c r="D256" s="1">
        <f t="shared" si="106"/>
        <v>45.477545307306691</v>
      </c>
      <c r="E256">
        <v>211</v>
      </c>
      <c r="K256" s="1">
        <f>'Solar Availability and Gener GR'!F256</f>
        <v>1.4303347280334719</v>
      </c>
      <c r="L256" s="1">
        <v>0.39891472868217059</v>
      </c>
      <c r="M256" s="1">
        <f t="shared" si="101"/>
        <v>1.0314199993513014</v>
      </c>
      <c r="N256" s="1" t="str">
        <f t="shared" si="102"/>
        <v>sell the surplus or charge</v>
      </c>
      <c r="O256" s="1">
        <v>0.25</v>
      </c>
      <c r="P256" s="1">
        <f t="shared" si="124"/>
        <v>0.62670034978624167</v>
      </c>
      <c r="Q256" s="1">
        <f t="shared" si="125"/>
        <v>1.1803347280334719</v>
      </c>
      <c r="R256" s="1">
        <f t="shared" si="126"/>
        <v>249.04405781097216</v>
      </c>
      <c r="S256" s="1">
        <f t="shared" si="127"/>
        <v>217.62526458329185</v>
      </c>
      <c r="T256" s="1">
        <f t="shared" si="128"/>
        <v>184.38225869584844</v>
      </c>
      <c r="U256" s="1" t="str">
        <f t="shared" si="129"/>
        <v>charge</v>
      </c>
      <c r="Y256" s="1">
        <f t="shared" si="99"/>
        <v>8.417100775193799E-2</v>
      </c>
      <c r="AA256" s="1">
        <f t="shared" si="103"/>
        <v>80.079302663392639</v>
      </c>
      <c r="AD256" s="1">
        <f t="shared" si="104"/>
        <v>0.25</v>
      </c>
      <c r="AF256" s="1">
        <f t="shared" si="105"/>
        <v>221.25871043501812</v>
      </c>
      <c r="AH256" s="1">
        <f t="shared" si="113"/>
        <v>0</v>
      </c>
    </row>
    <row r="257" spans="1:34" ht="15">
      <c r="A257" s="1">
        <v>256</v>
      </c>
      <c r="B257" s="1">
        <f t="shared" si="114"/>
        <v>0</v>
      </c>
      <c r="C257" s="1">
        <f t="shared" si="100"/>
        <v>0</v>
      </c>
      <c r="D257" s="1">
        <f t="shared" si="106"/>
        <v>45.477545307306691</v>
      </c>
      <c r="E257">
        <v>269.47000000000003</v>
      </c>
      <c r="K257" s="1">
        <f>'Solar Availability and Gener GR'!F257</f>
        <v>1.1235244369269095</v>
      </c>
      <c r="L257" s="1">
        <v>0.66914728682170543</v>
      </c>
      <c r="M257" s="1">
        <f t="shared" si="101"/>
        <v>0.45437715010520408</v>
      </c>
      <c r="N257" s="1" t="str">
        <f t="shared" si="102"/>
        <v>sell the surplus or charge</v>
      </c>
      <c r="O257" s="1">
        <v>0.25</v>
      </c>
      <c r="P257" s="1">
        <f t="shared" si="124"/>
        <v>0.3736098239110287</v>
      </c>
      <c r="Q257" s="1">
        <f t="shared" si="125"/>
        <v>0.87352443692690951</v>
      </c>
      <c r="R257" s="1">
        <f t="shared" si="126"/>
        <v>235.38348568753386</v>
      </c>
      <c r="S257" s="1">
        <f t="shared" si="127"/>
        <v>122.43951980062977</v>
      </c>
      <c r="T257" s="1">
        <f t="shared" si="128"/>
        <v>140.17857327462639</v>
      </c>
      <c r="U257" s="1" t="str">
        <f t="shared" si="129"/>
        <v>sell to the Grid</v>
      </c>
      <c r="W257" s="1">
        <f>(Q257*E257)/1000</f>
        <v>0.23538863001869434</v>
      </c>
      <c r="Y257" s="1">
        <f t="shared" si="99"/>
        <v>0.18031511937984498</v>
      </c>
      <c r="AA257" s="1">
        <f t="shared" si="103"/>
        <v>80.533679813497841</v>
      </c>
      <c r="AD257" s="1">
        <f t="shared" si="104"/>
        <v>0.25</v>
      </c>
      <c r="AF257" s="1">
        <f t="shared" si="105"/>
        <v>168.21428792955166</v>
      </c>
      <c r="AG257" s="1">
        <f>AF256</f>
        <v>221.25871043501812</v>
      </c>
      <c r="AH257" s="1">
        <f t="shared" si="113"/>
        <v>193.27489044792333</v>
      </c>
    </row>
    <row r="258" spans="1:34" ht="15">
      <c r="A258" s="1">
        <v>257</v>
      </c>
      <c r="B258" s="1">
        <f t="shared" si="114"/>
        <v>0</v>
      </c>
      <c r="C258" s="1">
        <f t="shared" si="100"/>
        <v>0</v>
      </c>
      <c r="D258" s="1">
        <f t="shared" si="106"/>
        <v>45.477545307306691</v>
      </c>
      <c r="E258">
        <v>268.56</v>
      </c>
      <c r="K258" s="1">
        <f>'Solar Availability and Gener GR'!F258</f>
        <v>0.64438707380040716</v>
      </c>
      <c r="L258" s="1">
        <v>0.66914728682170543</v>
      </c>
      <c r="M258" s="1">
        <f t="shared" si="101"/>
        <v>-2.4760213021298272E-2</v>
      </c>
      <c r="N258" s="1" t="str">
        <f t="shared" si="102"/>
        <v>Buy from Grid</v>
      </c>
      <c r="V258" s="1" t="str">
        <f t="shared" ref="V258:V275" si="130">IF(D258+M258&gt;0,"discharge","buy from the Grid")</f>
        <v>discharge</v>
      </c>
      <c r="Y258" s="1">
        <f t="shared" ref="Y258:Y289" si="131">(L258*E258)/1000</f>
        <v>0.17970619534883722</v>
      </c>
      <c r="AA258" s="1">
        <f t="shared" si="103"/>
        <v>80.508919600476545</v>
      </c>
      <c r="AD258" s="1">
        <f t="shared" si="104"/>
        <v>0</v>
      </c>
      <c r="AF258" s="1">
        <f t="shared" si="105"/>
        <v>0</v>
      </c>
      <c r="AH258" s="1">
        <f t="shared" si="113"/>
        <v>0</v>
      </c>
    </row>
    <row r="259" spans="1:34" ht="15">
      <c r="A259" s="1">
        <v>258</v>
      </c>
      <c r="B259" s="1">
        <f t="shared" si="114"/>
        <v>0</v>
      </c>
      <c r="C259" s="1">
        <f t="shared" ref="C259:C289" si="132">IF(V258="discharge",M259,0)</f>
        <v>-0.4655997038073727</v>
      </c>
      <c r="D259" s="1">
        <f t="shared" si="106"/>
        <v>44.895545677547474</v>
      </c>
      <c r="E259">
        <v>280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33">K259-L259</f>
        <v>-0.4655997038073727</v>
      </c>
      <c r="N259" s="1" t="str">
        <f t="shared" ref="N259:N289" si="134">IF(M259&lt;0,"Buy from Grid","sell the surplus or charge")</f>
        <v>Buy from Grid</v>
      </c>
      <c r="V259" s="1" t="str">
        <f t="shared" si="130"/>
        <v>discharge</v>
      </c>
      <c r="Y259" s="1">
        <f t="shared" si="131"/>
        <v>0.18736124031007753</v>
      </c>
      <c r="AA259" s="1">
        <f t="shared" ref="AA259:AA289" si="135">M259+AA258</f>
        <v>80.043319896669175</v>
      </c>
      <c r="AD259" s="1">
        <f t="shared" ref="AD259:AD289" si="136">AC259+O259</f>
        <v>0</v>
      </c>
      <c r="AF259" s="1">
        <f t="shared" ref="AF259:AF289" si="137">T259*1.2</f>
        <v>0</v>
      </c>
      <c r="AH259" s="1">
        <f t="shared" si="113"/>
        <v>0</v>
      </c>
    </row>
    <row r="260" spans="1:34" ht="15">
      <c r="A260" s="1">
        <v>259</v>
      </c>
      <c r="B260" s="1">
        <f t="shared" si="114"/>
        <v>0</v>
      </c>
      <c r="C260" s="1">
        <f t="shared" si="132"/>
        <v>-0.6479419098075504</v>
      </c>
      <c r="D260" s="1">
        <f t="shared" ref="D260:D289" si="138">(D259)+(B260*0.8)+(C260/0.8)</f>
        <v>44.085618290288039</v>
      </c>
      <c r="E260">
        <v>280</v>
      </c>
      <c r="K260" s="1">
        <f>'Solar Availability and Gener GR'!F260</f>
        <v>2.1205377014155053E-2</v>
      </c>
      <c r="L260" s="1">
        <v>0.66914728682170543</v>
      </c>
      <c r="M260" s="1">
        <f t="shared" si="133"/>
        <v>-0.6479419098075504</v>
      </c>
      <c r="N260" s="1" t="str">
        <f t="shared" si="134"/>
        <v>Buy from Grid</v>
      </c>
      <c r="V260" s="1" t="str">
        <f t="shared" si="130"/>
        <v>discharge</v>
      </c>
      <c r="Y260" s="1">
        <f t="shared" si="131"/>
        <v>0.18736124031007753</v>
      </c>
      <c r="AA260" s="1">
        <f t="shared" si="135"/>
        <v>79.395377986861618</v>
      </c>
      <c r="AD260" s="1">
        <f t="shared" si="136"/>
        <v>0</v>
      </c>
      <c r="AF260" s="1">
        <f t="shared" si="137"/>
        <v>0</v>
      </c>
      <c r="AH260" s="1">
        <f t="shared" si="113"/>
        <v>0</v>
      </c>
    </row>
    <row r="261" spans="1:34" ht="15">
      <c r="A261" s="1">
        <v>260</v>
      </c>
      <c r="B261" s="1">
        <f t="shared" si="114"/>
        <v>0</v>
      </c>
      <c r="C261" s="1">
        <f t="shared" si="132"/>
        <v>-0.39891472868217059</v>
      </c>
      <c r="D261" s="1">
        <f t="shared" si="138"/>
        <v>43.586974879435324</v>
      </c>
      <c r="E261">
        <v>270.06</v>
      </c>
      <c r="K261" s="1">
        <f>'Solar Availability and Gener GR'!F261</f>
        <v>0</v>
      </c>
      <c r="L261" s="1">
        <v>0.39891472868217059</v>
      </c>
      <c r="M261" s="1">
        <f t="shared" si="133"/>
        <v>-0.39891472868217059</v>
      </c>
      <c r="N261" s="1" t="str">
        <f t="shared" si="134"/>
        <v>Buy from Grid</v>
      </c>
      <c r="V261" s="1" t="str">
        <f t="shared" si="130"/>
        <v>discharge</v>
      </c>
      <c r="Y261" s="1">
        <f t="shared" si="131"/>
        <v>0.10773091162790699</v>
      </c>
      <c r="AA261" s="1">
        <f t="shared" si="135"/>
        <v>78.996463258179446</v>
      </c>
      <c r="AD261" s="1">
        <f t="shared" si="136"/>
        <v>0</v>
      </c>
      <c r="AF261" s="1">
        <f t="shared" si="137"/>
        <v>0</v>
      </c>
      <c r="AH261" s="1">
        <f t="shared" si="113"/>
        <v>0</v>
      </c>
    </row>
    <row r="262" spans="1:34" ht="15">
      <c r="A262" s="1">
        <v>261</v>
      </c>
      <c r="B262" s="1">
        <f t="shared" si="114"/>
        <v>0</v>
      </c>
      <c r="C262" s="1">
        <f t="shared" si="132"/>
        <v>-0.39891472868217059</v>
      </c>
      <c r="D262" s="1">
        <f t="shared" si="138"/>
        <v>43.088331468582609</v>
      </c>
      <c r="E262">
        <v>246.1</v>
      </c>
      <c r="K262" s="1">
        <f>'Solar Availability and Gener GR'!F262</f>
        <v>0</v>
      </c>
      <c r="L262" s="1">
        <v>0.39891472868217059</v>
      </c>
      <c r="M262" s="1">
        <f t="shared" si="133"/>
        <v>-0.39891472868217059</v>
      </c>
      <c r="N262" s="1" t="str">
        <f t="shared" si="134"/>
        <v>Buy from Grid</v>
      </c>
      <c r="V262" s="1" t="str">
        <f t="shared" si="130"/>
        <v>discharge</v>
      </c>
      <c r="Y262" s="1">
        <f t="shared" si="131"/>
        <v>9.8172914728682184E-2</v>
      </c>
      <c r="AA262" s="1">
        <f t="shared" si="135"/>
        <v>78.597548529497274</v>
      </c>
      <c r="AD262" s="1">
        <f t="shared" si="136"/>
        <v>0</v>
      </c>
      <c r="AF262" s="1">
        <f t="shared" si="137"/>
        <v>0</v>
      </c>
      <c r="AH262" s="1">
        <f t="shared" si="113"/>
        <v>0</v>
      </c>
    </row>
    <row r="263" spans="1:34" ht="15">
      <c r="A263" s="1">
        <v>262</v>
      </c>
      <c r="B263" s="1">
        <f t="shared" si="114"/>
        <v>0</v>
      </c>
      <c r="C263" s="1">
        <f t="shared" si="132"/>
        <v>-0.39891472868217059</v>
      </c>
      <c r="D263" s="1">
        <f t="shared" si="138"/>
        <v>42.589688057729894</v>
      </c>
      <c r="E263">
        <v>205</v>
      </c>
      <c r="K263" s="1">
        <f>'Solar Availability and Gener GR'!F263</f>
        <v>0</v>
      </c>
      <c r="L263" s="1">
        <v>0.39891472868217059</v>
      </c>
      <c r="M263" s="1">
        <f t="shared" si="133"/>
        <v>-0.39891472868217059</v>
      </c>
      <c r="N263" s="1" t="str">
        <f t="shared" si="134"/>
        <v>Buy from Grid</v>
      </c>
      <c r="V263" s="1" t="str">
        <f t="shared" si="130"/>
        <v>discharge</v>
      </c>
      <c r="Y263" s="1">
        <f t="shared" si="131"/>
        <v>8.1777519379844982E-2</v>
      </c>
      <c r="AA263" s="1">
        <f t="shared" si="135"/>
        <v>78.198633800815102</v>
      </c>
      <c r="AD263" s="1">
        <f t="shared" si="136"/>
        <v>0</v>
      </c>
      <c r="AF263" s="1">
        <f t="shared" si="137"/>
        <v>0</v>
      </c>
      <c r="AH263" s="1">
        <f t="shared" si="113"/>
        <v>0</v>
      </c>
    </row>
    <row r="264" spans="1:34" ht="15">
      <c r="A264" s="1">
        <v>263</v>
      </c>
      <c r="B264" s="1">
        <f t="shared" si="114"/>
        <v>0</v>
      </c>
      <c r="C264" s="1">
        <f t="shared" si="132"/>
        <v>-0.2831007751937985</v>
      </c>
      <c r="D264" s="1">
        <f t="shared" si="138"/>
        <v>42.235812088737646</v>
      </c>
      <c r="E264">
        <v>269.02</v>
      </c>
      <c r="K264" s="1">
        <f>'Solar Availability and Gener GR'!F264</f>
        <v>0</v>
      </c>
      <c r="L264" s="1">
        <v>0.2831007751937985</v>
      </c>
      <c r="M264" s="1">
        <f t="shared" si="133"/>
        <v>-0.2831007751937985</v>
      </c>
      <c r="N264" s="1" t="str">
        <f t="shared" si="134"/>
        <v>Buy from Grid</v>
      </c>
      <c r="V264" s="1" t="str">
        <f t="shared" si="130"/>
        <v>discharge</v>
      </c>
      <c r="Y264" s="1">
        <f t="shared" si="131"/>
        <v>7.6159770542635674E-2</v>
      </c>
      <c r="AA264" s="1">
        <f t="shared" si="135"/>
        <v>77.915533025621301</v>
      </c>
      <c r="AD264" s="1">
        <f t="shared" si="136"/>
        <v>0</v>
      </c>
      <c r="AF264" s="1">
        <f t="shared" si="137"/>
        <v>0</v>
      </c>
      <c r="AH264" s="1">
        <f t="shared" si="113"/>
        <v>0</v>
      </c>
    </row>
    <row r="265" spans="1:34" ht="15">
      <c r="A265" s="1">
        <v>264</v>
      </c>
      <c r="B265" s="1">
        <f t="shared" si="114"/>
        <v>0</v>
      </c>
      <c r="C265" s="1">
        <f t="shared" si="132"/>
        <v>-0.29596899224806206</v>
      </c>
      <c r="D265" s="1">
        <f t="shared" si="138"/>
        <v>41.86585084842757</v>
      </c>
      <c r="E265">
        <v>186.54</v>
      </c>
      <c r="K265" s="1">
        <f>'Solar Availability and Gener GR'!F265</f>
        <v>0</v>
      </c>
      <c r="L265" s="1">
        <v>0.29596899224806206</v>
      </c>
      <c r="M265" s="1">
        <f t="shared" si="133"/>
        <v>-0.29596899224806206</v>
      </c>
      <c r="N265" s="1" t="str">
        <f t="shared" si="134"/>
        <v>Buy from Grid</v>
      </c>
      <c r="V265" s="1" t="str">
        <f t="shared" si="130"/>
        <v>discharge</v>
      </c>
      <c r="Y265" s="1">
        <f t="shared" si="131"/>
        <v>5.5210055813953496E-2</v>
      </c>
      <c r="AA265" s="1">
        <f t="shared" si="135"/>
        <v>77.619564033373237</v>
      </c>
      <c r="AD265" s="1">
        <f t="shared" si="136"/>
        <v>0</v>
      </c>
      <c r="AF265" s="1">
        <f t="shared" si="137"/>
        <v>0</v>
      </c>
      <c r="AH265" s="1">
        <f t="shared" si="113"/>
        <v>0</v>
      </c>
    </row>
    <row r="266" spans="1:34" ht="15">
      <c r="A266" s="1">
        <v>265</v>
      </c>
      <c r="B266" s="1">
        <f t="shared" si="114"/>
        <v>0</v>
      </c>
      <c r="C266" s="1">
        <f t="shared" si="132"/>
        <v>-0.2831007751937985</v>
      </c>
      <c r="D266" s="1">
        <f t="shared" si="138"/>
        <v>41.511974879435321</v>
      </c>
      <c r="E266">
        <v>160.72</v>
      </c>
      <c r="K266" s="1">
        <f>'Solar Availability and Gener GR'!F266</f>
        <v>0</v>
      </c>
      <c r="L266" s="1">
        <v>0.2831007751937985</v>
      </c>
      <c r="M266" s="1">
        <f t="shared" si="133"/>
        <v>-0.2831007751937985</v>
      </c>
      <c r="N266" s="1" t="str">
        <f t="shared" si="134"/>
        <v>Buy from Grid</v>
      </c>
      <c r="V266" s="1" t="str">
        <f t="shared" si="130"/>
        <v>discharge</v>
      </c>
      <c r="Y266" s="1">
        <f t="shared" si="131"/>
        <v>4.5499956589147295E-2</v>
      </c>
      <c r="AA266" s="1">
        <f t="shared" si="135"/>
        <v>77.336463258179435</v>
      </c>
      <c r="AD266" s="1">
        <f t="shared" si="136"/>
        <v>0</v>
      </c>
      <c r="AF266" s="1">
        <f t="shared" si="137"/>
        <v>0</v>
      </c>
      <c r="AH266" s="1">
        <f t="shared" si="113"/>
        <v>0</v>
      </c>
    </row>
    <row r="267" spans="1:34" ht="15">
      <c r="A267" s="1">
        <v>266</v>
      </c>
      <c r="B267" s="1">
        <f t="shared" si="114"/>
        <v>0</v>
      </c>
      <c r="C267" s="1">
        <f t="shared" si="132"/>
        <v>-0.19302325581395352</v>
      </c>
      <c r="D267" s="1">
        <f t="shared" si="138"/>
        <v>41.270695809667878</v>
      </c>
      <c r="E267">
        <v>150.08000000000001</v>
      </c>
      <c r="K267" s="1">
        <f>'Solar Availability and Gener GR'!F267</f>
        <v>0</v>
      </c>
      <c r="L267" s="1">
        <v>0.19302325581395352</v>
      </c>
      <c r="M267" s="1">
        <f t="shared" si="133"/>
        <v>-0.19302325581395352</v>
      </c>
      <c r="N267" s="1" t="str">
        <f t="shared" si="134"/>
        <v>Buy from Grid</v>
      </c>
      <c r="V267" s="1" t="str">
        <f t="shared" si="130"/>
        <v>discharge</v>
      </c>
      <c r="Y267" s="1">
        <f t="shared" si="131"/>
        <v>2.8968930232558147E-2</v>
      </c>
      <c r="AA267" s="1">
        <f t="shared" si="135"/>
        <v>77.14344000236548</v>
      </c>
      <c r="AD267" s="1">
        <f t="shared" si="136"/>
        <v>0</v>
      </c>
      <c r="AF267" s="1">
        <f t="shared" si="137"/>
        <v>0</v>
      </c>
      <c r="AH267" s="1">
        <f t="shared" si="113"/>
        <v>0</v>
      </c>
    </row>
    <row r="268" spans="1:34" ht="15">
      <c r="A268" s="1">
        <v>267</v>
      </c>
      <c r="B268" s="1">
        <f t="shared" si="114"/>
        <v>0</v>
      </c>
      <c r="C268" s="1">
        <f t="shared" si="132"/>
        <v>-0.19302325581395352</v>
      </c>
      <c r="D268" s="1">
        <f t="shared" si="138"/>
        <v>41.029416739900434</v>
      </c>
      <c r="E268">
        <v>131</v>
      </c>
      <c r="K268" s="1">
        <f>'Solar Availability and Gener GR'!F268</f>
        <v>0</v>
      </c>
      <c r="L268" s="1">
        <v>0.19302325581395352</v>
      </c>
      <c r="M268" s="1">
        <f t="shared" si="133"/>
        <v>-0.19302325581395352</v>
      </c>
      <c r="N268" s="1" t="str">
        <f t="shared" si="134"/>
        <v>Buy from Grid</v>
      </c>
      <c r="V268" s="1" t="str">
        <f t="shared" si="130"/>
        <v>discharge</v>
      </c>
      <c r="Y268" s="1">
        <f t="shared" si="131"/>
        <v>2.5286046511627913E-2</v>
      </c>
      <c r="AA268" s="1">
        <f t="shared" si="135"/>
        <v>76.950416746551525</v>
      </c>
      <c r="AD268" s="1">
        <f t="shared" si="136"/>
        <v>0</v>
      </c>
      <c r="AF268" s="1">
        <f t="shared" si="137"/>
        <v>0</v>
      </c>
      <c r="AH268" s="1">
        <f t="shared" si="113"/>
        <v>0</v>
      </c>
    </row>
    <row r="269" spans="1:34" ht="15">
      <c r="A269" s="1">
        <v>268</v>
      </c>
      <c r="B269" s="1">
        <f t="shared" si="114"/>
        <v>0</v>
      </c>
      <c r="C269" s="1">
        <f t="shared" si="132"/>
        <v>-0.19302325581395352</v>
      </c>
      <c r="D269" s="1">
        <f t="shared" si="138"/>
        <v>40.78813767013299</v>
      </c>
      <c r="E269">
        <v>129.19999999999999</v>
      </c>
      <c r="K269" s="1">
        <f>'Solar Availability and Gener GR'!F269</f>
        <v>0</v>
      </c>
      <c r="L269" s="1">
        <v>0.19302325581395352</v>
      </c>
      <c r="M269" s="1">
        <f t="shared" si="133"/>
        <v>-0.19302325581395352</v>
      </c>
      <c r="N269" s="1" t="str">
        <f t="shared" si="134"/>
        <v>Buy from Grid</v>
      </c>
      <c r="V269" s="1" t="str">
        <f t="shared" si="130"/>
        <v>discharge</v>
      </c>
      <c r="Y269" s="1">
        <f t="shared" si="131"/>
        <v>2.493860465116279E-2</v>
      </c>
      <c r="AA269" s="1">
        <f t="shared" si="135"/>
        <v>76.75739349073757</v>
      </c>
      <c r="AD269" s="1">
        <f t="shared" si="136"/>
        <v>0</v>
      </c>
      <c r="AF269" s="1">
        <f t="shared" si="137"/>
        <v>0</v>
      </c>
      <c r="AH269" s="1">
        <f t="shared" ref="AH269:AH289" si="139">AG269*Q269</f>
        <v>0</v>
      </c>
    </row>
    <row r="270" spans="1:34" ht="15">
      <c r="A270" s="1">
        <v>269</v>
      </c>
      <c r="B270" s="1">
        <f t="shared" si="114"/>
        <v>0</v>
      </c>
      <c r="C270" s="1">
        <f t="shared" si="132"/>
        <v>-0.19302325581395352</v>
      </c>
      <c r="D270" s="1">
        <f t="shared" si="138"/>
        <v>40.546858600365546</v>
      </c>
      <c r="E270">
        <v>133.5</v>
      </c>
      <c r="K270" s="1">
        <f>'Solar Availability and Gener GR'!F270</f>
        <v>0</v>
      </c>
      <c r="L270" s="1">
        <v>0.19302325581395352</v>
      </c>
      <c r="M270" s="1">
        <f t="shared" si="133"/>
        <v>-0.19302325581395352</v>
      </c>
      <c r="N270" s="1" t="str">
        <f t="shared" si="134"/>
        <v>Buy from Grid</v>
      </c>
      <c r="V270" s="1" t="str">
        <f t="shared" si="130"/>
        <v>discharge</v>
      </c>
      <c r="Y270" s="1">
        <f t="shared" si="131"/>
        <v>2.5768604651162798E-2</v>
      </c>
      <c r="AA270" s="1">
        <f t="shared" si="135"/>
        <v>76.564370234923615</v>
      </c>
      <c r="AD270" s="1">
        <f t="shared" si="136"/>
        <v>0</v>
      </c>
      <c r="AF270" s="1">
        <f t="shared" si="137"/>
        <v>0</v>
      </c>
      <c r="AH270" s="1">
        <f t="shared" si="139"/>
        <v>0</v>
      </c>
    </row>
    <row r="271" spans="1:34" ht="15">
      <c r="A271" s="1">
        <v>270</v>
      </c>
      <c r="B271" s="1">
        <f t="shared" si="114"/>
        <v>0</v>
      </c>
      <c r="C271" s="1">
        <f t="shared" si="132"/>
        <v>-0.64341085271317833</v>
      </c>
      <c r="D271" s="1">
        <f t="shared" si="138"/>
        <v>39.742595034474071</v>
      </c>
      <c r="E271">
        <v>162.82</v>
      </c>
      <c r="K271" s="1">
        <f>'Solar Availability and Gener GR'!F271</f>
        <v>0</v>
      </c>
      <c r="L271" s="1">
        <v>0.64341085271317833</v>
      </c>
      <c r="M271" s="1">
        <f t="shared" si="133"/>
        <v>-0.64341085271317833</v>
      </c>
      <c r="N271" s="1" t="str">
        <f t="shared" si="134"/>
        <v>Buy from Grid</v>
      </c>
      <c r="V271" s="1" t="str">
        <f t="shared" si="130"/>
        <v>discharge</v>
      </c>
      <c r="Y271" s="1">
        <f t="shared" si="131"/>
        <v>0.1047601550387597</v>
      </c>
      <c r="AA271" s="1">
        <f t="shared" si="135"/>
        <v>75.920959382210441</v>
      </c>
      <c r="AD271" s="1">
        <f t="shared" si="136"/>
        <v>0</v>
      </c>
      <c r="AF271" s="1">
        <f t="shared" si="137"/>
        <v>0</v>
      </c>
      <c r="AH271" s="1">
        <f t="shared" si="139"/>
        <v>0</v>
      </c>
    </row>
    <row r="272" spans="1:34" ht="15">
      <c r="A272" s="1">
        <v>271</v>
      </c>
      <c r="B272" s="1">
        <f t="shared" ref="B272:B288" si="140">IF(U272="charge",Q272,0)</f>
        <v>0</v>
      </c>
      <c r="C272" s="1">
        <f t="shared" si="132"/>
        <v>-0.6074108527131783</v>
      </c>
      <c r="D272" s="1">
        <f t="shared" si="138"/>
        <v>38.983331468582598</v>
      </c>
      <c r="E272">
        <v>333</v>
      </c>
      <c r="K272" s="1">
        <f>'Solar Availability and Gener GR'!F272</f>
        <v>3.5999999999999997E-2</v>
      </c>
      <c r="L272" s="1">
        <v>0.64341085271317833</v>
      </c>
      <c r="M272" s="1">
        <f t="shared" si="133"/>
        <v>-0.6074108527131783</v>
      </c>
      <c r="N272" s="1" t="str">
        <f t="shared" si="134"/>
        <v>Buy from Grid</v>
      </c>
      <c r="V272" s="1" t="str">
        <f t="shared" si="130"/>
        <v>discharge</v>
      </c>
      <c r="Y272" s="1">
        <f t="shared" si="131"/>
        <v>0.21425581395348836</v>
      </c>
      <c r="AA272" s="1">
        <f t="shared" si="135"/>
        <v>75.313548529497268</v>
      </c>
      <c r="AD272" s="1">
        <f t="shared" si="136"/>
        <v>0</v>
      </c>
      <c r="AF272" s="1">
        <f t="shared" si="137"/>
        <v>0</v>
      </c>
      <c r="AH272" s="1">
        <f t="shared" si="139"/>
        <v>0</v>
      </c>
    </row>
    <row r="273" spans="1:34" ht="15">
      <c r="A273" s="1">
        <v>272</v>
      </c>
      <c r="B273" s="1">
        <f t="shared" si="140"/>
        <v>0</v>
      </c>
      <c r="C273" s="1">
        <f t="shared" si="132"/>
        <v>-0.31404651162790703</v>
      </c>
      <c r="D273" s="1">
        <f t="shared" si="138"/>
        <v>38.590773329047714</v>
      </c>
      <c r="E273">
        <v>333</v>
      </c>
      <c r="K273" s="1">
        <f>'Solar Availability and Gener GR'!F273</f>
        <v>7.1999999999999995E-2</v>
      </c>
      <c r="L273" s="1">
        <v>0.38604651162790704</v>
      </c>
      <c r="M273" s="1">
        <f t="shared" si="133"/>
        <v>-0.31404651162790703</v>
      </c>
      <c r="N273" s="1" t="str">
        <f t="shared" si="134"/>
        <v>Buy from Grid</v>
      </c>
      <c r="V273" s="1" t="str">
        <f t="shared" si="130"/>
        <v>discharge</v>
      </c>
      <c r="Y273" s="1">
        <f t="shared" si="131"/>
        <v>0.12855348837209304</v>
      </c>
      <c r="AA273" s="1">
        <f t="shared" si="135"/>
        <v>74.999502017869361</v>
      </c>
      <c r="AD273" s="1">
        <f t="shared" si="136"/>
        <v>0</v>
      </c>
      <c r="AF273" s="1">
        <f t="shared" si="137"/>
        <v>0</v>
      </c>
      <c r="AH273" s="1">
        <f t="shared" si="139"/>
        <v>0</v>
      </c>
    </row>
    <row r="274" spans="1:34" ht="15">
      <c r="A274" s="1">
        <v>273</v>
      </c>
      <c r="B274" s="1">
        <f t="shared" si="140"/>
        <v>0</v>
      </c>
      <c r="C274" s="1">
        <f t="shared" si="132"/>
        <v>-0.27804651162790706</v>
      </c>
      <c r="D274" s="1">
        <f t="shared" si="138"/>
        <v>38.243215189512831</v>
      </c>
      <c r="E274">
        <v>223.51</v>
      </c>
      <c r="K274" s="1">
        <f>'Solar Availability and Gener GR'!F274</f>
        <v>0.108</v>
      </c>
      <c r="L274" s="1">
        <v>0.38604651162790704</v>
      </c>
      <c r="M274" s="1">
        <f t="shared" si="133"/>
        <v>-0.27804651162790706</v>
      </c>
      <c r="N274" s="1" t="str">
        <f t="shared" si="134"/>
        <v>Buy from Grid</v>
      </c>
      <c r="V274" s="1" t="str">
        <f t="shared" si="130"/>
        <v>discharge</v>
      </c>
      <c r="Y274" s="1">
        <f t="shared" si="131"/>
        <v>8.6285255813953493E-2</v>
      </c>
      <c r="AA274" s="1">
        <f t="shared" si="135"/>
        <v>74.721455506241455</v>
      </c>
      <c r="AD274" s="1">
        <f t="shared" si="136"/>
        <v>0</v>
      </c>
      <c r="AF274" s="1">
        <f t="shared" si="137"/>
        <v>0</v>
      </c>
      <c r="AH274" s="1">
        <f t="shared" si="139"/>
        <v>0</v>
      </c>
    </row>
    <row r="275" spans="1:34" ht="15">
      <c r="A275" s="1">
        <v>274</v>
      </c>
      <c r="B275" s="1">
        <f t="shared" si="140"/>
        <v>0</v>
      </c>
      <c r="C275" s="1">
        <f t="shared" si="132"/>
        <v>-0.20787060136350732</v>
      </c>
      <c r="D275" s="1">
        <f t="shared" si="138"/>
        <v>37.983376937808444</v>
      </c>
      <c r="E275">
        <v>207.96</v>
      </c>
      <c r="K275" s="1">
        <f>'Solar Availability and Gener GR'!F275</f>
        <v>0.17817591026439972</v>
      </c>
      <c r="L275" s="1">
        <v>0.38604651162790704</v>
      </c>
      <c r="M275" s="1">
        <f t="shared" si="133"/>
        <v>-0.20787060136350732</v>
      </c>
      <c r="N275" s="1" t="str">
        <f t="shared" si="134"/>
        <v>Buy from Grid</v>
      </c>
      <c r="V275" s="1" t="str">
        <f t="shared" si="130"/>
        <v>discharge</v>
      </c>
      <c r="Y275" s="1">
        <f t="shared" si="131"/>
        <v>8.0282232558139557E-2</v>
      </c>
      <c r="AA275" s="1">
        <f t="shared" si="135"/>
        <v>74.513584904877945</v>
      </c>
      <c r="AD275" s="1">
        <f t="shared" si="136"/>
        <v>0</v>
      </c>
      <c r="AF275" s="1">
        <f t="shared" si="137"/>
        <v>0</v>
      </c>
      <c r="AH275" s="1">
        <f t="shared" si="139"/>
        <v>0</v>
      </c>
    </row>
    <row r="276" spans="1:34" ht="15">
      <c r="A276" s="1">
        <v>275</v>
      </c>
      <c r="B276" s="1">
        <f t="shared" si="140"/>
        <v>0</v>
      </c>
      <c r="C276" s="1">
        <f t="shared" si="132"/>
        <v>0.22256650359509378</v>
      </c>
      <c r="D276" s="1">
        <f t="shared" si="138"/>
        <v>38.261585067302313</v>
      </c>
      <c r="E276">
        <v>195.07</v>
      </c>
      <c r="K276" s="1">
        <f>'Solar Availability and Gener GR'!F276</f>
        <v>0.60861301522300082</v>
      </c>
      <c r="L276" s="1">
        <v>0.38604651162790704</v>
      </c>
      <c r="M276" s="1">
        <f t="shared" si="133"/>
        <v>0.22256650359509378</v>
      </c>
      <c r="N276" s="1" t="str">
        <f t="shared" si="134"/>
        <v>sell the surplus or charge</v>
      </c>
      <c r="O276" s="1">
        <v>0.25</v>
      </c>
      <c r="P276" s="1">
        <f t="shared" ref="P276:P281" si="141">0.25/L276</f>
        <v>0.64759036144578308</v>
      </c>
      <c r="Q276" s="1">
        <f t="shared" ref="Q276:Q281" si="142">K276-P276*L276</f>
        <v>0.35861301522300082</v>
      </c>
      <c r="R276" s="1">
        <f t="shared" ref="R276:R281" si="143">((1/(E276+0.01))*LN(0.25))+(E276*(K276-0.25))</f>
        <v>69.947534593098439</v>
      </c>
      <c r="S276" s="1">
        <f t="shared" ref="S276:S281" si="144">((1/(E276+0.01))*LN(L276))+(E276*(K276-L276))</f>
        <v>43.411168845528437</v>
      </c>
      <c r="T276" s="1">
        <f t="shared" ref="T276:T281" si="145">(S276+((S276^2)-4*(K276-L276*P276)*LN(L276*P276))^(0.5))/(2*(K276-L276*P276))</f>
        <v>121.08489081022624</v>
      </c>
      <c r="U276" s="1" t="str">
        <f t="shared" ref="U276:U281" si="146">IF(E276&gt;=T276*1.2,"sell to the Grid","charge")</f>
        <v>sell to the Grid</v>
      </c>
      <c r="W276" s="1">
        <f>(Q276*E276)/1000</f>
        <v>6.9954640879550764E-2</v>
      </c>
      <c r="Y276" s="1">
        <f t="shared" si="131"/>
        <v>7.5306093023255832E-2</v>
      </c>
      <c r="AA276" s="1">
        <f t="shared" si="135"/>
        <v>74.736151408473035</v>
      </c>
      <c r="AD276" s="1">
        <f t="shared" si="136"/>
        <v>0.25</v>
      </c>
      <c r="AF276" s="1">
        <f t="shared" si="137"/>
        <v>145.30186897227148</v>
      </c>
      <c r="AG276" s="1">
        <f>E276</f>
        <v>195.07</v>
      </c>
      <c r="AH276" s="1">
        <f t="shared" si="139"/>
        <v>69.954640879550766</v>
      </c>
    </row>
    <row r="277" spans="1:34" ht="15">
      <c r="A277" s="1">
        <v>276</v>
      </c>
      <c r="B277" s="1">
        <f t="shared" si="140"/>
        <v>0</v>
      </c>
      <c r="C277" s="1">
        <f t="shared" si="132"/>
        <v>0</v>
      </c>
      <c r="D277" s="1">
        <f t="shared" si="138"/>
        <v>38.261585067302313</v>
      </c>
      <c r="E277">
        <v>181.27</v>
      </c>
      <c r="K277" s="1">
        <f>'Solar Availability and Gener GR'!F277</f>
        <v>1.0103000089023395</v>
      </c>
      <c r="L277" s="1">
        <v>0.38604651162790704</v>
      </c>
      <c r="M277" s="1">
        <f t="shared" si="133"/>
        <v>0.62425349727443247</v>
      </c>
      <c r="N277" s="1" t="str">
        <f t="shared" si="134"/>
        <v>sell the surplus or charge</v>
      </c>
      <c r="O277" s="1">
        <v>0.25</v>
      </c>
      <c r="P277" s="1">
        <f t="shared" si="141"/>
        <v>0.64759036144578308</v>
      </c>
      <c r="Q277" s="1">
        <f t="shared" si="142"/>
        <v>0.76030000890233951</v>
      </c>
      <c r="R277" s="1">
        <f t="shared" si="143"/>
        <v>137.81193535886652</v>
      </c>
      <c r="S277" s="1">
        <f t="shared" si="144"/>
        <v>113.15318102386041</v>
      </c>
      <c r="T277" s="1">
        <f t="shared" si="145"/>
        <v>148.83926573114942</v>
      </c>
      <c r="U277" s="1" t="str">
        <f t="shared" si="146"/>
        <v>sell to the Grid</v>
      </c>
      <c r="W277" s="1">
        <f>(Q277*E277)/1000</f>
        <v>0.13781958261372707</v>
      </c>
      <c r="Y277" s="1">
        <f t="shared" si="131"/>
        <v>6.9978651162790714E-2</v>
      </c>
      <c r="AA277" s="1">
        <f t="shared" si="135"/>
        <v>75.360404905747473</v>
      </c>
      <c r="AD277" s="1">
        <f t="shared" si="136"/>
        <v>0.25</v>
      </c>
      <c r="AF277" s="1">
        <f t="shared" si="137"/>
        <v>178.60711887737929</v>
      </c>
      <c r="AG277" s="1">
        <f>AF276</f>
        <v>145.30186897227148</v>
      </c>
      <c r="AH277" s="1">
        <f t="shared" si="139"/>
        <v>110.47301227314458</v>
      </c>
    </row>
    <row r="278" spans="1:34" ht="15">
      <c r="A278" s="1">
        <v>277</v>
      </c>
      <c r="B278" s="1">
        <f t="shared" si="140"/>
        <v>1.0088222202439221</v>
      </c>
      <c r="C278" s="1">
        <f t="shared" si="132"/>
        <v>0</v>
      </c>
      <c r="D278" s="1">
        <f t="shared" si="138"/>
        <v>39.06864284349745</v>
      </c>
      <c r="E278">
        <v>174.94</v>
      </c>
      <c r="K278" s="1">
        <f>'Solar Availability and Gener GR'!F278</f>
        <v>1.2588222202439221</v>
      </c>
      <c r="L278" s="1">
        <v>0.38604651162790704</v>
      </c>
      <c r="M278" s="1">
        <f t="shared" si="133"/>
        <v>0.87277570861601506</v>
      </c>
      <c r="N278" s="1" t="str">
        <f t="shared" si="134"/>
        <v>sell the surplus or charge</v>
      </c>
      <c r="O278" s="1">
        <v>0.25</v>
      </c>
      <c r="P278" s="1">
        <f t="shared" si="141"/>
        <v>0.64759036144578308</v>
      </c>
      <c r="Q278" s="1">
        <f t="shared" si="142"/>
        <v>1.0088222202439221</v>
      </c>
      <c r="R278" s="1">
        <f t="shared" si="143"/>
        <v>176.47543526342361</v>
      </c>
      <c r="S278" s="1">
        <f t="shared" si="144"/>
        <v>152.6779420684847</v>
      </c>
      <c r="T278" s="1">
        <f t="shared" si="145"/>
        <v>151.35184219747637</v>
      </c>
      <c r="U278" s="1" t="str">
        <f t="shared" si="146"/>
        <v>charge</v>
      </c>
      <c r="Y278" s="1">
        <f t="shared" si="131"/>
        <v>6.7534976744186057E-2</v>
      </c>
      <c r="AA278" s="1">
        <f t="shared" si="135"/>
        <v>76.233180614363491</v>
      </c>
      <c r="AD278" s="1">
        <f t="shared" si="136"/>
        <v>0.25</v>
      </c>
      <c r="AF278" s="1">
        <f t="shared" si="137"/>
        <v>181.62221063697163</v>
      </c>
      <c r="AH278" s="1">
        <f t="shared" si="139"/>
        <v>0</v>
      </c>
    </row>
    <row r="279" spans="1:34" ht="15">
      <c r="A279" s="1">
        <v>278</v>
      </c>
      <c r="B279" s="1">
        <f t="shared" si="140"/>
        <v>1.0275571975429532</v>
      </c>
      <c r="C279" s="1">
        <f t="shared" si="132"/>
        <v>0</v>
      </c>
      <c r="D279" s="1">
        <f t="shared" si="138"/>
        <v>39.890688601531814</v>
      </c>
      <c r="E279">
        <v>188.37</v>
      </c>
      <c r="K279" s="1">
        <f>'Solar Availability and Gener GR'!F279</f>
        <v>1.2775571975429532</v>
      </c>
      <c r="L279" s="1">
        <v>0.38604651162790704</v>
      </c>
      <c r="M279" s="1">
        <f t="shared" si="133"/>
        <v>0.89151068591504612</v>
      </c>
      <c r="N279" s="1" t="str">
        <f t="shared" si="134"/>
        <v>sell the surplus or charge</v>
      </c>
      <c r="O279" s="1">
        <v>0.25</v>
      </c>
      <c r="P279" s="1">
        <f t="shared" si="141"/>
        <v>0.64759036144578308</v>
      </c>
      <c r="Q279" s="1">
        <f t="shared" si="142"/>
        <v>1.0275571975429532</v>
      </c>
      <c r="R279" s="1">
        <f t="shared" si="143"/>
        <v>193.55359026962813</v>
      </c>
      <c r="S279" s="1">
        <f t="shared" si="144"/>
        <v>167.92881536616159</v>
      </c>
      <c r="T279" s="1">
        <f t="shared" si="145"/>
        <v>163.43352767211073</v>
      </c>
      <c r="U279" s="1" t="str">
        <f t="shared" si="146"/>
        <v>charge</v>
      </c>
      <c r="Y279" s="1">
        <f t="shared" si="131"/>
        <v>7.2719581395348856E-2</v>
      </c>
      <c r="AA279" s="1">
        <f t="shared" si="135"/>
        <v>77.124691300278542</v>
      </c>
      <c r="AD279" s="1">
        <f t="shared" si="136"/>
        <v>0.25</v>
      </c>
      <c r="AF279" s="1">
        <f t="shared" si="137"/>
        <v>196.12023320653287</v>
      </c>
      <c r="AH279" s="1">
        <f t="shared" si="139"/>
        <v>0</v>
      </c>
    </row>
    <row r="280" spans="1:34" ht="15">
      <c r="A280" s="1">
        <v>279</v>
      </c>
      <c r="B280" s="1">
        <f t="shared" si="140"/>
        <v>0.94097302590581111</v>
      </c>
      <c r="C280" s="1">
        <f t="shared" si="132"/>
        <v>0</v>
      </c>
      <c r="D280" s="1">
        <f t="shared" si="138"/>
        <v>40.643467022256459</v>
      </c>
      <c r="E280">
        <v>206.46</v>
      </c>
      <c r="K280" s="1">
        <f>'Solar Availability and Gener GR'!F280</f>
        <v>1.1909730259058111</v>
      </c>
      <c r="L280" s="1">
        <v>0.38604651162790704</v>
      </c>
      <c r="M280" s="1">
        <f t="shared" si="133"/>
        <v>0.80492651427790407</v>
      </c>
      <c r="N280" s="1" t="str">
        <f t="shared" si="134"/>
        <v>sell the surplus or charge</v>
      </c>
      <c r="O280" s="1">
        <v>0.25</v>
      </c>
      <c r="P280" s="1">
        <f t="shared" si="141"/>
        <v>0.64759036144578308</v>
      </c>
      <c r="Q280" s="1">
        <f t="shared" si="142"/>
        <v>0.94097302590581111</v>
      </c>
      <c r="R280" s="1">
        <f t="shared" si="143"/>
        <v>194.26657666319136</v>
      </c>
      <c r="S280" s="1">
        <f t="shared" si="144"/>
        <v>166.18051827962685</v>
      </c>
      <c r="T280" s="1">
        <f t="shared" si="145"/>
        <v>176.6133173043728</v>
      </c>
      <c r="U280" s="1" t="str">
        <f t="shared" si="146"/>
        <v>charge</v>
      </c>
      <c r="Y280" s="1">
        <f t="shared" si="131"/>
        <v>7.9703162790697696E-2</v>
      </c>
      <c r="AA280" s="1">
        <f t="shared" si="135"/>
        <v>77.929617814556451</v>
      </c>
      <c r="AD280" s="1">
        <f t="shared" si="136"/>
        <v>0.25</v>
      </c>
      <c r="AF280" s="1">
        <f t="shared" si="137"/>
        <v>211.93598076524736</v>
      </c>
      <c r="AH280" s="1">
        <f t="shared" si="139"/>
        <v>0</v>
      </c>
    </row>
    <row r="281" spans="1:34" ht="15">
      <c r="A281" s="1">
        <v>280</v>
      </c>
      <c r="B281" s="1">
        <f t="shared" si="140"/>
        <v>0</v>
      </c>
      <c r="C281" s="1">
        <f t="shared" si="132"/>
        <v>0</v>
      </c>
      <c r="D281" s="1">
        <f t="shared" si="138"/>
        <v>40.643467022256459</v>
      </c>
      <c r="E281">
        <v>272.01</v>
      </c>
      <c r="K281" s="1">
        <f>'Solar Availability and Gener GR'!F281</f>
        <v>0.92246060713967637</v>
      </c>
      <c r="L281" s="1">
        <v>0.64341085271317833</v>
      </c>
      <c r="M281" s="1">
        <f t="shared" si="133"/>
        <v>0.27904975442649804</v>
      </c>
      <c r="N281" s="1" t="str">
        <f t="shared" si="134"/>
        <v>sell the surplus or charge</v>
      </c>
      <c r="O281" s="1">
        <v>0.25</v>
      </c>
      <c r="P281" s="1">
        <f t="shared" si="141"/>
        <v>0.38855421686746988</v>
      </c>
      <c r="Q281" s="1">
        <f t="shared" si="142"/>
        <v>0.67246060713967637</v>
      </c>
      <c r="R281" s="1">
        <f t="shared" si="143"/>
        <v>182.91091345234571</v>
      </c>
      <c r="S281" s="1">
        <f t="shared" si="144"/>
        <v>75.90270260090999</v>
      </c>
      <c r="T281" s="1">
        <f t="shared" si="145"/>
        <v>112.89134514988436</v>
      </c>
      <c r="U281" s="1" t="str">
        <f t="shared" si="146"/>
        <v>sell to the Grid</v>
      </c>
      <c r="W281" s="1">
        <f>(Q281*E281)/1000</f>
        <v>0.18291600974806338</v>
      </c>
      <c r="Y281" s="1">
        <f t="shared" si="131"/>
        <v>0.17501418604651164</v>
      </c>
      <c r="AA281" s="1">
        <f t="shared" si="135"/>
        <v>78.208667568982946</v>
      </c>
      <c r="AD281" s="1">
        <f t="shared" si="136"/>
        <v>0.25</v>
      </c>
      <c r="AF281" s="1">
        <f t="shared" si="137"/>
        <v>135.46961417986122</v>
      </c>
      <c r="AG281" s="1">
        <f>AF280</f>
        <v>211.93598076524736</v>
      </c>
      <c r="AH281" s="1">
        <f t="shared" si="139"/>
        <v>142.51859830014101</v>
      </c>
    </row>
    <row r="282" spans="1:34" ht="15">
      <c r="A282" s="1">
        <v>281</v>
      </c>
      <c r="B282" s="1">
        <f t="shared" si="140"/>
        <v>0</v>
      </c>
      <c r="C282" s="1">
        <f t="shared" si="132"/>
        <v>0</v>
      </c>
      <c r="D282" s="1">
        <f t="shared" si="138"/>
        <v>40.643467022256459</v>
      </c>
      <c r="E282">
        <v>297</v>
      </c>
      <c r="K282" s="1">
        <f>'Solar Availability and Gener GR'!F282</f>
        <v>0.54864239294934358</v>
      </c>
      <c r="L282" s="1">
        <v>0.64341085271317833</v>
      </c>
      <c r="M282" s="1">
        <f t="shared" si="133"/>
        <v>-9.4768459763834745E-2</v>
      </c>
      <c r="N282" s="1" t="str">
        <f t="shared" si="134"/>
        <v>Buy from Grid</v>
      </c>
      <c r="V282" s="1" t="str">
        <f t="shared" ref="V282:V289" si="147">IF(D282+M282&gt;0,"discharge","buy from the Grid")</f>
        <v>discharge</v>
      </c>
      <c r="Y282" s="1">
        <f t="shared" si="131"/>
        <v>0.19109302325581395</v>
      </c>
      <c r="AA282" s="1">
        <f t="shared" si="135"/>
        <v>78.113899109219105</v>
      </c>
      <c r="AD282" s="1">
        <f t="shared" si="136"/>
        <v>0</v>
      </c>
      <c r="AF282" s="1">
        <f t="shared" si="137"/>
        <v>0</v>
      </c>
      <c r="AH282" s="1">
        <f t="shared" si="139"/>
        <v>0</v>
      </c>
    </row>
    <row r="283" spans="1:34" ht="15">
      <c r="A283" s="1">
        <v>282</v>
      </c>
      <c r="B283" s="1">
        <f t="shared" si="140"/>
        <v>0</v>
      </c>
      <c r="C283" s="1">
        <f t="shared" si="132"/>
        <v>-0.50688454629459012</v>
      </c>
      <c r="D283" s="1">
        <f t="shared" si="138"/>
        <v>40.009861339388223</v>
      </c>
      <c r="E283">
        <v>285.3</v>
      </c>
      <c r="K283" s="1">
        <f>'Solar Availability and Gener GR'!F283</f>
        <v>0.13652630641858823</v>
      </c>
      <c r="L283" s="1">
        <v>0.64341085271317833</v>
      </c>
      <c r="M283" s="1">
        <f t="shared" si="133"/>
        <v>-0.50688454629459012</v>
      </c>
      <c r="N283" s="1" t="str">
        <f t="shared" si="134"/>
        <v>Buy from Grid</v>
      </c>
      <c r="V283" s="1" t="str">
        <f t="shared" si="147"/>
        <v>discharge</v>
      </c>
      <c r="Y283" s="1">
        <f t="shared" si="131"/>
        <v>0.1835651162790698</v>
      </c>
      <c r="AA283" s="1">
        <f t="shared" si="135"/>
        <v>77.607014562924519</v>
      </c>
      <c r="AD283" s="1">
        <f t="shared" si="136"/>
        <v>0</v>
      </c>
      <c r="AF283" s="1">
        <f t="shared" si="137"/>
        <v>0</v>
      </c>
      <c r="AH283" s="1">
        <f t="shared" si="139"/>
        <v>0</v>
      </c>
    </row>
    <row r="284" spans="1:34" ht="15">
      <c r="A284" s="1">
        <v>283</v>
      </c>
      <c r="B284" s="1">
        <f t="shared" si="140"/>
        <v>0</v>
      </c>
      <c r="C284" s="1">
        <f t="shared" si="132"/>
        <v>-0.64341085271317833</v>
      </c>
      <c r="D284" s="1">
        <f t="shared" si="138"/>
        <v>39.205597773496748</v>
      </c>
      <c r="E284">
        <v>257.5</v>
      </c>
      <c r="K284" s="1">
        <f>'Solar Availability and Gener GR'!F284</f>
        <v>0</v>
      </c>
      <c r="L284" s="1">
        <v>0.64341085271317833</v>
      </c>
      <c r="M284" s="1">
        <f t="shared" si="133"/>
        <v>-0.64341085271317833</v>
      </c>
      <c r="N284" s="1" t="str">
        <f t="shared" si="134"/>
        <v>Buy from Grid</v>
      </c>
      <c r="V284" s="1" t="str">
        <f t="shared" si="147"/>
        <v>discharge</v>
      </c>
      <c r="Y284" s="1">
        <f t="shared" si="131"/>
        <v>0.16567829457364341</v>
      </c>
      <c r="AA284" s="1">
        <f t="shared" si="135"/>
        <v>76.963603710211345</v>
      </c>
      <c r="AD284" s="1">
        <f t="shared" si="136"/>
        <v>0</v>
      </c>
      <c r="AF284" s="1">
        <f t="shared" si="137"/>
        <v>0</v>
      </c>
      <c r="AH284" s="1">
        <f t="shared" si="139"/>
        <v>0</v>
      </c>
    </row>
    <row r="285" spans="1:34" ht="15">
      <c r="A285" s="1">
        <v>284</v>
      </c>
      <c r="B285" s="1">
        <f t="shared" si="140"/>
        <v>0</v>
      </c>
      <c r="C285" s="1">
        <f t="shared" si="132"/>
        <v>-0.64341085271317833</v>
      </c>
      <c r="D285" s="1">
        <f t="shared" si="138"/>
        <v>38.401334207605274</v>
      </c>
      <c r="E285">
        <v>277.69</v>
      </c>
      <c r="K285" s="1">
        <f>'Solar Availability and Gener GR'!F285</f>
        <v>0</v>
      </c>
      <c r="L285" s="1">
        <v>0.64341085271317833</v>
      </c>
      <c r="M285" s="1">
        <f t="shared" si="133"/>
        <v>-0.64341085271317833</v>
      </c>
      <c r="N285" s="1" t="str">
        <f t="shared" si="134"/>
        <v>Buy from Grid</v>
      </c>
      <c r="V285" s="1" t="str">
        <f t="shared" si="147"/>
        <v>discharge</v>
      </c>
      <c r="Y285" s="1">
        <f t="shared" si="131"/>
        <v>0.17866875968992249</v>
      </c>
      <c r="AA285" s="1">
        <f t="shared" si="135"/>
        <v>76.320192857498171</v>
      </c>
      <c r="AD285" s="1">
        <f t="shared" si="136"/>
        <v>0</v>
      </c>
      <c r="AF285" s="1">
        <f t="shared" si="137"/>
        <v>0</v>
      </c>
      <c r="AH285" s="1">
        <f t="shared" si="139"/>
        <v>0</v>
      </c>
    </row>
    <row r="286" spans="1:34" ht="15">
      <c r="A286" s="1">
        <v>285</v>
      </c>
      <c r="B286" s="1">
        <f t="shared" si="140"/>
        <v>0</v>
      </c>
      <c r="C286" s="1">
        <f t="shared" si="132"/>
        <v>-0.64341085271317833</v>
      </c>
      <c r="D286" s="1">
        <f t="shared" si="138"/>
        <v>37.597070641713799</v>
      </c>
      <c r="E286">
        <v>269.25</v>
      </c>
      <c r="K286" s="1">
        <f>'Solar Availability and Gener GR'!F286</f>
        <v>0</v>
      </c>
      <c r="L286" s="1">
        <v>0.64341085271317833</v>
      </c>
      <c r="M286" s="1">
        <f t="shared" si="133"/>
        <v>-0.64341085271317833</v>
      </c>
      <c r="N286" s="1" t="str">
        <f t="shared" si="134"/>
        <v>Buy from Grid</v>
      </c>
      <c r="V286" s="1" t="str">
        <f t="shared" si="147"/>
        <v>discharge</v>
      </c>
      <c r="Y286" s="1">
        <f t="shared" si="131"/>
        <v>0.17323837209302326</v>
      </c>
      <c r="AA286" s="1">
        <f t="shared" si="135"/>
        <v>75.676782004784997</v>
      </c>
      <c r="AD286" s="1">
        <f t="shared" si="136"/>
        <v>0</v>
      </c>
      <c r="AF286" s="1">
        <f t="shared" si="137"/>
        <v>0</v>
      </c>
      <c r="AH286" s="1">
        <f t="shared" si="139"/>
        <v>0</v>
      </c>
    </row>
    <row r="287" spans="1:34" ht="15">
      <c r="A287" s="1">
        <v>286</v>
      </c>
      <c r="B287" s="1">
        <f t="shared" si="140"/>
        <v>0</v>
      </c>
      <c r="C287" s="1">
        <f t="shared" si="132"/>
        <v>-0.64341085271317833</v>
      </c>
      <c r="D287" s="1">
        <f t="shared" si="138"/>
        <v>36.792807075822324</v>
      </c>
      <c r="E287">
        <v>181.38</v>
      </c>
      <c r="K287" s="1">
        <f>'Solar Availability and Gener GR'!F287</f>
        <v>0</v>
      </c>
      <c r="L287" s="1">
        <v>0.64341085271317833</v>
      </c>
      <c r="M287" s="1">
        <f t="shared" si="133"/>
        <v>-0.64341085271317833</v>
      </c>
      <c r="N287" s="1" t="str">
        <f t="shared" si="134"/>
        <v>Buy from Grid</v>
      </c>
      <c r="V287" s="1" t="str">
        <f t="shared" si="147"/>
        <v>discharge</v>
      </c>
      <c r="Y287" s="1">
        <f t="shared" si="131"/>
        <v>0.11670186046511628</v>
      </c>
      <c r="AA287" s="1">
        <f t="shared" si="135"/>
        <v>75.033371152071823</v>
      </c>
      <c r="AD287" s="1">
        <f t="shared" si="136"/>
        <v>0</v>
      </c>
      <c r="AF287" s="1">
        <f t="shared" si="137"/>
        <v>0</v>
      </c>
      <c r="AH287" s="1">
        <f t="shared" si="139"/>
        <v>0</v>
      </c>
    </row>
    <row r="288" spans="1:34" ht="15">
      <c r="A288" s="1">
        <v>287</v>
      </c>
      <c r="B288" s="1">
        <f t="shared" si="140"/>
        <v>0</v>
      </c>
      <c r="C288" s="1">
        <f t="shared" si="132"/>
        <v>-0.25736434108527134</v>
      </c>
      <c r="D288" s="1">
        <f t="shared" si="138"/>
        <v>36.471101649465737</v>
      </c>
      <c r="E288">
        <v>213</v>
      </c>
      <c r="K288" s="1">
        <f>'Solar Availability and Gener GR'!F288</f>
        <v>0</v>
      </c>
      <c r="L288" s="1">
        <v>0.25736434108527134</v>
      </c>
      <c r="M288" s="1">
        <f t="shared" si="133"/>
        <v>-0.25736434108527134</v>
      </c>
      <c r="N288" s="1" t="str">
        <f t="shared" si="134"/>
        <v>Buy from Grid</v>
      </c>
      <c r="V288" s="1" t="str">
        <f t="shared" si="147"/>
        <v>discharge</v>
      </c>
      <c r="Y288" s="1">
        <f t="shared" si="131"/>
        <v>5.481860465116279E-2</v>
      </c>
      <c r="AA288" s="1">
        <f t="shared" si="135"/>
        <v>74.776006810986544</v>
      </c>
      <c r="AD288" s="1">
        <f t="shared" si="136"/>
        <v>0</v>
      </c>
      <c r="AF288" s="1">
        <f t="shared" si="137"/>
        <v>0</v>
      </c>
      <c r="AH288" s="1">
        <f t="shared" si="139"/>
        <v>0</v>
      </c>
    </row>
    <row r="289" spans="1:35" ht="15">
      <c r="A289" s="1">
        <v>288</v>
      </c>
      <c r="C289" s="1">
        <f t="shared" si="132"/>
        <v>-0.25736434108527134</v>
      </c>
      <c r="D289" s="1">
        <f t="shared" si="138"/>
        <v>36.14939622310915</v>
      </c>
      <c r="E289">
        <v>172.5</v>
      </c>
      <c r="K289" s="1">
        <f>'Solar Availability and Gener GR'!F289</f>
        <v>0</v>
      </c>
      <c r="L289" s="1">
        <v>0.25736434108527134</v>
      </c>
      <c r="M289" s="1">
        <f t="shared" si="133"/>
        <v>-0.25736434108527134</v>
      </c>
      <c r="N289" s="1" t="str">
        <f t="shared" si="134"/>
        <v>Buy from Grid</v>
      </c>
      <c r="V289" s="1" t="str">
        <f t="shared" si="147"/>
        <v>discharge</v>
      </c>
      <c r="Y289" s="1">
        <f t="shared" si="131"/>
        <v>4.4395348837209303E-2</v>
      </c>
      <c r="AA289" s="1">
        <f t="shared" si="135"/>
        <v>74.518642469901266</v>
      </c>
      <c r="AD289" s="1">
        <f t="shared" si="136"/>
        <v>0</v>
      </c>
      <c r="AF289" s="1">
        <f t="shared" si="137"/>
        <v>0</v>
      </c>
      <c r="AH289" s="1">
        <f t="shared" si="139"/>
        <v>0</v>
      </c>
    </row>
    <row r="290" spans="1:35">
      <c r="W290" s="1">
        <f>SUM(W2:W289)</f>
        <v>10.521314254067466</v>
      </c>
      <c r="X290" s="1">
        <f>SUM(X2:X289)</f>
        <v>-3.2560666772254496</v>
      </c>
      <c r="Y290" s="1">
        <f>SUM(Y2:Y289)</f>
        <v>29.742582720294571</v>
      </c>
    </row>
    <row r="291" spans="1:35" ht="54" customHeight="1">
      <c r="E291" s="1">
        <f>MIN(E2:E290)</f>
        <v>59.27</v>
      </c>
      <c r="L291" s="1">
        <f>SUM(L2:L290)*30</f>
        <v>3860.5025627907062</v>
      </c>
      <c r="Q291" s="1">
        <f>SUM(Q2:Q289)</f>
        <v>166.34415073444302</v>
      </c>
      <c r="V291" s="1" t="s">
        <v>351</v>
      </c>
      <c r="W291" s="1">
        <f>(W290+X290)*30</f>
        <v>217.9574273052605</v>
      </c>
      <c r="Y291" s="1">
        <f>Y290*30</f>
        <v>892.27748160883709</v>
      </c>
      <c r="AD291" s="1">
        <f>SUM(AD2:AD290)*30</f>
        <v>1202.9953488372093</v>
      </c>
      <c r="AE291" s="1" t="s">
        <v>374</v>
      </c>
      <c r="AH291" s="1">
        <f>SUM(AH2:AH289)</f>
        <v>7994.1828863649625</v>
      </c>
    </row>
    <row r="292" spans="1:35" ht="15">
      <c r="E292" s="1">
        <f>MAX(E2:E28)</f>
        <v>363.15</v>
      </c>
      <c r="AH292" s="14">
        <f>AH291/Q291</f>
        <v>48.058094324741994</v>
      </c>
      <c r="AI292" s="13" t="s">
        <v>378</v>
      </c>
    </row>
    <row r="293" spans="1:35" ht="30">
      <c r="D293" s="1">
        <f>10.7/12</f>
        <v>0.89166666666666661</v>
      </c>
      <c r="V293" s="1" t="s">
        <v>352</v>
      </c>
      <c r="W293" s="1">
        <f>Y291</f>
        <v>892.27748160883709</v>
      </c>
    </row>
    <row r="295" spans="1:35" ht="30">
      <c r="V295" s="1" t="s">
        <v>354</v>
      </c>
      <c r="W295" s="1">
        <f>W291+W293</f>
        <v>1110.2349089140976</v>
      </c>
    </row>
    <row r="296" spans="1:35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5">
      <c r="V297" s="1">
        <v>2030</v>
      </c>
      <c r="W297" s="1">
        <v>860000</v>
      </c>
      <c r="X297" s="11">
        <f>$W$295*W297</f>
        <v>954802021.66612387</v>
      </c>
      <c r="Y297" s="3">
        <f>($L$291-$AD$291)*W297/1000000</f>
        <v>2285.4562040000073</v>
      </c>
      <c r="AA297" s="11">
        <f>$W$291*W297</f>
        <v>187443387.48252404</v>
      </c>
    </row>
    <row r="298" spans="1:35">
      <c r="V298" s="1">
        <v>2035</v>
      </c>
      <c r="W298" s="1">
        <v>1720000</v>
      </c>
      <c r="X298" s="11">
        <f t="shared" ref="X298:X301" si="148">$W$295*W298</f>
        <v>1909604043.3322477</v>
      </c>
      <c r="Y298" s="3">
        <f>($L$291-$AD$291)*W298/1000000</f>
        <v>4570.9124080000147</v>
      </c>
      <c r="AA298" s="11">
        <f t="shared" ref="AA298:AA301" si="149">$W$291*W298</f>
        <v>374886774.96504807</v>
      </c>
    </row>
    <row r="299" spans="1:35">
      <c r="V299" s="1">
        <v>2040</v>
      </c>
      <c r="W299" s="1">
        <v>2580000</v>
      </c>
      <c r="X299" s="11">
        <f t="shared" si="148"/>
        <v>2864406064.9983716</v>
      </c>
      <c r="Y299" s="3">
        <f>($L$291-$AD$291)*W299/1000000</f>
        <v>6856.368612000022</v>
      </c>
      <c r="AA299" s="11">
        <f t="shared" si="149"/>
        <v>562330162.44757211</v>
      </c>
    </row>
    <row r="300" spans="1:35">
      <c r="V300" s="1">
        <v>2045</v>
      </c>
      <c r="W300" s="1">
        <v>3440000</v>
      </c>
      <c r="X300" s="11">
        <f t="shared" si="148"/>
        <v>3819208086.6644955</v>
      </c>
      <c r="Y300" s="3">
        <f>($L$291-$AD$291)*W300/1000000</f>
        <v>9141.8248160000294</v>
      </c>
      <c r="AA300" s="11">
        <f t="shared" si="149"/>
        <v>749773549.93009615</v>
      </c>
    </row>
    <row r="301" spans="1:35">
      <c r="V301" s="1">
        <v>2050</v>
      </c>
      <c r="W301" s="1">
        <v>4300000</v>
      </c>
      <c r="X301" s="11">
        <f t="shared" si="148"/>
        <v>4774010108.3306198</v>
      </c>
      <c r="Y301" s="3">
        <f>($L$291-$AD$291)*W301/1000000</f>
        <v>11427.281020000037</v>
      </c>
      <c r="AA301" s="11">
        <f t="shared" si="149"/>
        <v>937216937.41262019</v>
      </c>
    </row>
  </sheetData>
  <autoFilter ref="A1:V289" xr:uid="{341E820E-40E6-49AC-8FF5-E40C9CA07058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A863-1375-5C43-A2A2-6245DE1D1EEF}">
  <dimension ref="A1:AI301"/>
  <sheetViews>
    <sheetView topLeftCell="R274" workbookViewId="0">
      <selection activeCell="AH292" sqref="AH292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32" width="8.6640625" style="1"/>
    <col min="33" max="34" width="11.6640625" style="1" bestFit="1" customWidth="1"/>
    <col min="35" max="35" width="11.83203125" style="1" customWidth="1"/>
    <col min="36" max="16384" width="8.6640625" style="1"/>
  </cols>
  <sheetData>
    <row r="1" spans="1:34" ht="12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  <c r="AF1" s="1" t="s">
        <v>376</v>
      </c>
      <c r="AG1" s="1" t="s">
        <v>377</v>
      </c>
    </row>
    <row r="2" spans="1:34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363.15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0.10793442955813956</v>
      </c>
      <c r="AA2" s="1">
        <f>M2</f>
        <v>-0.29721720930232565</v>
      </c>
      <c r="AD2" s="1">
        <f>AC2+O2</f>
        <v>0</v>
      </c>
      <c r="AF2" s="1">
        <f>T2*1.2</f>
        <v>0</v>
      </c>
    </row>
    <row r="3" spans="1:34" ht="15">
      <c r="A3" s="1">
        <v>2</v>
      </c>
      <c r="B3" s="1">
        <f t="shared" ref="B3:B14" si="2">IF(U3="charge",Q3,0)</f>
        <v>0</v>
      </c>
      <c r="C3" s="1">
        <f t="shared" ref="C3:C66" si="3">IF(V2="discharge",M3,0)</f>
        <v>-0.29596899224806206</v>
      </c>
      <c r="D3" s="1">
        <f>(D2)+(B3*0.8)+(C3/0.8)</f>
        <v>0.83003875968992258</v>
      </c>
      <c r="E3">
        <v>363.15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0.10748113953488372</v>
      </c>
      <c r="AA3" s="1">
        <f t="shared" ref="AA3:AA66" si="6">M3+AA2</f>
        <v>-0.5931862015503877</v>
      </c>
      <c r="AD3" s="1">
        <f t="shared" ref="AD3:AD66" si="7">AC3+O3</f>
        <v>0</v>
      </c>
      <c r="AF3" s="1">
        <f t="shared" ref="AF3:AF66" si="8">T3*1.2</f>
        <v>0</v>
      </c>
    </row>
    <row r="4" spans="1:34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9">(D3)+(B4*0.8)+(C4/0.8)</f>
        <v>0.46007751937984503</v>
      </c>
      <c r="E4">
        <v>363.15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0.10748113953488372</v>
      </c>
      <c r="AA4" s="1">
        <f t="shared" si="6"/>
        <v>-0.88915519379844976</v>
      </c>
      <c r="AD4" s="1">
        <f t="shared" si="7"/>
        <v>0</v>
      </c>
      <c r="AF4" s="1">
        <f t="shared" si="8"/>
        <v>0</v>
      </c>
    </row>
    <row r="5" spans="1:34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9"/>
        <v>9.0116279069767491E-2</v>
      </c>
      <c r="E5">
        <v>363.15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10">(M5*E5)/1000</f>
        <v>-0.10748113953488372</v>
      </c>
      <c r="Y5" s="1">
        <f t="shared" si="1"/>
        <v>0.10748113953488372</v>
      </c>
      <c r="AA5" s="1">
        <f t="shared" si="6"/>
        <v>-1.1851241860465118</v>
      </c>
      <c r="AC5" s="1">
        <f t="shared" ref="AC5:AC11" si="11">L5</f>
        <v>0.29596899224806206</v>
      </c>
      <c r="AD5" s="1">
        <f t="shared" si="7"/>
        <v>0.29596899224806206</v>
      </c>
      <c r="AF5" s="1">
        <f t="shared" si="8"/>
        <v>0</v>
      </c>
    </row>
    <row r="6" spans="1:34" ht="15">
      <c r="A6" s="1">
        <v>5</v>
      </c>
      <c r="B6" s="1">
        <f t="shared" si="2"/>
        <v>0</v>
      </c>
      <c r="C6" s="1">
        <f t="shared" si="3"/>
        <v>0</v>
      </c>
      <c r="D6" s="1">
        <f t="shared" si="9"/>
        <v>9.0116279069767491E-2</v>
      </c>
      <c r="E6">
        <v>363.15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10"/>
        <v>-0.10748113953488372</v>
      </c>
      <c r="Y6" s="1">
        <f t="shared" si="1"/>
        <v>0.10748113953488372</v>
      </c>
      <c r="AA6" s="1">
        <f t="shared" si="6"/>
        <v>-1.4810931782945738</v>
      </c>
      <c r="AC6" s="1">
        <f t="shared" si="11"/>
        <v>0.29596899224806206</v>
      </c>
      <c r="AD6" s="1">
        <f t="shared" si="7"/>
        <v>0.29596899224806206</v>
      </c>
      <c r="AF6" s="1">
        <f t="shared" si="8"/>
        <v>0</v>
      </c>
    </row>
    <row r="7" spans="1:34" ht="15">
      <c r="A7" s="1">
        <v>6</v>
      </c>
      <c r="B7" s="1">
        <f t="shared" si="2"/>
        <v>0</v>
      </c>
      <c r="C7" s="1">
        <f t="shared" si="3"/>
        <v>0</v>
      </c>
      <c r="D7" s="1">
        <f t="shared" si="9"/>
        <v>9.0116279069767491E-2</v>
      </c>
      <c r="E7">
        <v>363.15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10"/>
        <v>-0.14486588372093023</v>
      </c>
      <c r="Y7" s="1">
        <f t="shared" si="1"/>
        <v>0.14486588372093023</v>
      </c>
      <c r="AA7" s="1">
        <f t="shared" si="6"/>
        <v>-1.8800079069767444</v>
      </c>
      <c r="AC7" s="1">
        <f t="shared" si="11"/>
        <v>0.39891472868217059</v>
      </c>
      <c r="AD7" s="1">
        <f t="shared" si="7"/>
        <v>0.39891472868217059</v>
      </c>
      <c r="AF7" s="1">
        <f t="shared" si="8"/>
        <v>0</v>
      </c>
    </row>
    <row r="8" spans="1:34" ht="15">
      <c r="A8" s="1">
        <v>7</v>
      </c>
      <c r="B8" s="1">
        <f t="shared" si="2"/>
        <v>0</v>
      </c>
      <c r="C8" s="1">
        <f t="shared" si="3"/>
        <v>0</v>
      </c>
      <c r="D8" s="1">
        <f t="shared" si="9"/>
        <v>9.0116279069767491E-2</v>
      </c>
      <c r="E8">
        <v>363.15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10"/>
        <v>-0.22992743720930231</v>
      </c>
      <c r="Y8" s="1">
        <f t="shared" si="1"/>
        <v>0.24300083720930232</v>
      </c>
      <c r="AA8" s="1">
        <f t="shared" si="6"/>
        <v>-2.5131551937984495</v>
      </c>
      <c r="AC8" s="1">
        <f t="shared" si="11"/>
        <v>0.66914728682170543</v>
      </c>
      <c r="AD8" s="1">
        <f t="shared" si="7"/>
        <v>0.66914728682170543</v>
      </c>
      <c r="AF8" s="1">
        <f t="shared" si="8"/>
        <v>0</v>
      </c>
    </row>
    <row r="9" spans="1:34" ht="15">
      <c r="A9" s="1">
        <v>8</v>
      </c>
      <c r="B9" s="1">
        <f t="shared" si="2"/>
        <v>0</v>
      </c>
      <c r="C9" s="1">
        <f t="shared" si="3"/>
        <v>0</v>
      </c>
      <c r="D9" s="1">
        <f t="shared" si="9"/>
        <v>9.0116279069767491E-2</v>
      </c>
      <c r="E9">
        <v>363.15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10"/>
        <v>-0.21685403720930232</v>
      </c>
      <c r="Y9" s="1">
        <f t="shared" si="1"/>
        <v>0.24300083720930232</v>
      </c>
      <c r="AA9" s="1">
        <f t="shared" si="6"/>
        <v>-3.1103024806201551</v>
      </c>
      <c r="AC9" s="1">
        <f t="shared" si="11"/>
        <v>0.66914728682170543</v>
      </c>
      <c r="AD9" s="1">
        <f t="shared" si="7"/>
        <v>0.66914728682170543</v>
      </c>
      <c r="AF9" s="1">
        <f t="shared" si="8"/>
        <v>0</v>
      </c>
    </row>
    <row r="10" spans="1:34" ht="15">
      <c r="A10" s="1">
        <v>9</v>
      </c>
      <c r="B10" s="1">
        <f t="shared" si="2"/>
        <v>0</v>
      </c>
      <c r="C10" s="1">
        <f t="shared" si="3"/>
        <v>0</v>
      </c>
      <c r="D10" s="1">
        <f t="shared" si="9"/>
        <v>9.0116279069767491E-2</v>
      </c>
      <c r="E10">
        <v>363.15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10"/>
        <v>-0.19910754418604654</v>
      </c>
      <c r="Y10" s="1">
        <f t="shared" si="1"/>
        <v>0.23832774418604655</v>
      </c>
      <c r="AA10" s="1">
        <f t="shared" si="6"/>
        <v>-3.6585815503875971</v>
      </c>
      <c r="AC10" s="1">
        <f t="shared" si="11"/>
        <v>0.65627906976744199</v>
      </c>
      <c r="AD10" s="1">
        <f t="shared" si="7"/>
        <v>0.65627906976744199</v>
      </c>
      <c r="AF10" s="1">
        <f t="shared" si="8"/>
        <v>0</v>
      </c>
    </row>
    <row r="11" spans="1:34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9"/>
        <v>9.0116279069767491E-2</v>
      </c>
      <c r="E11">
        <v>363.15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10"/>
        <v>-8.0161301908413488E-2</v>
      </c>
      <c r="Y11" s="1">
        <f t="shared" si="1"/>
        <v>0.14486588372093023</v>
      </c>
      <c r="AA11" s="1">
        <f t="shared" si="6"/>
        <v>-3.8793203688053679</v>
      </c>
      <c r="AC11" s="1">
        <f t="shared" si="11"/>
        <v>0.39891472868217059</v>
      </c>
      <c r="AD11" s="1">
        <f t="shared" si="7"/>
        <v>0.39891472868217059</v>
      </c>
      <c r="AF11" s="1">
        <f t="shared" si="8"/>
        <v>0</v>
      </c>
    </row>
    <row r="12" spans="1:34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9"/>
        <v>9.0116279069767491E-2</v>
      </c>
      <c r="E12">
        <v>363.15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130.22649916806333</v>
      </c>
      <c r="S12" s="1">
        <f>((1/(E12+0.01))*LN(L12))+(E12*(K12-L12))</f>
        <v>76.149402171341734</v>
      </c>
      <c r="T12" s="1">
        <f t="shared" ref="T12:T18" si="15">(S12+((S12^2)-4*(K12-L12*P12)*LN(L12*P12))^(0.5))/(2*(K12-L12*P12))</f>
        <v>212.36242663525596</v>
      </c>
      <c r="U12" s="1" t="str">
        <f t="shared" ref="U12:U18" si="16">IF(E12&gt;=T12*1.2,"sell to the Grid","charge")</f>
        <v>sell to the Grid</v>
      </c>
      <c r="W12" s="1">
        <f>(Q12*E12)/1000</f>
        <v>0.13023031647823274</v>
      </c>
      <c r="Y12" s="1">
        <f t="shared" si="1"/>
        <v>0.14486588372093023</v>
      </c>
      <c r="AA12" s="1">
        <f t="shared" si="6"/>
        <v>-3.6696220822645378</v>
      </c>
      <c r="AD12" s="1">
        <f t="shared" si="7"/>
        <v>0.25</v>
      </c>
      <c r="AF12" s="1">
        <f t="shared" si="8"/>
        <v>254.83491196230713</v>
      </c>
      <c r="AG12" s="1">
        <f>E12</f>
        <v>363.15</v>
      </c>
      <c r="AH12" s="1">
        <f>AG12*Q12</f>
        <v>130.23031647823274</v>
      </c>
    </row>
    <row r="13" spans="1:34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9"/>
        <v>9.0116279069767491E-2</v>
      </c>
      <c r="E13">
        <v>363.15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300.10334268983053</v>
      </c>
      <c r="S13" s="1">
        <f t="shared" ref="S13:S18" si="17">((1/(E13+0.01))*LN(L13))+(E13*(K13-L13))</f>
        <v>246.0262456931089</v>
      </c>
      <c r="T13" s="1">
        <f t="shared" si="15"/>
        <v>297.7140635958005</v>
      </c>
      <c r="U13" s="1" t="str">
        <f t="shared" si="16"/>
        <v>sell to the Grid</v>
      </c>
      <c r="W13" s="1">
        <f>(Q13*E13)/1000</f>
        <v>0.30010715999999993</v>
      </c>
      <c r="Y13" s="1">
        <f t="shared" si="1"/>
        <v>0.14486588372093023</v>
      </c>
      <c r="AA13" s="1">
        <f t="shared" si="6"/>
        <v>-2.9921368109467084</v>
      </c>
      <c r="AD13" s="1">
        <f t="shared" si="7"/>
        <v>0.25</v>
      </c>
      <c r="AF13" s="1">
        <f t="shared" si="8"/>
        <v>357.25687631496061</v>
      </c>
      <c r="AG13" s="1">
        <f>AF12</f>
        <v>254.83491196230713</v>
      </c>
      <c r="AH13" s="1">
        <f t="shared" ref="AH13:AH76" si="18">AG13*Q13</f>
        <v>210.59557124565058</v>
      </c>
    </row>
    <row r="14" spans="1:34" ht="15">
      <c r="A14" s="1">
        <v>13</v>
      </c>
      <c r="B14" s="1">
        <f t="shared" si="2"/>
        <v>1.1215999999999999</v>
      </c>
      <c r="C14" s="1">
        <f t="shared" si="3"/>
        <v>0</v>
      </c>
      <c r="D14" s="1">
        <f t="shared" si="9"/>
        <v>0.98739627906976746</v>
      </c>
      <c r="E14">
        <v>363.15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407.30522268983054</v>
      </c>
      <c r="S14" s="1">
        <f t="shared" si="17"/>
        <v>353.22812569310895</v>
      </c>
      <c r="T14" s="1">
        <f t="shared" si="15"/>
        <v>314.93627631781965</v>
      </c>
      <c r="U14" s="1" t="str">
        <f t="shared" si="16"/>
        <v>charge</v>
      </c>
      <c r="Y14" s="1">
        <f t="shared" si="1"/>
        <v>0.14486588372093023</v>
      </c>
      <c r="AA14" s="1">
        <f t="shared" si="6"/>
        <v>-2.019451539628879</v>
      </c>
      <c r="AD14" s="1">
        <f t="shared" si="7"/>
        <v>0.25</v>
      </c>
      <c r="AF14" s="1">
        <f t="shared" si="8"/>
        <v>377.92353158138354</v>
      </c>
      <c r="AG14" s="1">
        <f t="shared" ref="AG14:AG18" si="19">AF13</f>
        <v>357.25687631496061</v>
      </c>
      <c r="AH14" s="1">
        <f t="shared" si="18"/>
        <v>400.69931247485977</v>
      </c>
    </row>
    <row r="15" spans="1:34" ht="15">
      <c r="A15" s="1">
        <v>14</v>
      </c>
      <c r="B15" s="1">
        <f>IF(U15="charge",Q15,0)</f>
        <v>1.1792</v>
      </c>
      <c r="C15" s="1">
        <f t="shared" si="3"/>
        <v>0</v>
      </c>
      <c r="D15" s="1">
        <f t="shared" si="9"/>
        <v>1.9307562790697674</v>
      </c>
      <c r="E15">
        <v>363.15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428.2226626898306</v>
      </c>
      <c r="S15" s="1">
        <f t="shared" si="17"/>
        <v>374.14556569310901</v>
      </c>
      <c r="T15" s="1">
        <f t="shared" si="15"/>
        <v>317.29132873652469</v>
      </c>
      <c r="U15" s="1" t="str">
        <f t="shared" si="16"/>
        <v>charge</v>
      </c>
      <c r="Y15" s="1">
        <f t="shared" si="1"/>
        <v>0.14486588372093023</v>
      </c>
      <c r="AA15" s="1">
        <f t="shared" si="6"/>
        <v>-0.98916626831104959</v>
      </c>
      <c r="AD15" s="1">
        <f t="shared" si="7"/>
        <v>0.25</v>
      </c>
      <c r="AF15" s="1">
        <f t="shared" si="8"/>
        <v>380.74959448382964</v>
      </c>
      <c r="AG15" s="1">
        <f t="shared" si="19"/>
        <v>377.92353158138354</v>
      </c>
      <c r="AH15" s="1">
        <f t="shared" si="18"/>
        <v>445.6474284407675</v>
      </c>
    </row>
    <row r="16" spans="1:34" ht="15">
      <c r="A16" s="1">
        <v>15</v>
      </c>
      <c r="B16" s="1">
        <f t="shared" ref="B16:B79" si="20">IF(U16="charge",Q16,0)</f>
        <v>1.1035999999999999</v>
      </c>
      <c r="C16" s="1">
        <f t="shared" si="3"/>
        <v>0</v>
      </c>
      <c r="D16" s="1">
        <f t="shared" si="9"/>
        <v>2.8136362790697675</v>
      </c>
      <c r="E16">
        <v>363.15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400.76852268983055</v>
      </c>
      <c r="S16" s="1">
        <f t="shared" si="17"/>
        <v>346.69142569310895</v>
      </c>
      <c r="T16" s="1">
        <f t="shared" si="15"/>
        <v>314.14990806138951</v>
      </c>
      <c r="U16" s="1" t="str">
        <f t="shared" si="16"/>
        <v>charge</v>
      </c>
      <c r="Y16" s="1">
        <f t="shared" si="1"/>
        <v>0.14486588372093023</v>
      </c>
      <c r="AA16" s="1">
        <f t="shared" si="6"/>
        <v>-3.448099699322027E-2</v>
      </c>
      <c r="AD16" s="1">
        <f t="shared" si="7"/>
        <v>0.25</v>
      </c>
      <c r="AF16" s="1">
        <f t="shared" si="8"/>
        <v>376.9798896736674</v>
      </c>
      <c r="AG16" s="1">
        <f t="shared" si="19"/>
        <v>380.74959448382964</v>
      </c>
      <c r="AH16" s="1">
        <f t="shared" si="18"/>
        <v>420.19525247235435</v>
      </c>
    </row>
    <row r="17" spans="1:34" ht="15">
      <c r="A17" s="1">
        <v>16</v>
      </c>
      <c r="B17" s="1">
        <f t="shared" si="20"/>
        <v>0</v>
      </c>
      <c r="C17" s="1">
        <f t="shared" si="3"/>
        <v>0</v>
      </c>
      <c r="D17" s="1">
        <f t="shared" si="9"/>
        <v>2.8136362790697675</v>
      </c>
      <c r="E17">
        <v>363.15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310.56206268983061</v>
      </c>
      <c r="S17" s="1">
        <f t="shared" si="17"/>
        <v>256.48496569310896</v>
      </c>
      <c r="T17" s="1">
        <f t="shared" si="15"/>
        <v>299.91766597623257</v>
      </c>
      <c r="U17" s="1" t="str">
        <f t="shared" si="16"/>
        <v>sell to the Grid</v>
      </c>
      <c r="W17" s="1">
        <f>(Q17*E17)/1000</f>
        <v>0.31056588000000002</v>
      </c>
      <c r="Y17" s="1">
        <f t="shared" si="1"/>
        <v>0.14486588372093023</v>
      </c>
      <c r="AA17" s="1">
        <f t="shared" si="6"/>
        <v>0.6718042743246091</v>
      </c>
      <c r="AD17" s="1">
        <f t="shared" si="7"/>
        <v>0.25</v>
      </c>
      <c r="AF17" s="1">
        <f t="shared" si="8"/>
        <v>359.90119917147905</v>
      </c>
      <c r="AG17" s="1">
        <f t="shared" si="19"/>
        <v>376.9798896736674</v>
      </c>
      <c r="AH17" s="1">
        <f t="shared" si="18"/>
        <v>322.39320164892035</v>
      </c>
    </row>
    <row r="18" spans="1:34" ht="15">
      <c r="A18" s="1">
        <v>17</v>
      </c>
      <c r="B18" s="1">
        <f t="shared" si="20"/>
        <v>0</v>
      </c>
      <c r="C18" s="1">
        <f t="shared" si="3"/>
        <v>0</v>
      </c>
      <c r="D18" s="1">
        <f t="shared" si="9"/>
        <v>2.8136362790697675</v>
      </c>
      <c r="E18">
        <v>363.15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185.05742268983056</v>
      </c>
      <c r="S18" s="1">
        <f t="shared" si="17"/>
        <v>130.98032569310897</v>
      </c>
      <c r="T18" s="1">
        <f t="shared" si="15"/>
        <v>257.03634040807572</v>
      </c>
      <c r="U18" s="1" t="str">
        <f t="shared" si="16"/>
        <v>sell to the Grid</v>
      </c>
      <c r="W18" s="1">
        <f>(Q18*E18)/1000</f>
        <v>0.18506123999999996</v>
      </c>
      <c r="Y18" s="1">
        <f t="shared" si="1"/>
        <v>0.14486588372093023</v>
      </c>
      <c r="AA18" s="1">
        <f t="shared" si="6"/>
        <v>1.0324895456424383</v>
      </c>
      <c r="AD18" s="1">
        <f t="shared" si="7"/>
        <v>0.25</v>
      </c>
      <c r="AF18" s="1">
        <f t="shared" si="8"/>
        <v>308.44360848969086</v>
      </c>
      <c r="AG18" s="1">
        <f t="shared" si="19"/>
        <v>359.90119917147905</v>
      </c>
      <c r="AH18" s="1">
        <f t="shared" si="18"/>
        <v>183.40565109778569</v>
      </c>
    </row>
    <row r="19" spans="1:34" ht="15">
      <c r="A19" s="1">
        <v>18</v>
      </c>
      <c r="B19" s="1">
        <f t="shared" si="20"/>
        <v>0</v>
      </c>
      <c r="C19" s="1">
        <f t="shared" si="3"/>
        <v>0</v>
      </c>
      <c r="D19" s="1">
        <f t="shared" si="9"/>
        <v>2.8136362790697675</v>
      </c>
      <c r="E19">
        <v>363.15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1">IF(D19+M19&gt;0,"discharge","buy from the Grid")</f>
        <v>discharge</v>
      </c>
      <c r="Y19" s="1">
        <f t="shared" si="1"/>
        <v>0.24300083720930232</v>
      </c>
      <c r="AA19" s="1">
        <f t="shared" si="6"/>
        <v>0.67294225882073277</v>
      </c>
      <c r="AD19" s="1">
        <f t="shared" si="7"/>
        <v>0</v>
      </c>
      <c r="AF19" s="1">
        <f t="shared" si="8"/>
        <v>0</v>
      </c>
      <c r="AH19" s="1">
        <f t="shared" si="18"/>
        <v>0</v>
      </c>
    </row>
    <row r="20" spans="1:34" ht="15">
      <c r="A20" s="1">
        <v>19</v>
      </c>
      <c r="B20" s="1">
        <f t="shared" si="20"/>
        <v>0</v>
      </c>
      <c r="C20" s="1">
        <f t="shared" si="3"/>
        <v>-0.62747906976744194</v>
      </c>
      <c r="D20" s="1">
        <f t="shared" si="9"/>
        <v>2.0292874418604652</v>
      </c>
      <c r="E20">
        <v>363.15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1"/>
        <v>discharge</v>
      </c>
      <c r="Y20" s="1">
        <f t="shared" si="1"/>
        <v>0.23832774418604655</v>
      </c>
      <c r="AA20" s="1">
        <f t="shared" si="6"/>
        <v>4.5463189053290831E-2</v>
      </c>
      <c r="AD20" s="1">
        <f t="shared" si="7"/>
        <v>0</v>
      </c>
      <c r="AF20" s="1">
        <f t="shared" si="8"/>
        <v>0</v>
      </c>
      <c r="AH20" s="1">
        <f t="shared" si="18"/>
        <v>0</v>
      </c>
    </row>
    <row r="21" spans="1:34" ht="15">
      <c r="A21" s="1">
        <v>20</v>
      </c>
      <c r="B21" s="1">
        <f t="shared" si="20"/>
        <v>0</v>
      </c>
      <c r="C21" s="1">
        <f t="shared" si="3"/>
        <v>-0.66914728682170543</v>
      </c>
      <c r="D21" s="1">
        <f t="shared" si="9"/>
        <v>1.1928533333333333</v>
      </c>
      <c r="E21">
        <v>363.15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1"/>
        <v>discharge</v>
      </c>
      <c r="Y21" s="1">
        <f t="shared" si="1"/>
        <v>0.24300083720930232</v>
      </c>
      <c r="AA21" s="1">
        <f t="shared" si="6"/>
        <v>-0.6236840977684146</v>
      </c>
      <c r="AD21" s="1">
        <f t="shared" si="7"/>
        <v>0</v>
      </c>
      <c r="AF21" s="1">
        <f t="shared" si="8"/>
        <v>0</v>
      </c>
      <c r="AH21" s="1">
        <f t="shared" si="18"/>
        <v>0</v>
      </c>
    </row>
    <row r="22" spans="1:34" ht="15">
      <c r="A22" s="1">
        <v>21</v>
      </c>
      <c r="B22" s="1">
        <f t="shared" si="20"/>
        <v>0</v>
      </c>
      <c r="C22" s="1">
        <f t="shared" si="3"/>
        <v>-0.66914728682170543</v>
      </c>
      <c r="D22" s="1">
        <f t="shared" si="9"/>
        <v>0.35641922480620158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1"/>
        <v>buy from the Grid</v>
      </c>
      <c r="X22" s="1">
        <f>(M22*E22)/1000</f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>L22</f>
        <v>0.66914728682170543</v>
      </c>
      <c r="AD22" s="1">
        <f t="shared" si="7"/>
        <v>0.66914728682170543</v>
      </c>
      <c r="AF22" s="1">
        <f t="shared" si="8"/>
        <v>0</v>
      </c>
      <c r="AH22" s="1">
        <f t="shared" si="18"/>
        <v>0</v>
      </c>
    </row>
    <row r="23" spans="1:34" ht="15">
      <c r="A23" s="1">
        <v>22</v>
      </c>
      <c r="B23" s="1">
        <f t="shared" si="20"/>
        <v>0</v>
      </c>
      <c r="C23" s="1">
        <f t="shared" si="3"/>
        <v>0</v>
      </c>
      <c r="D23" s="1">
        <f t="shared" si="9"/>
        <v>0.35641922480620158</v>
      </c>
      <c r="E23">
        <v>363.15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1"/>
        <v>buy from the Grid</v>
      </c>
      <c r="X23" s="1">
        <f>(M23*E23)/1000</f>
        <v>-0.14486588372093023</v>
      </c>
      <c r="Y23" s="1">
        <f t="shared" si="1"/>
        <v>0.14486588372093023</v>
      </c>
      <c r="AA23" s="1">
        <f t="shared" si="6"/>
        <v>-1.6917461132722906</v>
      </c>
      <c r="AC23" s="1">
        <f>L23</f>
        <v>0.39891472868217059</v>
      </c>
      <c r="AD23" s="1">
        <f t="shared" si="7"/>
        <v>0.39891472868217059</v>
      </c>
      <c r="AF23" s="1">
        <f t="shared" si="8"/>
        <v>0</v>
      </c>
      <c r="AH23" s="1">
        <f t="shared" si="18"/>
        <v>0</v>
      </c>
    </row>
    <row r="24" spans="1:34" ht="15">
      <c r="A24" s="1">
        <v>23</v>
      </c>
      <c r="B24" s="1">
        <f t="shared" si="20"/>
        <v>0</v>
      </c>
      <c r="C24" s="1">
        <f t="shared" si="3"/>
        <v>0</v>
      </c>
      <c r="D24" s="1">
        <f t="shared" si="9"/>
        <v>0.35641922480620158</v>
      </c>
      <c r="E24">
        <v>363.15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1"/>
        <v>buy from the Grid</v>
      </c>
      <c r="X24" s="1">
        <f>(M24*E24)/1000</f>
        <v>-0.14486588372093023</v>
      </c>
      <c r="Y24" s="1">
        <f t="shared" si="1"/>
        <v>0.14486588372093023</v>
      </c>
      <c r="AA24" s="1">
        <f t="shared" si="6"/>
        <v>-2.0906608419544614</v>
      </c>
      <c r="AC24" s="1">
        <f>L24</f>
        <v>0.39891472868217059</v>
      </c>
      <c r="AD24" s="1">
        <f t="shared" si="7"/>
        <v>0.39891472868217059</v>
      </c>
      <c r="AF24" s="1">
        <f t="shared" si="8"/>
        <v>0</v>
      </c>
      <c r="AH24" s="1">
        <f t="shared" si="18"/>
        <v>0</v>
      </c>
    </row>
    <row r="25" spans="1:34" ht="15">
      <c r="A25" s="1">
        <v>24</v>
      </c>
      <c r="B25" s="1">
        <f t="shared" si="20"/>
        <v>0</v>
      </c>
      <c r="C25" s="1">
        <f t="shared" si="3"/>
        <v>0</v>
      </c>
      <c r="D25" s="1">
        <f t="shared" si="9"/>
        <v>0.35641922480620158</v>
      </c>
      <c r="E25">
        <v>363.15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1"/>
        <v>buy from the Grid</v>
      </c>
      <c r="X25" s="1">
        <f>(M25*E25)/1000</f>
        <v>-0.14486588372093023</v>
      </c>
      <c r="Y25" s="1">
        <f t="shared" si="1"/>
        <v>0.14486588372093023</v>
      </c>
      <c r="AA25" s="1">
        <f t="shared" si="6"/>
        <v>-2.489575570636632</v>
      </c>
      <c r="AC25" s="1">
        <f>L25</f>
        <v>0.39891472868217059</v>
      </c>
      <c r="AD25" s="1">
        <f t="shared" si="7"/>
        <v>0.39891472868217059</v>
      </c>
      <c r="AF25" s="1">
        <f t="shared" si="8"/>
        <v>0</v>
      </c>
      <c r="AH25" s="1">
        <f t="shared" si="18"/>
        <v>0</v>
      </c>
    </row>
    <row r="26" spans="1:34" ht="15">
      <c r="A26" s="1">
        <v>25</v>
      </c>
      <c r="B26" s="1">
        <f t="shared" si="20"/>
        <v>0</v>
      </c>
      <c r="C26" s="1">
        <f t="shared" si="3"/>
        <v>0</v>
      </c>
      <c r="D26" s="1">
        <f t="shared" si="9"/>
        <v>0.35641922480620158</v>
      </c>
      <c r="E26">
        <v>363.15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1"/>
        <v>discharge</v>
      </c>
      <c r="Y26" s="1">
        <f t="shared" si="1"/>
        <v>0.10748113953488372</v>
      </c>
      <c r="AA26" s="1">
        <f t="shared" si="6"/>
        <v>-2.7855445628846942</v>
      </c>
      <c r="AD26" s="1">
        <f t="shared" si="7"/>
        <v>0</v>
      </c>
      <c r="AF26" s="1">
        <f t="shared" si="8"/>
        <v>0</v>
      </c>
      <c r="AH26" s="1">
        <f t="shared" si="18"/>
        <v>0</v>
      </c>
    </row>
    <row r="27" spans="1:34" ht="15">
      <c r="A27" s="1">
        <v>26</v>
      </c>
      <c r="B27" s="1">
        <f t="shared" si="20"/>
        <v>0</v>
      </c>
      <c r="C27" s="1">
        <f t="shared" si="3"/>
        <v>-0.29596899224806206</v>
      </c>
      <c r="D27" s="1">
        <f t="shared" si="9"/>
        <v>-1.3542015503875959E-2</v>
      </c>
      <c r="E27">
        <v>363.15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1"/>
        <v>buy from the Grid</v>
      </c>
      <c r="X27" s="1">
        <f t="shared" ref="X27:X35" si="22">(M27*E27)/1000</f>
        <v>-0.10748113953488372</v>
      </c>
      <c r="Y27" s="1">
        <f t="shared" si="1"/>
        <v>0.10748113953488372</v>
      </c>
      <c r="AA27" s="1">
        <f t="shared" si="6"/>
        <v>-3.0815135551327564</v>
      </c>
      <c r="AC27" s="1">
        <f t="shared" ref="AC27:AC35" si="23">L27</f>
        <v>0.29596899224806206</v>
      </c>
      <c r="AD27" s="1">
        <f t="shared" si="7"/>
        <v>0.29596899224806206</v>
      </c>
      <c r="AF27" s="1">
        <f t="shared" si="8"/>
        <v>0</v>
      </c>
      <c r="AH27" s="1">
        <f t="shared" si="18"/>
        <v>0</v>
      </c>
    </row>
    <row r="28" spans="1:34" ht="15">
      <c r="A28" s="1">
        <v>27</v>
      </c>
      <c r="B28" s="1">
        <f t="shared" si="20"/>
        <v>0</v>
      </c>
      <c r="C28" s="1">
        <f t="shared" si="3"/>
        <v>0</v>
      </c>
      <c r="D28" s="1">
        <f t="shared" si="9"/>
        <v>-1.3542015503875959E-2</v>
      </c>
      <c r="E28">
        <v>363.15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1"/>
        <v>buy from the Grid</v>
      </c>
      <c r="X28" s="1">
        <f t="shared" si="22"/>
        <v>-0.10748113953488372</v>
      </c>
      <c r="Y28" s="1">
        <f t="shared" si="1"/>
        <v>0.10748113953488372</v>
      </c>
      <c r="AA28" s="1">
        <f t="shared" si="6"/>
        <v>-3.3774825473808185</v>
      </c>
      <c r="AC28" s="1">
        <f t="shared" si="23"/>
        <v>0.29596899224806206</v>
      </c>
      <c r="AD28" s="1">
        <f t="shared" si="7"/>
        <v>0.29596899224806206</v>
      </c>
      <c r="AF28" s="1">
        <f t="shared" si="8"/>
        <v>0</v>
      </c>
      <c r="AH28" s="1">
        <f t="shared" si="18"/>
        <v>0</v>
      </c>
    </row>
    <row r="29" spans="1:34" ht="15">
      <c r="A29" s="1">
        <v>28</v>
      </c>
      <c r="B29" s="1">
        <f t="shared" si="20"/>
        <v>0</v>
      </c>
      <c r="C29" s="1">
        <f t="shared" si="3"/>
        <v>0</v>
      </c>
      <c r="D29" s="1">
        <f t="shared" si="9"/>
        <v>-1.3542015503875959E-2</v>
      </c>
      <c r="E29">
        <v>363.15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1"/>
        <v>buy from the Grid</v>
      </c>
      <c r="X29" s="1">
        <f t="shared" si="22"/>
        <v>-0.10748113953488372</v>
      </c>
      <c r="Y29" s="1">
        <f t="shared" si="1"/>
        <v>0.10748113953488372</v>
      </c>
      <c r="AA29" s="1">
        <f t="shared" si="6"/>
        <v>-3.6734515396288807</v>
      </c>
      <c r="AC29" s="1">
        <f t="shared" si="23"/>
        <v>0.29596899224806206</v>
      </c>
      <c r="AD29" s="1">
        <f t="shared" si="7"/>
        <v>0.29596899224806206</v>
      </c>
      <c r="AF29" s="1">
        <f t="shared" si="8"/>
        <v>0</v>
      </c>
      <c r="AH29" s="1">
        <f t="shared" si="18"/>
        <v>0</v>
      </c>
    </row>
    <row r="30" spans="1:34" ht="15">
      <c r="A30" s="1">
        <v>29</v>
      </c>
      <c r="B30" s="1">
        <f t="shared" si="20"/>
        <v>0</v>
      </c>
      <c r="C30" s="1">
        <f t="shared" si="3"/>
        <v>0</v>
      </c>
      <c r="D30" s="1">
        <f t="shared" si="9"/>
        <v>-1.3542015503875959E-2</v>
      </c>
      <c r="E30">
        <v>363.15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1"/>
        <v>buy from the Grid</v>
      </c>
      <c r="X30" s="1">
        <f t="shared" si="22"/>
        <v>-0.10748113953488372</v>
      </c>
      <c r="Y30" s="1">
        <f t="shared" si="1"/>
        <v>0.10748113953488372</v>
      </c>
      <c r="AA30" s="1">
        <f t="shared" si="6"/>
        <v>-3.9694205318769429</v>
      </c>
      <c r="AC30" s="1">
        <f t="shared" si="23"/>
        <v>0.29596899224806206</v>
      </c>
      <c r="AD30" s="1">
        <f t="shared" si="7"/>
        <v>0.29596899224806206</v>
      </c>
      <c r="AF30" s="1">
        <f t="shared" si="8"/>
        <v>0</v>
      </c>
      <c r="AH30" s="1">
        <f t="shared" si="18"/>
        <v>0</v>
      </c>
    </row>
    <row r="31" spans="1:34" ht="15">
      <c r="A31" s="1">
        <v>30</v>
      </c>
      <c r="B31" s="1">
        <f t="shared" si="20"/>
        <v>0</v>
      </c>
      <c r="C31" s="1">
        <f t="shared" si="3"/>
        <v>0</v>
      </c>
      <c r="D31" s="1">
        <f t="shared" si="9"/>
        <v>-1.3542015503875959E-2</v>
      </c>
      <c r="E31">
        <v>363.15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1"/>
        <v>buy from the Grid</v>
      </c>
      <c r="X31" s="1">
        <f t="shared" si="22"/>
        <v>-0.14486588372093023</v>
      </c>
      <c r="Y31" s="1">
        <f t="shared" si="1"/>
        <v>0.14486588372093023</v>
      </c>
      <c r="AA31" s="1">
        <f t="shared" si="6"/>
        <v>-4.3683352605591139</v>
      </c>
      <c r="AC31" s="1">
        <f t="shared" si="23"/>
        <v>0.39891472868217059</v>
      </c>
      <c r="AD31" s="1">
        <f t="shared" si="7"/>
        <v>0.39891472868217059</v>
      </c>
      <c r="AF31" s="1">
        <f t="shared" si="8"/>
        <v>0</v>
      </c>
      <c r="AH31" s="1">
        <f t="shared" si="18"/>
        <v>0</v>
      </c>
    </row>
    <row r="32" spans="1:34" ht="15">
      <c r="A32" s="1">
        <v>31</v>
      </c>
      <c r="B32" s="1">
        <f t="shared" si="20"/>
        <v>0</v>
      </c>
      <c r="C32" s="1">
        <f t="shared" si="3"/>
        <v>0</v>
      </c>
      <c r="D32" s="1">
        <f t="shared" si="9"/>
        <v>-1.3542015503875959E-2</v>
      </c>
      <c r="E32">
        <v>363.15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1"/>
        <v>buy from the Grid</v>
      </c>
      <c r="X32" s="1">
        <f t="shared" si="22"/>
        <v>-0.22992743720930231</v>
      </c>
      <c r="Y32" s="1">
        <f t="shared" si="1"/>
        <v>0.24300083720930232</v>
      </c>
      <c r="AA32" s="1">
        <f t="shared" si="6"/>
        <v>-5.0014825473808191</v>
      </c>
      <c r="AC32" s="1">
        <f t="shared" si="23"/>
        <v>0.66914728682170543</v>
      </c>
      <c r="AD32" s="1">
        <f t="shared" si="7"/>
        <v>0.66914728682170543</v>
      </c>
      <c r="AF32" s="1">
        <f t="shared" si="8"/>
        <v>0</v>
      </c>
      <c r="AH32" s="1">
        <f t="shared" si="18"/>
        <v>0</v>
      </c>
    </row>
    <row r="33" spans="1:34" ht="15">
      <c r="A33" s="1">
        <v>32</v>
      </c>
      <c r="B33" s="1">
        <f t="shared" si="20"/>
        <v>0</v>
      </c>
      <c r="C33" s="1">
        <f t="shared" si="3"/>
        <v>0</v>
      </c>
      <c r="D33" s="1">
        <f t="shared" si="9"/>
        <v>-1.3542015503875959E-2</v>
      </c>
      <c r="E33">
        <v>363.15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1"/>
        <v>buy from the Grid</v>
      </c>
      <c r="X33" s="1">
        <f t="shared" si="22"/>
        <v>-0.21218094418604655</v>
      </c>
      <c r="Y33" s="1">
        <f t="shared" si="1"/>
        <v>0.23832774418604655</v>
      </c>
      <c r="AA33" s="1">
        <f t="shared" si="6"/>
        <v>-5.5857616171482611</v>
      </c>
      <c r="AC33" s="1">
        <f t="shared" si="23"/>
        <v>0.65627906976744199</v>
      </c>
      <c r="AD33" s="1">
        <f t="shared" si="7"/>
        <v>0.65627906976744199</v>
      </c>
      <c r="AF33" s="1">
        <f t="shared" si="8"/>
        <v>0</v>
      </c>
      <c r="AH33" s="1">
        <f t="shared" si="18"/>
        <v>0</v>
      </c>
    </row>
    <row r="34" spans="1:34" ht="15">
      <c r="A34" s="1">
        <v>33</v>
      </c>
      <c r="B34" s="1">
        <f t="shared" si="20"/>
        <v>0</v>
      </c>
      <c r="C34" s="1">
        <f t="shared" si="3"/>
        <v>0</v>
      </c>
      <c r="D34" s="1">
        <f t="shared" si="9"/>
        <v>-1.3542015503875959E-2</v>
      </c>
      <c r="E34">
        <v>363.15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1"/>
        <v>buy from the Grid</v>
      </c>
      <c r="X34" s="1">
        <f t="shared" si="22"/>
        <v>-0.19910754418604654</v>
      </c>
      <c r="Y34" s="1">
        <f t="shared" si="1"/>
        <v>0.23832774418604655</v>
      </c>
      <c r="AA34" s="1">
        <f t="shared" si="6"/>
        <v>-6.1340406869157036</v>
      </c>
      <c r="AC34" s="1">
        <f t="shared" si="23"/>
        <v>0.65627906976744199</v>
      </c>
      <c r="AD34" s="1">
        <f t="shared" si="7"/>
        <v>0.65627906976744199</v>
      </c>
      <c r="AF34" s="1">
        <f t="shared" si="8"/>
        <v>0</v>
      </c>
      <c r="AH34" s="1">
        <f t="shared" si="18"/>
        <v>0</v>
      </c>
    </row>
    <row r="35" spans="1:34" ht="15">
      <c r="A35" s="1">
        <v>34</v>
      </c>
      <c r="B35" s="1">
        <f t="shared" si="20"/>
        <v>0</v>
      </c>
      <c r="C35" s="1">
        <f t="shared" si="3"/>
        <v>0</v>
      </c>
      <c r="D35" s="1">
        <f t="shared" si="9"/>
        <v>-1.3542015503875959E-2</v>
      </c>
      <c r="E35">
        <v>363.15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1"/>
        <v>buy from the Grid</v>
      </c>
      <c r="X35" s="1">
        <f t="shared" si="22"/>
        <v>-8.0161301908413488E-2</v>
      </c>
      <c r="Y35" s="1">
        <f t="shared" si="1"/>
        <v>0.14486588372093023</v>
      </c>
      <c r="AA35" s="1">
        <f t="shared" si="6"/>
        <v>-6.3547795053334744</v>
      </c>
      <c r="AC35" s="1">
        <f t="shared" si="23"/>
        <v>0.39891472868217059</v>
      </c>
      <c r="AD35" s="1">
        <f t="shared" si="7"/>
        <v>0.39891472868217059</v>
      </c>
      <c r="AF35" s="1">
        <f t="shared" si="8"/>
        <v>0</v>
      </c>
      <c r="AG35" s="1">
        <f>E35</f>
        <v>363.15</v>
      </c>
      <c r="AH35" s="1">
        <f t="shared" si="18"/>
        <v>0</v>
      </c>
    </row>
    <row r="36" spans="1:34" ht="15">
      <c r="A36" s="1">
        <v>35</v>
      </c>
      <c r="B36" s="1">
        <f t="shared" si="20"/>
        <v>0</v>
      </c>
      <c r="C36" s="1">
        <f t="shared" si="3"/>
        <v>0</v>
      </c>
      <c r="D36" s="1">
        <f t="shared" si="9"/>
        <v>-1.3542015503875959E-2</v>
      </c>
      <c r="E36">
        <v>363.15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4">0.25/L36</f>
        <v>0.62670034978624167</v>
      </c>
      <c r="Q36" s="1">
        <f t="shared" ref="Q36:Q42" si="25">K36-P36*L36</f>
        <v>0.35861301522300082</v>
      </c>
      <c r="R36" s="1">
        <f t="shared" ref="R36:R42" si="26">((1/(E36+0.01))*LN(0.25))+(E36*(K36-0.25))</f>
        <v>130.22649916806333</v>
      </c>
      <c r="S36" s="1">
        <f t="shared" ref="S36:S42" si="27">((1/(E36+0.01))*LN(L36))+(E36*(K36-L36))</f>
        <v>76.149402171341734</v>
      </c>
      <c r="T36" s="1">
        <f t="shared" ref="T36:T42" si="28">(S36+((S36^2)-4*(K36-L36*P36)*LN(L36*P36))^(0.5))/(2*(K36-L36*P36))</f>
        <v>212.36242663525596</v>
      </c>
      <c r="U36" s="1" t="str">
        <f t="shared" ref="U36:U42" si="29">IF(E36&gt;=T36*1.2,"sell to the Grid","charge")</f>
        <v>sell to the Grid</v>
      </c>
      <c r="W36" s="1">
        <f>(Q36*E36)/1000</f>
        <v>0.13023031647823274</v>
      </c>
      <c r="Y36" s="1">
        <f t="shared" si="1"/>
        <v>0.14486588372093023</v>
      </c>
      <c r="AA36" s="1">
        <f t="shared" si="6"/>
        <v>-6.1450812187926438</v>
      </c>
      <c r="AD36" s="1">
        <f t="shared" si="7"/>
        <v>0.25</v>
      </c>
      <c r="AF36" s="1">
        <f t="shared" si="8"/>
        <v>254.83491196230713</v>
      </c>
      <c r="AH36" s="1">
        <f t="shared" si="18"/>
        <v>0</v>
      </c>
    </row>
    <row r="37" spans="1:34" ht="15">
      <c r="A37" s="1">
        <v>36</v>
      </c>
      <c r="B37" s="1">
        <f t="shared" si="20"/>
        <v>0</v>
      </c>
      <c r="C37" s="1">
        <f t="shared" si="3"/>
        <v>0</v>
      </c>
      <c r="D37" s="1">
        <f t="shared" si="9"/>
        <v>-1.3542015503875959E-2</v>
      </c>
      <c r="E37">
        <v>363.15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4"/>
        <v>0.62670034978624167</v>
      </c>
      <c r="Q37" s="1">
        <f t="shared" si="25"/>
        <v>0.8263999999999998</v>
      </c>
      <c r="R37" s="1">
        <f t="shared" si="26"/>
        <v>300.10334268983053</v>
      </c>
      <c r="S37" s="1">
        <f t="shared" si="27"/>
        <v>246.0262456931089</v>
      </c>
      <c r="T37" s="1">
        <f t="shared" si="28"/>
        <v>297.7140635958005</v>
      </c>
      <c r="U37" s="1" t="str">
        <f t="shared" si="29"/>
        <v>sell to the Grid</v>
      </c>
      <c r="W37" s="1">
        <f>(Q37*E37)/1000</f>
        <v>0.30010715999999993</v>
      </c>
      <c r="Y37" s="1">
        <f t="shared" si="1"/>
        <v>0.14486588372093023</v>
      </c>
      <c r="AA37" s="1">
        <f t="shared" si="6"/>
        <v>-5.4675959474748144</v>
      </c>
      <c r="AD37" s="1">
        <f t="shared" si="7"/>
        <v>0.25</v>
      </c>
      <c r="AF37" s="1">
        <f t="shared" si="8"/>
        <v>357.25687631496061</v>
      </c>
      <c r="AH37" s="1">
        <f t="shared" si="18"/>
        <v>0</v>
      </c>
    </row>
    <row r="38" spans="1:34" ht="15">
      <c r="A38" s="1">
        <v>37</v>
      </c>
      <c r="B38" s="1">
        <f t="shared" si="20"/>
        <v>1.3916000000000002</v>
      </c>
      <c r="C38" s="1">
        <f t="shared" si="3"/>
        <v>0</v>
      </c>
      <c r="D38" s="1">
        <f t="shared" si="9"/>
        <v>1.0997379844961244</v>
      </c>
      <c r="E38">
        <v>363.15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4"/>
        <v>0.62670034978624167</v>
      </c>
      <c r="Q38" s="1">
        <f t="shared" si="25"/>
        <v>1.3916000000000002</v>
      </c>
      <c r="R38" s="1">
        <f t="shared" si="26"/>
        <v>505.35572268983066</v>
      </c>
      <c r="S38" s="1">
        <f t="shared" si="27"/>
        <v>451.27862569310901</v>
      </c>
      <c r="T38" s="1">
        <f t="shared" si="28"/>
        <v>324.29067299818445</v>
      </c>
      <c r="U38" s="1" t="str">
        <f t="shared" si="29"/>
        <v>charge</v>
      </c>
      <c r="Y38" s="1">
        <f t="shared" si="1"/>
        <v>0.14486588372093023</v>
      </c>
      <c r="AA38" s="1">
        <f t="shared" si="6"/>
        <v>-4.224910676156985</v>
      </c>
      <c r="AD38" s="1">
        <f t="shared" si="7"/>
        <v>0.25</v>
      </c>
      <c r="AF38" s="1">
        <f t="shared" si="8"/>
        <v>389.1488075978213</v>
      </c>
      <c r="AH38" s="1">
        <f t="shared" si="18"/>
        <v>0</v>
      </c>
    </row>
    <row r="39" spans="1:34" ht="15">
      <c r="A39" s="1">
        <v>38</v>
      </c>
      <c r="B39" s="1">
        <f t="shared" si="20"/>
        <v>1.5247999999999999</v>
      </c>
      <c r="C39" s="1">
        <f t="shared" si="3"/>
        <v>0</v>
      </c>
      <c r="D39" s="1">
        <f t="shared" si="9"/>
        <v>2.3195779844961244</v>
      </c>
      <c r="E39">
        <v>363.15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4"/>
        <v>0.62670034978624167</v>
      </c>
      <c r="Q39" s="1">
        <f t="shared" si="25"/>
        <v>1.5247999999999999</v>
      </c>
      <c r="R39" s="1">
        <f t="shared" si="26"/>
        <v>553.72730268983048</v>
      </c>
      <c r="S39" s="1">
        <f t="shared" si="27"/>
        <v>499.65020569310894</v>
      </c>
      <c r="T39" s="1">
        <f t="shared" si="28"/>
        <v>327.68522839733333</v>
      </c>
      <c r="U39" s="1" t="str">
        <f t="shared" si="29"/>
        <v>charge</v>
      </c>
      <c r="Y39" s="1">
        <f t="shared" si="1"/>
        <v>0.14486588372093023</v>
      </c>
      <c r="AA39" s="1">
        <f t="shared" si="6"/>
        <v>-2.8490254048391557</v>
      </c>
      <c r="AD39" s="1">
        <f t="shared" si="7"/>
        <v>0.25</v>
      </c>
      <c r="AF39" s="1">
        <f t="shared" si="8"/>
        <v>393.22227407679998</v>
      </c>
      <c r="AH39" s="1">
        <f t="shared" si="18"/>
        <v>0</v>
      </c>
    </row>
    <row r="40" spans="1:34" ht="15">
      <c r="A40" s="1">
        <v>39</v>
      </c>
      <c r="B40" s="1">
        <f t="shared" si="20"/>
        <v>1.4096</v>
      </c>
      <c r="C40" s="1">
        <f t="shared" si="3"/>
        <v>0</v>
      </c>
      <c r="D40" s="1">
        <f t="shared" si="9"/>
        <v>3.4472579844961242</v>
      </c>
      <c r="E40">
        <v>363.15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4"/>
        <v>0.62670034978624167</v>
      </c>
      <c r="Q40" s="1">
        <f t="shared" si="25"/>
        <v>1.4096</v>
      </c>
      <c r="R40" s="1">
        <f t="shared" si="26"/>
        <v>511.8924226898306</v>
      </c>
      <c r="S40" s="1">
        <f t="shared" si="27"/>
        <v>457.81532569310895</v>
      </c>
      <c r="T40" s="1">
        <f t="shared" si="28"/>
        <v>324.78688565061941</v>
      </c>
      <c r="U40" s="1" t="str">
        <f t="shared" si="29"/>
        <v>charge</v>
      </c>
      <c r="Y40" s="1">
        <f t="shared" si="1"/>
        <v>0.14486588372093023</v>
      </c>
      <c r="AA40" s="1">
        <f t="shared" si="6"/>
        <v>-1.5883401335213263</v>
      </c>
      <c r="AD40" s="1">
        <f t="shared" si="7"/>
        <v>0.25</v>
      </c>
      <c r="AF40" s="1">
        <f t="shared" si="8"/>
        <v>389.74426278074327</v>
      </c>
      <c r="AH40" s="1">
        <f t="shared" si="18"/>
        <v>0</v>
      </c>
    </row>
    <row r="41" spans="1:34" ht="15">
      <c r="A41" s="1">
        <v>40</v>
      </c>
      <c r="B41" s="1">
        <f t="shared" si="20"/>
        <v>1.1612</v>
      </c>
      <c r="C41" s="1">
        <f t="shared" si="3"/>
        <v>0</v>
      </c>
      <c r="D41" s="1">
        <f t="shared" si="9"/>
        <v>4.3762179844961242</v>
      </c>
      <c r="E41">
        <v>363.15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4"/>
        <v>0.62670034978624167</v>
      </c>
      <c r="Q41" s="1">
        <f t="shared" si="25"/>
        <v>1.1612</v>
      </c>
      <c r="R41" s="1">
        <f t="shared" si="26"/>
        <v>421.6859626898306</v>
      </c>
      <c r="S41" s="1">
        <f t="shared" si="27"/>
        <v>367.60886569310895</v>
      </c>
      <c r="T41" s="1">
        <f t="shared" si="28"/>
        <v>316.58047249112565</v>
      </c>
      <c r="U41" s="1" t="str">
        <f t="shared" si="29"/>
        <v>charge</v>
      </c>
      <c r="Y41" s="1">
        <f t="shared" si="1"/>
        <v>0.14486588372093023</v>
      </c>
      <c r="AA41" s="1">
        <f t="shared" si="6"/>
        <v>-0.57605486220349689</v>
      </c>
      <c r="AD41" s="1">
        <f t="shared" si="7"/>
        <v>0.25</v>
      </c>
      <c r="AF41" s="1">
        <f t="shared" si="8"/>
        <v>379.89656698935079</v>
      </c>
      <c r="AH41" s="1">
        <f t="shared" si="18"/>
        <v>0</v>
      </c>
    </row>
    <row r="42" spans="1:34" ht="15">
      <c r="A42" s="1">
        <v>41</v>
      </c>
      <c r="B42" s="1">
        <f t="shared" si="20"/>
        <v>0</v>
      </c>
      <c r="C42" s="1">
        <f t="shared" si="3"/>
        <v>0</v>
      </c>
      <c r="D42" s="1">
        <f t="shared" si="9"/>
        <v>4.3762179844961242</v>
      </c>
      <c r="E42">
        <v>363.15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4"/>
        <v>0.62670034978624167</v>
      </c>
      <c r="Q42" s="1">
        <f t="shared" si="25"/>
        <v>0.8335999999999999</v>
      </c>
      <c r="R42" s="1">
        <f t="shared" si="26"/>
        <v>302.71802268983055</v>
      </c>
      <c r="S42" s="1">
        <f t="shared" si="27"/>
        <v>248.64092569310893</v>
      </c>
      <c r="T42" s="1">
        <f t="shared" si="28"/>
        <v>298.27923864272316</v>
      </c>
      <c r="U42" s="1" t="str">
        <f t="shared" si="29"/>
        <v>sell to the Grid</v>
      </c>
      <c r="W42" s="1">
        <f>(Q42*E42)/1000</f>
        <v>0.30272183999999991</v>
      </c>
      <c r="Y42" s="1">
        <f t="shared" si="1"/>
        <v>0.14486588372093023</v>
      </c>
      <c r="AA42" s="1">
        <f t="shared" si="6"/>
        <v>0.10863040911433242</v>
      </c>
      <c r="AD42" s="1">
        <f t="shared" si="7"/>
        <v>0.25</v>
      </c>
      <c r="AF42" s="1">
        <f t="shared" si="8"/>
        <v>357.9350863712678</v>
      </c>
      <c r="AH42" s="1">
        <f t="shared" si="18"/>
        <v>0</v>
      </c>
    </row>
    <row r="43" spans="1:34" ht="15">
      <c r="A43" s="1">
        <v>42</v>
      </c>
      <c r="B43" s="1">
        <f t="shared" si="20"/>
        <v>0</v>
      </c>
      <c r="C43" s="1">
        <f t="shared" si="3"/>
        <v>0</v>
      </c>
      <c r="D43" s="1">
        <f t="shared" si="9"/>
        <v>4.3762179844961242</v>
      </c>
      <c r="E43">
        <v>363.15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discharge</v>
      </c>
      <c r="Y43" s="1">
        <f t="shared" si="1"/>
        <v>0.24300083720930232</v>
      </c>
      <c r="AA43" s="1">
        <f t="shared" si="6"/>
        <v>-2.0516877707372982E-2</v>
      </c>
      <c r="AD43" s="1">
        <f t="shared" si="7"/>
        <v>0</v>
      </c>
      <c r="AF43" s="1">
        <f t="shared" si="8"/>
        <v>0</v>
      </c>
      <c r="AH43" s="1">
        <f t="shared" si="18"/>
        <v>0</v>
      </c>
    </row>
    <row r="44" spans="1:34" ht="15">
      <c r="A44" s="1">
        <v>43</v>
      </c>
      <c r="B44" s="1">
        <f t="shared" si="20"/>
        <v>0</v>
      </c>
      <c r="C44" s="1">
        <f t="shared" si="3"/>
        <v>-0.5323472868217054</v>
      </c>
      <c r="D44" s="1">
        <f t="shared" si="9"/>
        <v>3.7107838759689926</v>
      </c>
      <c r="E44">
        <v>363.15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discharge</v>
      </c>
      <c r="Y44" s="1">
        <f t="shared" si="1"/>
        <v>0.24300083720930232</v>
      </c>
      <c r="AA44" s="1">
        <f t="shared" si="6"/>
        <v>-0.55286416452907838</v>
      </c>
      <c r="AD44" s="1">
        <f t="shared" si="7"/>
        <v>0</v>
      </c>
      <c r="AF44" s="1">
        <f t="shared" si="8"/>
        <v>0</v>
      </c>
      <c r="AH44" s="1">
        <f t="shared" si="18"/>
        <v>0</v>
      </c>
    </row>
    <row r="45" spans="1:34" ht="15">
      <c r="A45" s="1">
        <v>44</v>
      </c>
      <c r="B45" s="1">
        <f t="shared" si="20"/>
        <v>0</v>
      </c>
      <c r="C45" s="1">
        <f t="shared" si="3"/>
        <v>-0.65627906976744199</v>
      </c>
      <c r="D45" s="1">
        <f t="shared" si="9"/>
        <v>2.8904350387596902</v>
      </c>
      <c r="E45">
        <v>363.15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discharge</v>
      </c>
      <c r="Y45" s="1">
        <f t="shared" si="1"/>
        <v>0.23832774418604655</v>
      </c>
      <c r="AA45" s="1">
        <f t="shared" si="6"/>
        <v>-1.2091432342965205</v>
      </c>
      <c r="AD45" s="1">
        <f t="shared" si="7"/>
        <v>0</v>
      </c>
      <c r="AF45" s="1">
        <f t="shared" si="8"/>
        <v>0</v>
      </c>
      <c r="AH45" s="1">
        <f t="shared" si="18"/>
        <v>0</v>
      </c>
    </row>
    <row r="46" spans="1:34" ht="15">
      <c r="A46" s="1">
        <v>45</v>
      </c>
      <c r="B46" s="1">
        <f t="shared" si="20"/>
        <v>0</v>
      </c>
      <c r="C46" s="1">
        <f t="shared" si="3"/>
        <v>-0.66914728682170543</v>
      </c>
      <c r="D46" s="1">
        <f t="shared" si="9"/>
        <v>2.0540009302325584</v>
      </c>
      <c r="E46">
        <v>363.15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discharge</v>
      </c>
      <c r="Y46" s="1">
        <f t="shared" si="1"/>
        <v>0.24300083720930232</v>
      </c>
      <c r="AA46" s="1">
        <f t="shared" si="6"/>
        <v>-1.8782905211182259</v>
      </c>
      <c r="AD46" s="1">
        <f t="shared" si="7"/>
        <v>0</v>
      </c>
      <c r="AF46" s="1">
        <f t="shared" si="8"/>
        <v>0</v>
      </c>
      <c r="AH46" s="1">
        <f t="shared" si="18"/>
        <v>0</v>
      </c>
    </row>
    <row r="47" spans="1:34" ht="15">
      <c r="A47" s="1">
        <v>46</v>
      </c>
      <c r="B47" s="1">
        <f t="shared" si="20"/>
        <v>0</v>
      </c>
      <c r="C47" s="1">
        <f t="shared" si="3"/>
        <v>-0.39891472868217059</v>
      </c>
      <c r="D47" s="1">
        <f t="shared" si="9"/>
        <v>1.5553575193798452</v>
      </c>
      <c r="E47">
        <v>363.15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discharge</v>
      </c>
      <c r="Y47" s="1">
        <f t="shared" si="1"/>
        <v>0.14486588372093023</v>
      </c>
      <c r="AA47" s="1">
        <f t="shared" si="6"/>
        <v>-2.2772052498003967</v>
      </c>
      <c r="AD47" s="1">
        <f t="shared" si="7"/>
        <v>0</v>
      </c>
      <c r="AF47" s="1">
        <f t="shared" si="8"/>
        <v>0</v>
      </c>
      <c r="AH47" s="1">
        <f t="shared" si="18"/>
        <v>0</v>
      </c>
    </row>
    <row r="48" spans="1:34" ht="15">
      <c r="A48" s="1">
        <v>47</v>
      </c>
      <c r="B48" s="1">
        <f t="shared" si="20"/>
        <v>0</v>
      </c>
      <c r="C48" s="1">
        <f t="shared" si="3"/>
        <v>-0.39891472868217059</v>
      </c>
      <c r="D48" s="1">
        <f t="shared" si="9"/>
        <v>1.0567141085271321</v>
      </c>
      <c r="E48">
        <v>363.15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discharge</v>
      </c>
      <c r="Y48" s="1">
        <f t="shared" si="1"/>
        <v>0.14486588372093023</v>
      </c>
      <c r="AA48" s="1">
        <f t="shared" si="6"/>
        <v>-2.6761199784825673</v>
      </c>
      <c r="AD48" s="1">
        <f t="shared" si="7"/>
        <v>0</v>
      </c>
      <c r="AF48" s="1">
        <f t="shared" si="8"/>
        <v>0</v>
      </c>
      <c r="AH48" s="1">
        <f t="shared" si="18"/>
        <v>0</v>
      </c>
    </row>
    <row r="49" spans="1:34" ht="15">
      <c r="A49" s="1">
        <v>48</v>
      </c>
      <c r="B49" s="1">
        <f t="shared" si="20"/>
        <v>0</v>
      </c>
      <c r="C49" s="1">
        <f t="shared" si="3"/>
        <v>-0.39891472868217059</v>
      </c>
      <c r="D49" s="1">
        <f t="shared" si="9"/>
        <v>0.55807069767441886</v>
      </c>
      <c r="E49">
        <v>363.15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discharge</v>
      </c>
      <c r="Y49" s="1">
        <f t="shared" si="1"/>
        <v>0.14486588372093023</v>
      </c>
      <c r="AA49" s="1">
        <f t="shared" si="6"/>
        <v>-3.0750347071647379</v>
      </c>
      <c r="AD49" s="1">
        <f t="shared" si="7"/>
        <v>0</v>
      </c>
      <c r="AF49" s="1">
        <f t="shared" si="8"/>
        <v>0</v>
      </c>
      <c r="AH49" s="1">
        <f t="shared" si="18"/>
        <v>0</v>
      </c>
    </row>
    <row r="50" spans="1:34" ht="15">
      <c r="A50" s="1">
        <v>49</v>
      </c>
      <c r="B50" s="1">
        <f t="shared" si="20"/>
        <v>0</v>
      </c>
      <c r="C50" s="1">
        <f t="shared" si="3"/>
        <v>-0.29596899224806206</v>
      </c>
      <c r="D50" s="1">
        <f t="shared" si="9"/>
        <v>0.18810945736434131</v>
      </c>
      <c r="E50">
        <v>363.15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ref="X50:X58" si="31">(M50*E50)/1000</f>
        <v>-0.10748113953488372</v>
      </c>
      <c r="Y50" s="1">
        <f t="shared" si="1"/>
        <v>0.10748113953488372</v>
      </c>
      <c r="AA50" s="1">
        <f t="shared" si="6"/>
        <v>-3.3710036994128001</v>
      </c>
      <c r="AC50" s="1">
        <f t="shared" ref="AC50:AC58" si="32">L50</f>
        <v>0.29596899224806206</v>
      </c>
      <c r="AD50" s="1">
        <f t="shared" si="7"/>
        <v>0.29596899224806206</v>
      </c>
      <c r="AF50" s="1">
        <f t="shared" si="8"/>
        <v>0</v>
      </c>
      <c r="AH50" s="1">
        <f t="shared" si="18"/>
        <v>0</v>
      </c>
    </row>
    <row r="51" spans="1:34" ht="15">
      <c r="A51" s="1">
        <v>50</v>
      </c>
      <c r="B51" s="1">
        <f t="shared" si="20"/>
        <v>0</v>
      </c>
      <c r="C51" s="1">
        <f t="shared" si="3"/>
        <v>0</v>
      </c>
      <c r="D51" s="1">
        <f t="shared" si="9"/>
        <v>0.18810945736434131</v>
      </c>
      <c r="E51">
        <v>363.15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-0.10748113953488372</v>
      </c>
      <c r="Y51" s="1">
        <f t="shared" si="1"/>
        <v>0.10748113953488372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  <c r="AF51" s="1">
        <f t="shared" si="8"/>
        <v>0</v>
      </c>
      <c r="AH51" s="1">
        <f t="shared" si="18"/>
        <v>0</v>
      </c>
    </row>
    <row r="52" spans="1:34" ht="15">
      <c r="A52" s="1">
        <v>51</v>
      </c>
      <c r="B52" s="1">
        <f t="shared" si="20"/>
        <v>0</v>
      </c>
      <c r="C52" s="1">
        <f t="shared" si="3"/>
        <v>0</v>
      </c>
      <c r="D52" s="1">
        <f t="shared" si="9"/>
        <v>0.18810945736434131</v>
      </c>
      <c r="E52">
        <v>363.15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-0.10748113953488372</v>
      </c>
      <c r="Y52" s="1">
        <f t="shared" si="1"/>
        <v>0.10748113953488372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  <c r="AF52" s="1">
        <f t="shared" si="8"/>
        <v>0</v>
      </c>
      <c r="AH52" s="1">
        <f t="shared" si="18"/>
        <v>0</v>
      </c>
    </row>
    <row r="53" spans="1:34" ht="15">
      <c r="A53" s="1">
        <v>52</v>
      </c>
      <c r="B53" s="1">
        <f t="shared" si="20"/>
        <v>0</v>
      </c>
      <c r="C53" s="1">
        <f t="shared" si="3"/>
        <v>0</v>
      </c>
      <c r="D53" s="1">
        <f t="shared" si="9"/>
        <v>0.18810945736434131</v>
      </c>
      <c r="E53">
        <v>363.15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-0.10748113953488372</v>
      </c>
      <c r="Y53" s="1">
        <f t="shared" si="1"/>
        <v>0.10748113953488372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  <c r="AF53" s="1">
        <f t="shared" si="8"/>
        <v>0</v>
      </c>
      <c r="AH53" s="1">
        <f t="shared" si="18"/>
        <v>0</v>
      </c>
    </row>
    <row r="54" spans="1:34" ht="15">
      <c r="A54" s="1">
        <v>53</v>
      </c>
      <c r="B54" s="1">
        <f t="shared" si="20"/>
        <v>0</v>
      </c>
      <c r="C54" s="1">
        <f t="shared" si="3"/>
        <v>0</v>
      </c>
      <c r="D54" s="1">
        <f t="shared" si="9"/>
        <v>0.18810945736434131</v>
      </c>
      <c r="E54">
        <v>363.15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-0.10748113953488372</v>
      </c>
      <c r="Y54" s="1">
        <f t="shared" si="1"/>
        <v>0.10748113953488372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  <c r="AF54" s="1">
        <f t="shared" si="8"/>
        <v>0</v>
      </c>
      <c r="AH54" s="1">
        <f t="shared" si="18"/>
        <v>0</v>
      </c>
    </row>
    <row r="55" spans="1:34" ht="15">
      <c r="A55" s="1">
        <v>54</v>
      </c>
      <c r="B55" s="1">
        <f t="shared" si="20"/>
        <v>0</v>
      </c>
      <c r="C55" s="1">
        <f t="shared" si="3"/>
        <v>0</v>
      </c>
      <c r="D55" s="1">
        <f t="shared" si="9"/>
        <v>0.18810945736434131</v>
      </c>
      <c r="E55">
        <v>363.15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-0.14486588372093023</v>
      </c>
      <c r="Y55" s="1">
        <f t="shared" si="1"/>
        <v>0.14486588372093023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  <c r="AF55" s="1">
        <f t="shared" si="8"/>
        <v>0</v>
      </c>
      <c r="AH55" s="1">
        <f t="shared" si="18"/>
        <v>0</v>
      </c>
    </row>
    <row r="56" spans="1:34" ht="15">
      <c r="A56" s="1">
        <v>55</v>
      </c>
      <c r="B56" s="1">
        <f t="shared" si="20"/>
        <v>0</v>
      </c>
      <c r="C56" s="1">
        <f t="shared" si="3"/>
        <v>0</v>
      </c>
      <c r="D56" s="1">
        <f t="shared" si="9"/>
        <v>0.18810945736434131</v>
      </c>
      <c r="E56">
        <v>363.15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-0.24300083720930232</v>
      </c>
      <c r="Y56" s="1">
        <f t="shared" si="1"/>
        <v>0.24300083720930232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  <c r="AF56" s="1">
        <f t="shared" si="8"/>
        <v>0</v>
      </c>
      <c r="AH56" s="1">
        <f t="shared" si="18"/>
        <v>0</v>
      </c>
    </row>
    <row r="57" spans="1:34" ht="15">
      <c r="A57" s="1">
        <v>56</v>
      </c>
      <c r="B57" s="1">
        <f t="shared" si="20"/>
        <v>0</v>
      </c>
      <c r="C57" s="1">
        <f t="shared" si="3"/>
        <v>0</v>
      </c>
      <c r="D57" s="1">
        <f t="shared" si="9"/>
        <v>0.18810945736434131</v>
      </c>
      <c r="E57">
        <v>363.15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-0.23711780720930234</v>
      </c>
      <c r="Y57" s="1">
        <f t="shared" si="1"/>
        <v>0.24300083720930232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  <c r="AF57" s="1">
        <f t="shared" si="8"/>
        <v>0</v>
      </c>
      <c r="AH57" s="1">
        <f t="shared" si="18"/>
        <v>0</v>
      </c>
    </row>
    <row r="58" spans="1:34" ht="15">
      <c r="A58" s="1">
        <v>57</v>
      </c>
      <c r="B58" s="1">
        <f t="shared" si="20"/>
        <v>0</v>
      </c>
      <c r="C58" s="1">
        <f t="shared" si="3"/>
        <v>0</v>
      </c>
      <c r="D58" s="1">
        <f t="shared" si="9"/>
        <v>0.18810945736434131</v>
      </c>
      <c r="E58">
        <v>363.15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-0.1541017172093023</v>
      </c>
      <c r="Y58" s="1">
        <f t="shared" si="1"/>
        <v>0.24300083720930232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  <c r="AF58" s="1">
        <f t="shared" si="8"/>
        <v>0</v>
      </c>
      <c r="AH58" s="1">
        <f t="shared" si="18"/>
        <v>0</v>
      </c>
    </row>
    <row r="59" spans="1:34" ht="15">
      <c r="A59" s="1">
        <v>58</v>
      </c>
      <c r="B59" s="1">
        <f t="shared" si="20"/>
        <v>0</v>
      </c>
      <c r="C59" s="1">
        <f t="shared" si="3"/>
        <v>0</v>
      </c>
      <c r="D59" s="1">
        <f t="shared" si="9"/>
        <v>0.18810945736434131</v>
      </c>
      <c r="E59">
        <v>363.15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185.05742268983056</v>
      </c>
      <c r="S59" s="1">
        <f t="shared" ref="S59:S67" si="36">((1/(E59+0.01))*LN(L59))+(E59*(K59-L59))</f>
        <v>130.98032569310897</v>
      </c>
      <c r="T59" s="1">
        <f t="shared" ref="T59:T67" si="37">(S59+((S59^2)-4*(K59-L59*P59)*LN(L59*P59))^(0.5))/(2*(K59-L59*P59))</f>
        <v>257.03634040807572</v>
      </c>
      <c r="U59" s="1" t="str">
        <f t="shared" ref="U59:U67" si="38">IF(E59&gt;=T59*1.2,"sell to the Grid","charge")</f>
        <v>sell to the Grid</v>
      </c>
      <c r="W59" s="1">
        <f>(Q59*E59)/1000</f>
        <v>0.18506123999999996</v>
      </c>
      <c r="Y59" s="1">
        <f t="shared" si="1"/>
        <v>0.14486588372093023</v>
      </c>
      <c r="AA59" s="1">
        <f t="shared" si="6"/>
        <v>-6.3395509862345047</v>
      </c>
      <c r="AD59" s="1">
        <f t="shared" si="7"/>
        <v>0.25</v>
      </c>
      <c r="AF59" s="1">
        <f t="shared" si="8"/>
        <v>308.44360848969086</v>
      </c>
      <c r="AG59" s="1">
        <f t="shared" ref="AG59" si="39">E59</f>
        <v>363.15</v>
      </c>
      <c r="AH59" s="1">
        <f t="shared" si="18"/>
        <v>185.06123999999997</v>
      </c>
    </row>
    <row r="60" spans="1:34" ht="15">
      <c r="A60" s="1">
        <v>59</v>
      </c>
      <c r="B60" s="1">
        <f t="shared" si="20"/>
        <v>1.1828000000000001</v>
      </c>
      <c r="C60" s="1">
        <f t="shared" si="3"/>
        <v>0</v>
      </c>
      <c r="D60" s="1">
        <f t="shared" si="9"/>
        <v>1.1343494573643413</v>
      </c>
      <c r="E60">
        <v>363.15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429.53000268983061</v>
      </c>
      <c r="S60" s="1">
        <f t="shared" si="36"/>
        <v>375.45290569310902</v>
      </c>
      <c r="T60" s="1">
        <f t="shared" si="37"/>
        <v>317.4309037242009</v>
      </c>
      <c r="U60" s="1" t="str">
        <f t="shared" si="38"/>
        <v>charge</v>
      </c>
      <c r="Y60" s="1">
        <f t="shared" si="1"/>
        <v>0.14486588372093023</v>
      </c>
      <c r="AA60" s="1">
        <f t="shared" si="6"/>
        <v>-5.3056657149166755</v>
      </c>
      <c r="AD60" s="1">
        <f t="shared" si="7"/>
        <v>0.25</v>
      </c>
      <c r="AF60" s="1">
        <f t="shared" si="8"/>
        <v>380.91708446904107</v>
      </c>
      <c r="AH60" s="1">
        <f t="shared" si="18"/>
        <v>0</v>
      </c>
    </row>
    <row r="61" spans="1:34" ht="15">
      <c r="A61" s="1">
        <v>60</v>
      </c>
      <c r="B61" s="1">
        <f t="shared" si="20"/>
        <v>1.6616000000000002</v>
      </c>
      <c r="C61" s="1">
        <f t="shared" si="3"/>
        <v>0</v>
      </c>
      <c r="D61" s="1">
        <f t="shared" si="9"/>
        <v>2.4636294573643416</v>
      </c>
      <c r="E61">
        <v>363.15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603.40622268983054</v>
      </c>
      <c r="S61" s="1">
        <f t="shared" si="36"/>
        <v>549.32912569310895</v>
      </c>
      <c r="T61" s="1">
        <f t="shared" si="37"/>
        <v>330.60503063142892</v>
      </c>
      <c r="U61" s="1" t="str">
        <f t="shared" si="38"/>
        <v>charge</v>
      </c>
      <c r="Y61" s="1">
        <f t="shared" si="1"/>
        <v>0.14486588372093023</v>
      </c>
      <c r="AA61" s="1">
        <f t="shared" si="6"/>
        <v>-3.7929804435988457</v>
      </c>
      <c r="AD61" s="1">
        <f t="shared" si="7"/>
        <v>0.25</v>
      </c>
      <c r="AF61" s="1">
        <f t="shared" si="8"/>
        <v>396.72603675771467</v>
      </c>
      <c r="AH61" s="1">
        <f t="shared" si="18"/>
        <v>0</v>
      </c>
    </row>
    <row r="62" spans="1:34" ht="15">
      <c r="A62" s="1">
        <v>61</v>
      </c>
      <c r="B62" s="1">
        <f t="shared" si="20"/>
        <v>1.9388000000000001</v>
      </c>
      <c r="C62" s="1">
        <f t="shared" si="3"/>
        <v>0</v>
      </c>
      <c r="D62" s="1">
        <f t="shared" si="9"/>
        <v>4.0146694573643416</v>
      </c>
      <c r="E62">
        <v>363.15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704.07140268983051</v>
      </c>
      <c r="S62" s="1">
        <f t="shared" si="36"/>
        <v>649.99430569310891</v>
      </c>
      <c r="T62" s="1">
        <f t="shared" si="37"/>
        <v>335.25811878439947</v>
      </c>
      <c r="U62" s="1" t="str">
        <f t="shared" si="38"/>
        <v>charge</v>
      </c>
      <c r="Y62" s="1">
        <f t="shared" si="1"/>
        <v>0.14486588372093023</v>
      </c>
      <c r="AA62" s="1">
        <f t="shared" si="6"/>
        <v>-2.0030951722810162</v>
      </c>
      <c r="AD62" s="1">
        <f t="shared" si="7"/>
        <v>0.25</v>
      </c>
      <c r="AF62" s="1">
        <f t="shared" si="8"/>
        <v>402.30974254127938</v>
      </c>
      <c r="AH62" s="1">
        <f t="shared" si="18"/>
        <v>0</v>
      </c>
    </row>
    <row r="63" spans="1:34" ht="15">
      <c r="A63" s="1">
        <v>62</v>
      </c>
      <c r="B63" s="1">
        <f t="shared" si="20"/>
        <v>2.1008</v>
      </c>
      <c r="C63" s="1">
        <f t="shared" si="3"/>
        <v>0</v>
      </c>
      <c r="D63" s="1">
        <f t="shared" si="9"/>
        <v>5.6953094573643419</v>
      </c>
      <c r="E63">
        <v>363.15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762.90170268983047</v>
      </c>
      <c r="S63" s="1">
        <f t="shared" si="36"/>
        <v>708.82460569310888</v>
      </c>
      <c r="T63" s="1">
        <f t="shared" si="37"/>
        <v>337.40894627781017</v>
      </c>
      <c r="U63" s="1" t="str">
        <f t="shared" si="38"/>
        <v>charge</v>
      </c>
      <c r="Y63" s="1">
        <f t="shared" si="1"/>
        <v>0.14486588372093023</v>
      </c>
      <c r="AA63" s="1">
        <f t="shared" si="6"/>
        <v>-5.1209900963186783E-2</v>
      </c>
      <c r="AD63" s="1">
        <f t="shared" si="7"/>
        <v>0.25</v>
      </c>
      <c r="AF63" s="1">
        <f t="shared" si="8"/>
        <v>404.89073553337221</v>
      </c>
      <c r="AH63" s="1">
        <f t="shared" si="18"/>
        <v>0</v>
      </c>
    </row>
    <row r="64" spans="1:34" ht="15">
      <c r="A64" s="1">
        <v>63</v>
      </c>
      <c r="B64" s="1">
        <f t="shared" si="20"/>
        <v>1.9855999999999998</v>
      </c>
      <c r="C64" s="1">
        <f t="shared" si="3"/>
        <v>0</v>
      </c>
      <c r="D64" s="1">
        <f t="shared" si="9"/>
        <v>7.2837894573643416</v>
      </c>
      <c r="E64">
        <v>363.15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721.06682268983047</v>
      </c>
      <c r="S64" s="1">
        <f t="shared" si="36"/>
        <v>666.98972569310888</v>
      </c>
      <c r="T64" s="1">
        <f t="shared" si="37"/>
        <v>335.91551803325535</v>
      </c>
      <c r="U64" s="1" t="str">
        <f t="shared" si="38"/>
        <v>charge</v>
      </c>
      <c r="Y64" s="1">
        <f t="shared" si="1"/>
        <v>0.14486588372093023</v>
      </c>
      <c r="AA64" s="1">
        <f t="shared" si="6"/>
        <v>1.7854753703546424</v>
      </c>
      <c r="AD64" s="1">
        <f t="shared" si="7"/>
        <v>0.25</v>
      </c>
      <c r="AF64" s="1">
        <f t="shared" si="8"/>
        <v>403.09862163990641</v>
      </c>
      <c r="AH64" s="1">
        <f t="shared" si="18"/>
        <v>0</v>
      </c>
    </row>
    <row r="65" spans="1:34" ht="15">
      <c r="A65" s="1">
        <v>64</v>
      </c>
      <c r="B65" s="1">
        <f t="shared" si="20"/>
        <v>1.6976</v>
      </c>
      <c r="C65" s="1">
        <f t="shared" si="3"/>
        <v>0</v>
      </c>
      <c r="D65" s="1">
        <f t="shared" si="9"/>
        <v>8.6418694573643418</v>
      </c>
      <c r="E65">
        <v>363.15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616.47962268983053</v>
      </c>
      <c r="S65" s="1">
        <f t="shared" si="36"/>
        <v>562.40252569310894</v>
      </c>
      <c r="T65" s="1">
        <f t="shared" si="37"/>
        <v>331.29518741862984</v>
      </c>
      <c r="U65" s="1" t="str">
        <f t="shared" si="38"/>
        <v>charge</v>
      </c>
      <c r="Y65" s="1">
        <f t="shared" si="1"/>
        <v>0.14486588372093023</v>
      </c>
      <c r="AA65" s="1">
        <f t="shared" si="6"/>
        <v>3.3341606416724718</v>
      </c>
      <c r="AD65" s="1">
        <f t="shared" si="7"/>
        <v>0.25</v>
      </c>
      <c r="AF65" s="1">
        <f t="shared" si="8"/>
        <v>397.55422490235577</v>
      </c>
      <c r="AH65" s="1">
        <f t="shared" si="18"/>
        <v>0</v>
      </c>
    </row>
    <row r="66" spans="1:34" ht="15">
      <c r="A66" s="1">
        <v>65</v>
      </c>
      <c r="B66" s="1">
        <f t="shared" si="20"/>
        <v>1.2547999999999999</v>
      </c>
      <c r="C66" s="1">
        <f t="shared" si="3"/>
        <v>0</v>
      </c>
      <c r="D66" s="1">
        <f t="shared" si="9"/>
        <v>9.645709457364342</v>
      </c>
      <c r="E66">
        <v>363.15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455.67680268983054</v>
      </c>
      <c r="S66" s="1">
        <f t="shared" si="36"/>
        <v>401.59970569310894</v>
      </c>
      <c r="T66" s="1">
        <f t="shared" si="37"/>
        <v>320.05422149271561</v>
      </c>
      <c r="U66" s="1" t="str">
        <f t="shared" si="38"/>
        <v>charge</v>
      </c>
      <c r="Y66" s="1">
        <f t="shared" ref="Y66:Y129" si="40">(L66*E66)/1000</f>
        <v>0.14486588372093023</v>
      </c>
      <c r="AA66" s="1">
        <f t="shared" si="6"/>
        <v>4.4400459129903016</v>
      </c>
      <c r="AD66" s="1">
        <f t="shared" si="7"/>
        <v>0.25</v>
      </c>
      <c r="AF66" s="1">
        <f t="shared" si="8"/>
        <v>384.06506579125875</v>
      </c>
      <c r="AH66" s="1">
        <f t="shared" si="18"/>
        <v>0</v>
      </c>
    </row>
    <row r="67" spans="1:34" ht="15">
      <c r="A67" s="1">
        <v>66</v>
      </c>
      <c r="B67" s="1">
        <f t="shared" si="20"/>
        <v>0</v>
      </c>
      <c r="C67" s="1">
        <f t="shared" ref="C67:C130" si="41">IF(V66="discharge",M67,0)</f>
        <v>0</v>
      </c>
      <c r="D67" s="1">
        <f t="shared" si="9"/>
        <v>9.645709457364342</v>
      </c>
      <c r="E67">
        <v>363.15</v>
      </c>
      <c r="K67" s="1">
        <f>'Solar Availability and Gener GR'!F67</f>
        <v>0.9396000000000001</v>
      </c>
      <c r="L67" s="1">
        <v>0.65627906976744199</v>
      </c>
      <c r="M67" s="1">
        <f t="shared" ref="M67:M130" si="42">K67-L67</f>
        <v>0.28332093023255811</v>
      </c>
      <c r="N67" s="1" t="str">
        <f t="shared" ref="N67:N130" si="43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250.42442268983061</v>
      </c>
      <c r="S67" s="1">
        <f t="shared" si="36"/>
        <v>102.88683607948582</v>
      </c>
      <c r="T67" s="1">
        <f t="shared" si="37"/>
        <v>149.21132089862152</v>
      </c>
      <c r="U67" s="1" t="str">
        <f t="shared" si="38"/>
        <v>sell to the Grid</v>
      </c>
      <c r="W67" s="1">
        <f>(Q67*E67)/1000</f>
        <v>0.25042824000000002</v>
      </c>
      <c r="Y67" s="1">
        <f t="shared" si="40"/>
        <v>0.23832774418604655</v>
      </c>
      <c r="AA67" s="1">
        <f t="shared" ref="AA67:AA130" si="44">M67+AA66</f>
        <v>4.7233668432228599</v>
      </c>
      <c r="AD67" s="1">
        <f t="shared" ref="AD67:AD130" si="45">AC67+O67</f>
        <v>0.25</v>
      </c>
      <c r="AF67" s="1">
        <f t="shared" ref="AF67:AF130" si="46">T67*1.2</f>
        <v>179.05358507834583</v>
      </c>
      <c r="AG67" s="1">
        <f>AF66</f>
        <v>384.06506579125875</v>
      </c>
      <c r="AH67" s="1">
        <f t="shared" si="18"/>
        <v>264.85126936965207</v>
      </c>
    </row>
    <row r="68" spans="1:34" ht="15">
      <c r="A68" s="1">
        <v>67</v>
      </c>
      <c r="B68" s="1">
        <f t="shared" si="20"/>
        <v>0</v>
      </c>
      <c r="C68" s="1">
        <f t="shared" si="41"/>
        <v>0</v>
      </c>
      <c r="D68" s="1">
        <f t="shared" ref="D68:D131" si="47">(D67)+(B68*0.8)+(C68/0.8)</f>
        <v>9.645709457364342</v>
      </c>
      <c r="E68">
        <v>363.15</v>
      </c>
      <c r="K68" s="1">
        <f>'Solar Availability and Gener GR'!F68</f>
        <v>0.34559999999999996</v>
      </c>
      <c r="L68" s="1">
        <v>0.66914728682170543</v>
      </c>
      <c r="M68" s="1">
        <f t="shared" si="42"/>
        <v>-0.32354728682170547</v>
      </c>
      <c r="N68" s="1" t="str">
        <f t="shared" si="43"/>
        <v>Buy from Grid</v>
      </c>
      <c r="V68" s="1" t="str">
        <f t="shared" ref="V68:V82" si="48">IF(D68+M68&gt;0,"discharge","buy from the Grid")</f>
        <v>discharge</v>
      </c>
      <c r="Y68" s="1">
        <f t="shared" si="40"/>
        <v>0.24300083720930232</v>
      </c>
      <c r="AA68" s="1">
        <f t="shared" si="44"/>
        <v>4.3998195564011544</v>
      </c>
      <c r="AD68" s="1">
        <f t="shared" si="45"/>
        <v>0</v>
      </c>
      <c r="AF68" s="1">
        <f t="shared" si="46"/>
        <v>0</v>
      </c>
      <c r="AH68" s="1">
        <f t="shared" si="18"/>
        <v>0</v>
      </c>
    </row>
    <row r="69" spans="1:34" ht="15">
      <c r="A69" s="1">
        <v>68</v>
      </c>
      <c r="B69" s="1">
        <f t="shared" si="20"/>
        <v>0</v>
      </c>
      <c r="C69" s="1">
        <f t="shared" si="41"/>
        <v>-0.62747906976744194</v>
      </c>
      <c r="D69" s="1">
        <f t="shared" si="47"/>
        <v>8.8613606201550397</v>
      </c>
      <c r="E69">
        <v>363.15</v>
      </c>
      <c r="K69" s="1">
        <f>'Solar Availability and Gener GR'!F69</f>
        <v>2.8799999999999999E-2</v>
      </c>
      <c r="L69" s="1">
        <v>0.65627906976744199</v>
      </c>
      <c r="M69" s="1">
        <f t="shared" si="42"/>
        <v>-0.62747906976744194</v>
      </c>
      <c r="N69" s="1" t="str">
        <f t="shared" si="43"/>
        <v>Buy from Grid</v>
      </c>
      <c r="V69" s="1" t="str">
        <f t="shared" si="48"/>
        <v>discharge</v>
      </c>
      <c r="Y69" s="1">
        <f t="shared" si="40"/>
        <v>0.23832774418604655</v>
      </c>
      <c r="AA69" s="1">
        <f t="shared" si="44"/>
        <v>3.7723404866337127</v>
      </c>
      <c r="AD69" s="1">
        <f t="shared" si="45"/>
        <v>0</v>
      </c>
      <c r="AF69" s="1">
        <f t="shared" si="46"/>
        <v>0</v>
      </c>
      <c r="AH69" s="1">
        <f t="shared" si="18"/>
        <v>0</v>
      </c>
    </row>
    <row r="70" spans="1:34" ht="15">
      <c r="A70" s="1">
        <v>69</v>
      </c>
      <c r="B70" s="1">
        <f t="shared" si="20"/>
        <v>0</v>
      </c>
      <c r="C70" s="1">
        <f t="shared" si="41"/>
        <v>-0.66914728682170543</v>
      </c>
      <c r="D70" s="1">
        <f t="shared" si="47"/>
        <v>8.0249265116279087</v>
      </c>
      <c r="E70">
        <v>363.15</v>
      </c>
      <c r="K70" s="1">
        <f>'Solar Availability and Gener GR'!F70</f>
        <v>0</v>
      </c>
      <c r="L70" s="1">
        <v>0.66914728682170543</v>
      </c>
      <c r="M70" s="1">
        <f t="shared" si="42"/>
        <v>-0.66914728682170543</v>
      </c>
      <c r="N70" s="1" t="str">
        <f t="shared" si="43"/>
        <v>Buy from Grid</v>
      </c>
      <c r="V70" s="1" t="str">
        <f t="shared" si="48"/>
        <v>discharge</v>
      </c>
      <c r="Y70" s="1">
        <f t="shared" si="40"/>
        <v>0.24300083720930232</v>
      </c>
      <c r="AA70" s="1">
        <f t="shared" si="44"/>
        <v>3.103193199812007</v>
      </c>
      <c r="AD70" s="1">
        <f t="shared" si="45"/>
        <v>0</v>
      </c>
      <c r="AF70" s="1">
        <f t="shared" si="46"/>
        <v>0</v>
      </c>
      <c r="AH70" s="1">
        <f t="shared" si="18"/>
        <v>0</v>
      </c>
    </row>
    <row r="71" spans="1:34" ht="15">
      <c r="A71" s="1">
        <v>70</v>
      </c>
      <c r="B71" s="1">
        <f t="shared" si="20"/>
        <v>0</v>
      </c>
      <c r="C71" s="1">
        <f t="shared" si="41"/>
        <v>-0.39891472868217059</v>
      </c>
      <c r="D71" s="1">
        <f t="shared" si="47"/>
        <v>7.5262831007751956</v>
      </c>
      <c r="E71">
        <v>363.15</v>
      </c>
      <c r="K71" s="1">
        <f>'Solar Availability and Gener GR'!F71</f>
        <v>0</v>
      </c>
      <c r="L71" s="1">
        <v>0.39891472868217059</v>
      </c>
      <c r="M71" s="1">
        <f t="shared" si="42"/>
        <v>-0.39891472868217059</v>
      </c>
      <c r="N71" s="1" t="str">
        <f t="shared" si="43"/>
        <v>Buy from Grid</v>
      </c>
      <c r="V71" s="1" t="str">
        <f t="shared" si="48"/>
        <v>discharge</v>
      </c>
      <c r="Y71" s="1">
        <f t="shared" si="40"/>
        <v>0.14486588372093023</v>
      </c>
      <c r="AA71" s="1">
        <f t="shared" si="44"/>
        <v>2.7042784711298364</v>
      </c>
      <c r="AD71" s="1">
        <f t="shared" si="45"/>
        <v>0</v>
      </c>
      <c r="AF71" s="1">
        <f t="shared" si="46"/>
        <v>0</v>
      </c>
      <c r="AH71" s="1">
        <f t="shared" si="18"/>
        <v>0</v>
      </c>
    </row>
    <row r="72" spans="1:34" ht="15">
      <c r="A72" s="1">
        <v>71</v>
      </c>
      <c r="B72" s="1">
        <f t="shared" si="20"/>
        <v>0</v>
      </c>
      <c r="C72" s="1">
        <f t="shared" si="41"/>
        <v>-0.39891472868217059</v>
      </c>
      <c r="D72" s="1">
        <f t="shared" si="47"/>
        <v>7.0276396899224824</v>
      </c>
      <c r="E72">
        <v>363.15</v>
      </c>
      <c r="K72" s="1">
        <f>'Solar Availability and Gener GR'!F72</f>
        <v>0</v>
      </c>
      <c r="L72" s="1">
        <v>0.39891472868217059</v>
      </c>
      <c r="M72" s="1">
        <f t="shared" si="42"/>
        <v>-0.39891472868217059</v>
      </c>
      <c r="N72" s="1" t="str">
        <f t="shared" si="43"/>
        <v>Buy from Grid</v>
      </c>
      <c r="V72" s="1" t="str">
        <f t="shared" si="48"/>
        <v>discharge</v>
      </c>
      <c r="Y72" s="1">
        <f t="shared" si="40"/>
        <v>0.14486588372093023</v>
      </c>
      <c r="AA72" s="1">
        <f t="shared" si="44"/>
        <v>2.3053637424476658</v>
      </c>
      <c r="AD72" s="1">
        <f t="shared" si="45"/>
        <v>0</v>
      </c>
      <c r="AF72" s="1">
        <f t="shared" si="46"/>
        <v>0</v>
      </c>
      <c r="AH72" s="1">
        <f t="shared" si="18"/>
        <v>0</v>
      </c>
    </row>
    <row r="73" spans="1:34" ht="15">
      <c r="A73" s="1">
        <v>72</v>
      </c>
      <c r="B73" s="1">
        <f t="shared" si="20"/>
        <v>0</v>
      </c>
      <c r="C73" s="1">
        <f t="shared" si="41"/>
        <v>-0.39891472868217059</v>
      </c>
      <c r="D73" s="1">
        <f t="shared" si="47"/>
        <v>6.5289962790697693</v>
      </c>
      <c r="E73">
        <v>363.15</v>
      </c>
      <c r="K73" s="1">
        <f>'Solar Availability and Gener GR'!F73</f>
        <v>0</v>
      </c>
      <c r="L73" s="1">
        <v>0.39891472868217059</v>
      </c>
      <c r="M73" s="1">
        <f t="shared" si="42"/>
        <v>-0.39891472868217059</v>
      </c>
      <c r="N73" s="1" t="str">
        <f t="shared" si="43"/>
        <v>Buy from Grid</v>
      </c>
      <c r="V73" s="1" t="str">
        <f t="shared" si="48"/>
        <v>discharge</v>
      </c>
      <c r="Y73" s="1">
        <f t="shared" si="40"/>
        <v>0.14486588372093023</v>
      </c>
      <c r="AA73" s="1">
        <f t="shared" si="44"/>
        <v>1.9064490137654952</v>
      </c>
      <c r="AD73" s="1">
        <f t="shared" si="45"/>
        <v>0</v>
      </c>
      <c r="AF73" s="1">
        <f t="shared" si="46"/>
        <v>0</v>
      </c>
      <c r="AH73" s="1">
        <f t="shared" si="18"/>
        <v>0</v>
      </c>
    </row>
    <row r="74" spans="1:34" ht="15">
      <c r="A74" s="1">
        <v>73</v>
      </c>
      <c r="B74" s="1">
        <f t="shared" si="20"/>
        <v>0</v>
      </c>
      <c r="C74" s="1">
        <f t="shared" si="41"/>
        <v>-0.29596899224806206</v>
      </c>
      <c r="D74" s="1">
        <f t="shared" si="47"/>
        <v>6.1590350387596917</v>
      </c>
      <c r="E74">
        <v>363.15</v>
      </c>
      <c r="K74" s="1">
        <f>'Solar Availability and Gener GR'!F74</f>
        <v>0</v>
      </c>
      <c r="L74" s="1">
        <v>0.29596899224806206</v>
      </c>
      <c r="M74" s="1">
        <f t="shared" si="42"/>
        <v>-0.29596899224806206</v>
      </c>
      <c r="N74" s="1" t="str">
        <f t="shared" si="43"/>
        <v>Buy from Grid</v>
      </c>
      <c r="V74" s="1" t="str">
        <f t="shared" si="48"/>
        <v>discharge</v>
      </c>
      <c r="Y74" s="1">
        <f t="shared" si="40"/>
        <v>0.10748113953488372</v>
      </c>
      <c r="AA74" s="1">
        <f t="shared" si="44"/>
        <v>1.6104800215174331</v>
      </c>
      <c r="AD74" s="1">
        <f t="shared" si="45"/>
        <v>0</v>
      </c>
      <c r="AF74" s="1">
        <f t="shared" si="46"/>
        <v>0</v>
      </c>
      <c r="AH74" s="1">
        <f t="shared" si="18"/>
        <v>0</v>
      </c>
    </row>
    <row r="75" spans="1:34" ht="15">
      <c r="A75" s="1">
        <v>74</v>
      </c>
      <c r="B75" s="1">
        <f t="shared" si="20"/>
        <v>0</v>
      </c>
      <c r="C75" s="1">
        <f t="shared" si="41"/>
        <v>-0.29596899224806206</v>
      </c>
      <c r="D75" s="1">
        <f t="shared" si="47"/>
        <v>5.7890737984496141</v>
      </c>
      <c r="E75">
        <v>363.15</v>
      </c>
      <c r="K75" s="1">
        <f>'Solar Availability and Gener GR'!F75</f>
        <v>0</v>
      </c>
      <c r="L75" s="1">
        <v>0.29596899224806206</v>
      </c>
      <c r="M75" s="1">
        <f t="shared" si="42"/>
        <v>-0.29596899224806206</v>
      </c>
      <c r="N75" s="1" t="str">
        <f t="shared" si="43"/>
        <v>Buy from Grid</v>
      </c>
      <c r="V75" s="1" t="str">
        <f t="shared" si="48"/>
        <v>discharge</v>
      </c>
      <c r="Y75" s="1">
        <f t="shared" si="40"/>
        <v>0.10748113953488372</v>
      </c>
      <c r="AA75" s="1">
        <f t="shared" si="44"/>
        <v>1.3145110292693709</v>
      </c>
      <c r="AD75" s="1">
        <f t="shared" si="45"/>
        <v>0</v>
      </c>
      <c r="AF75" s="1">
        <f t="shared" si="46"/>
        <v>0</v>
      </c>
      <c r="AH75" s="1">
        <f t="shared" si="18"/>
        <v>0</v>
      </c>
    </row>
    <row r="76" spans="1:34" ht="15">
      <c r="A76" s="1">
        <v>75</v>
      </c>
      <c r="B76" s="1">
        <f t="shared" si="20"/>
        <v>0</v>
      </c>
      <c r="C76" s="1">
        <f t="shared" si="41"/>
        <v>-0.29596899224806206</v>
      </c>
      <c r="D76" s="1">
        <f t="shared" si="47"/>
        <v>5.4191125581395365</v>
      </c>
      <c r="E76">
        <v>363.15</v>
      </c>
      <c r="K76" s="1">
        <f>'Solar Availability and Gener GR'!F76</f>
        <v>0</v>
      </c>
      <c r="L76" s="1">
        <v>0.29596899224806206</v>
      </c>
      <c r="M76" s="1">
        <f t="shared" si="42"/>
        <v>-0.29596899224806206</v>
      </c>
      <c r="N76" s="1" t="str">
        <f t="shared" si="43"/>
        <v>Buy from Grid</v>
      </c>
      <c r="V76" s="1" t="str">
        <f t="shared" si="48"/>
        <v>discharge</v>
      </c>
      <c r="Y76" s="1">
        <f t="shared" si="40"/>
        <v>0.10748113953488372</v>
      </c>
      <c r="AA76" s="1">
        <f t="shared" si="44"/>
        <v>1.0185420370213087</v>
      </c>
      <c r="AD76" s="1">
        <f t="shared" si="45"/>
        <v>0</v>
      </c>
      <c r="AF76" s="1">
        <f t="shared" si="46"/>
        <v>0</v>
      </c>
      <c r="AH76" s="1">
        <f t="shared" si="18"/>
        <v>0</v>
      </c>
    </row>
    <row r="77" spans="1:34" ht="15">
      <c r="A77" s="1">
        <v>76</v>
      </c>
      <c r="B77" s="1">
        <f t="shared" si="20"/>
        <v>0</v>
      </c>
      <c r="C77" s="1">
        <f t="shared" si="41"/>
        <v>-0.29596899224806206</v>
      </c>
      <c r="D77" s="1">
        <f t="shared" si="47"/>
        <v>5.0491513178294589</v>
      </c>
      <c r="E77">
        <v>363.15</v>
      </c>
      <c r="K77" s="1">
        <f>'Solar Availability and Gener GR'!F77</f>
        <v>0</v>
      </c>
      <c r="L77" s="1">
        <v>0.29596899224806206</v>
      </c>
      <c r="M77" s="1">
        <f t="shared" si="42"/>
        <v>-0.29596899224806206</v>
      </c>
      <c r="N77" s="1" t="str">
        <f t="shared" si="43"/>
        <v>Buy from Grid</v>
      </c>
      <c r="V77" s="1" t="str">
        <f t="shared" si="48"/>
        <v>discharge</v>
      </c>
      <c r="Y77" s="1">
        <f t="shared" si="40"/>
        <v>0.10748113953488372</v>
      </c>
      <c r="AA77" s="1">
        <f t="shared" si="44"/>
        <v>0.72257304477324669</v>
      </c>
      <c r="AD77" s="1">
        <f t="shared" si="45"/>
        <v>0</v>
      </c>
      <c r="AF77" s="1">
        <f t="shared" si="46"/>
        <v>0</v>
      </c>
      <c r="AH77" s="1">
        <f t="shared" ref="AH77:AH140" si="49">AG77*Q77</f>
        <v>0</v>
      </c>
    </row>
    <row r="78" spans="1:34" ht="15">
      <c r="A78" s="1">
        <v>77</v>
      </c>
      <c r="B78" s="1">
        <f t="shared" si="20"/>
        <v>0</v>
      </c>
      <c r="C78" s="1">
        <f t="shared" si="41"/>
        <v>-0.29596899224806206</v>
      </c>
      <c r="D78" s="1">
        <f t="shared" si="47"/>
        <v>4.6791900775193813</v>
      </c>
      <c r="E78">
        <v>363.15</v>
      </c>
      <c r="K78" s="1">
        <f>'Solar Availability and Gener GR'!F78</f>
        <v>0</v>
      </c>
      <c r="L78" s="1">
        <v>0.29596899224806206</v>
      </c>
      <c r="M78" s="1">
        <f t="shared" si="42"/>
        <v>-0.29596899224806206</v>
      </c>
      <c r="N78" s="1" t="str">
        <f t="shared" si="43"/>
        <v>Buy from Grid</v>
      </c>
      <c r="V78" s="1" t="str">
        <f t="shared" si="48"/>
        <v>discharge</v>
      </c>
      <c r="Y78" s="1">
        <f t="shared" si="40"/>
        <v>0.10748113953488372</v>
      </c>
      <c r="AA78" s="1">
        <f t="shared" si="44"/>
        <v>0.42660405252518463</v>
      </c>
      <c r="AD78" s="1">
        <f t="shared" si="45"/>
        <v>0</v>
      </c>
      <c r="AF78" s="1">
        <f t="shared" si="46"/>
        <v>0</v>
      </c>
      <c r="AH78" s="1">
        <f t="shared" si="49"/>
        <v>0</v>
      </c>
    </row>
    <row r="79" spans="1:34" ht="15">
      <c r="A79" s="1">
        <v>78</v>
      </c>
      <c r="B79" s="1">
        <f t="shared" si="20"/>
        <v>0</v>
      </c>
      <c r="C79" s="1">
        <f t="shared" si="41"/>
        <v>-0.39891472868217059</v>
      </c>
      <c r="D79" s="1">
        <f t="shared" si="47"/>
        <v>4.1805466666666682</v>
      </c>
      <c r="E79">
        <v>363.15</v>
      </c>
      <c r="K79" s="1">
        <f>'Solar Availability and Gener GR'!F79</f>
        <v>0</v>
      </c>
      <c r="L79" s="1">
        <v>0.39891472868217059</v>
      </c>
      <c r="M79" s="1">
        <f t="shared" si="42"/>
        <v>-0.39891472868217059</v>
      </c>
      <c r="N79" s="1" t="str">
        <f t="shared" si="43"/>
        <v>Buy from Grid</v>
      </c>
      <c r="V79" s="1" t="str">
        <f t="shared" si="48"/>
        <v>discharge</v>
      </c>
      <c r="Y79" s="1">
        <f t="shared" si="40"/>
        <v>0.14486588372093023</v>
      </c>
      <c r="AA79" s="1">
        <f t="shared" si="44"/>
        <v>2.7689323843014035E-2</v>
      </c>
      <c r="AD79" s="1">
        <f t="shared" si="45"/>
        <v>0</v>
      </c>
      <c r="AF79" s="1">
        <f t="shared" si="46"/>
        <v>0</v>
      </c>
      <c r="AH79" s="1">
        <f t="shared" si="49"/>
        <v>0</v>
      </c>
    </row>
    <row r="80" spans="1:34" ht="15">
      <c r="A80" s="1">
        <v>79</v>
      </c>
      <c r="B80" s="1">
        <f t="shared" ref="B80:B143" si="50">IF(U80="charge",Q80,0)</f>
        <v>0</v>
      </c>
      <c r="C80" s="1">
        <f t="shared" si="41"/>
        <v>-0.65627906976744199</v>
      </c>
      <c r="D80" s="1">
        <f t="shared" si="47"/>
        <v>3.3601978294573658</v>
      </c>
      <c r="E80">
        <v>363.15</v>
      </c>
      <c r="K80" s="1">
        <f>'Solar Availability and Gener GR'!F80</f>
        <v>0</v>
      </c>
      <c r="L80" s="1">
        <v>0.65627906976744199</v>
      </c>
      <c r="M80" s="1">
        <f t="shared" si="42"/>
        <v>-0.65627906976744199</v>
      </c>
      <c r="N80" s="1" t="str">
        <f t="shared" si="43"/>
        <v>Buy from Grid</v>
      </c>
      <c r="V80" s="1" t="str">
        <f t="shared" si="48"/>
        <v>discharge</v>
      </c>
      <c r="Y80" s="1">
        <f t="shared" si="40"/>
        <v>0.23832774418604655</v>
      </c>
      <c r="AA80" s="1">
        <f t="shared" si="44"/>
        <v>-0.62858974592442796</v>
      </c>
      <c r="AD80" s="1">
        <f t="shared" si="45"/>
        <v>0</v>
      </c>
      <c r="AF80" s="1">
        <f t="shared" si="46"/>
        <v>0</v>
      </c>
      <c r="AH80" s="1">
        <f t="shared" si="49"/>
        <v>0</v>
      </c>
    </row>
    <row r="81" spans="1:34" ht="15">
      <c r="A81" s="1">
        <v>80</v>
      </c>
      <c r="B81" s="1">
        <f t="shared" si="50"/>
        <v>0</v>
      </c>
      <c r="C81" s="1">
        <f t="shared" si="41"/>
        <v>-0.52667906976744194</v>
      </c>
      <c r="D81" s="1">
        <f t="shared" si="47"/>
        <v>2.7018489922480633</v>
      </c>
      <c r="E81">
        <v>363.15</v>
      </c>
      <c r="K81" s="1">
        <f>'Solar Availability and Gener GR'!F81</f>
        <v>0.12959999999999999</v>
      </c>
      <c r="L81" s="1">
        <v>0.65627906976744199</v>
      </c>
      <c r="M81" s="1">
        <f t="shared" si="42"/>
        <v>-0.52667906976744194</v>
      </c>
      <c r="N81" s="1" t="str">
        <f t="shared" si="43"/>
        <v>Buy from Grid</v>
      </c>
      <c r="V81" s="1" t="str">
        <f t="shared" si="48"/>
        <v>discharge</v>
      </c>
      <c r="Y81" s="1">
        <f t="shared" si="40"/>
        <v>0.23832774418604655</v>
      </c>
      <c r="AA81" s="1">
        <f t="shared" si="44"/>
        <v>-1.15526881569187</v>
      </c>
      <c r="AD81" s="1">
        <f t="shared" si="45"/>
        <v>0</v>
      </c>
      <c r="AF81" s="1">
        <f t="shared" si="46"/>
        <v>0</v>
      </c>
      <c r="AH81" s="1">
        <f t="shared" si="49"/>
        <v>0</v>
      </c>
    </row>
    <row r="82" spans="1:34" ht="15">
      <c r="A82" s="1">
        <v>81</v>
      </c>
      <c r="B82" s="1">
        <f t="shared" si="50"/>
        <v>0</v>
      </c>
      <c r="C82" s="1">
        <f t="shared" si="41"/>
        <v>-0.10547906976744204</v>
      </c>
      <c r="D82" s="1">
        <f t="shared" si="47"/>
        <v>2.5700001550387608</v>
      </c>
      <c r="E82">
        <v>363.15</v>
      </c>
      <c r="K82" s="1">
        <f>'Solar Availability and Gener GR'!F82</f>
        <v>0.55079999999999996</v>
      </c>
      <c r="L82" s="1">
        <v>0.65627906976744199</v>
      </c>
      <c r="M82" s="1">
        <f t="shared" si="42"/>
        <v>-0.10547906976744204</v>
      </c>
      <c r="N82" s="1" t="str">
        <f t="shared" si="43"/>
        <v>Buy from Grid</v>
      </c>
      <c r="V82" s="1" t="str">
        <f t="shared" si="48"/>
        <v>discharge</v>
      </c>
      <c r="Y82" s="1">
        <f t="shared" si="40"/>
        <v>0.23832774418604655</v>
      </c>
      <c r="AA82" s="1">
        <f t="shared" si="44"/>
        <v>-1.2607478854593119</v>
      </c>
      <c r="AD82" s="1">
        <f t="shared" si="45"/>
        <v>0</v>
      </c>
      <c r="AF82" s="1">
        <f t="shared" si="46"/>
        <v>0</v>
      </c>
      <c r="AH82" s="1">
        <f t="shared" si="49"/>
        <v>0</v>
      </c>
    </row>
    <row r="83" spans="1:34" ht="15">
      <c r="A83" s="1">
        <v>82</v>
      </c>
      <c r="B83" s="1">
        <f t="shared" si="50"/>
        <v>0</v>
      </c>
      <c r="C83" s="1">
        <f t="shared" si="41"/>
        <v>0.67028527131782933</v>
      </c>
      <c r="D83" s="1">
        <f t="shared" si="47"/>
        <v>3.4078567441860477</v>
      </c>
      <c r="E83">
        <v>363.15</v>
      </c>
      <c r="K83" s="1">
        <f>'Solar Availability and Gener GR'!F83</f>
        <v>1.0691999999999999</v>
      </c>
      <c r="L83" s="1">
        <v>0.39891472868217059</v>
      </c>
      <c r="M83" s="1">
        <f t="shared" si="42"/>
        <v>0.67028527131782933</v>
      </c>
      <c r="N83" s="1" t="str">
        <f t="shared" si="43"/>
        <v>sell the surplus or charge</v>
      </c>
      <c r="O83" s="1">
        <v>0.25</v>
      </c>
      <c r="P83" s="1">
        <f t="shared" ref="P83:P92" si="51">0.25/L83</f>
        <v>0.62670034978624167</v>
      </c>
      <c r="Q83" s="1">
        <f t="shared" ref="Q83:Q92" si="52">K83-P83*L83</f>
        <v>0.81919999999999993</v>
      </c>
      <c r="R83" s="1">
        <f t="shared" ref="R83:R92" si="53">((1/(E83+0.01))*LN(0.25))+(E83*(K83-0.25))</f>
        <v>297.48866268983056</v>
      </c>
      <c r="S83" s="1">
        <f t="shared" ref="S83:S92" si="54">((1/(E83+0.01))*LN(L83))+(E83*(K83-L83))</f>
        <v>243.41156569310894</v>
      </c>
      <c r="T83" s="1">
        <f t="shared" ref="T83:T92" si="55">(S83+((S83^2)-4*(K83-L83*P83)*LN(L83*P83))^(0.5))/(2*(K83-L83*P83))</f>
        <v>297.1389540626306</v>
      </c>
      <c r="U83" s="1" t="str">
        <f t="shared" ref="U83:U92" si="56">IF(E83&gt;=T83*1.2,"sell to the Grid","charge")</f>
        <v>sell to the Grid</v>
      </c>
      <c r="W83" s="1">
        <f>(Q83*E83)/1000</f>
        <v>0.29749247999999995</v>
      </c>
      <c r="Y83" s="1">
        <f t="shared" si="40"/>
        <v>0.14486588372093023</v>
      </c>
      <c r="AA83" s="1">
        <f t="shared" si="44"/>
        <v>-0.5904626141414826</v>
      </c>
      <c r="AD83" s="1">
        <f t="shared" si="45"/>
        <v>0.25</v>
      </c>
      <c r="AF83" s="1">
        <f t="shared" si="46"/>
        <v>356.5667448751567</v>
      </c>
      <c r="AG83" s="1">
        <f>E83</f>
        <v>363.15</v>
      </c>
      <c r="AH83" s="1">
        <f t="shared" si="49"/>
        <v>297.49247999999994</v>
      </c>
    </row>
    <row r="84" spans="1:34" ht="15">
      <c r="A84" s="1">
        <v>83</v>
      </c>
      <c r="B84" s="1">
        <f t="shared" si="50"/>
        <v>1.64</v>
      </c>
      <c r="C84" s="1">
        <f t="shared" si="41"/>
        <v>0</v>
      </c>
      <c r="D84" s="1">
        <f t="shared" si="47"/>
        <v>4.7198567441860479</v>
      </c>
      <c r="E84">
        <v>363.15</v>
      </c>
      <c r="K84" s="1">
        <f>'Solar Availability and Gener GR'!F84</f>
        <v>1.89</v>
      </c>
      <c r="L84" s="1">
        <v>0.39891472868217059</v>
      </c>
      <c r="M84" s="1">
        <f t="shared" si="42"/>
        <v>1.4910852713178293</v>
      </c>
      <c r="N84" s="1" t="str">
        <f t="shared" si="43"/>
        <v>sell the surplus or charge</v>
      </c>
      <c r="O84" s="1">
        <v>0.25</v>
      </c>
      <c r="P84" s="1">
        <f t="shared" si="51"/>
        <v>0.62670034978624167</v>
      </c>
      <c r="Q84" s="1">
        <f t="shared" si="52"/>
        <v>1.64</v>
      </c>
      <c r="R84" s="1">
        <f t="shared" si="53"/>
        <v>595.56218268983048</v>
      </c>
      <c r="S84" s="1">
        <f t="shared" si="54"/>
        <v>541.48508569310889</v>
      </c>
      <c r="T84" s="1">
        <f t="shared" si="55"/>
        <v>330.17639289075288</v>
      </c>
      <c r="U84" s="1" t="str">
        <f t="shared" si="56"/>
        <v>charge</v>
      </c>
      <c r="Y84" s="1">
        <f t="shared" si="40"/>
        <v>0.14486588372093023</v>
      </c>
      <c r="AA84" s="1">
        <f t="shared" si="44"/>
        <v>0.90062265717634671</v>
      </c>
      <c r="AD84" s="1">
        <f t="shared" si="45"/>
        <v>0.25</v>
      </c>
      <c r="AF84" s="1">
        <f t="shared" si="46"/>
        <v>396.21167146890343</v>
      </c>
      <c r="AH84" s="1">
        <f t="shared" si="49"/>
        <v>0</v>
      </c>
    </row>
    <row r="85" spans="1:34" ht="15">
      <c r="A85" s="1">
        <v>84</v>
      </c>
      <c r="B85" s="1">
        <f t="shared" si="50"/>
        <v>2.1764000000000001</v>
      </c>
      <c r="C85" s="1">
        <f t="shared" si="41"/>
        <v>0</v>
      </c>
      <c r="D85" s="1">
        <f t="shared" si="47"/>
        <v>6.4609767441860484</v>
      </c>
      <c r="E85">
        <v>363.15</v>
      </c>
      <c r="K85" s="1">
        <f>'Solar Availability and Gener GR'!F85</f>
        <v>2.4264000000000001</v>
      </c>
      <c r="L85" s="1">
        <v>0.39891472868217059</v>
      </c>
      <c r="M85" s="1">
        <f t="shared" si="42"/>
        <v>2.0274852713178295</v>
      </c>
      <c r="N85" s="1" t="str">
        <f t="shared" si="43"/>
        <v>sell the surplus or charge</v>
      </c>
      <c r="O85" s="1">
        <v>0.25</v>
      </c>
      <c r="P85" s="1">
        <f t="shared" si="51"/>
        <v>0.62670034978624167</v>
      </c>
      <c r="Q85" s="1">
        <f t="shared" si="52"/>
        <v>2.1764000000000001</v>
      </c>
      <c r="R85" s="1">
        <f t="shared" si="53"/>
        <v>790.35584268983052</v>
      </c>
      <c r="S85" s="1">
        <f t="shared" si="54"/>
        <v>736.27874569310893</v>
      </c>
      <c r="T85" s="1">
        <f t="shared" si="55"/>
        <v>338.30308926721773</v>
      </c>
      <c r="U85" s="1" t="str">
        <f t="shared" si="56"/>
        <v>charge</v>
      </c>
      <c r="Y85" s="1">
        <f t="shared" si="40"/>
        <v>0.14486588372093023</v>
      </c>
      <c r="AA85" s="1">
        <f t="shared" si="44"/>
        <v>2.9281079284941764</v>
      </c>
      <c r="AD85" s="1">
        <f t="shared" si="45"/>
        <v>0.25</v>
      </c>
      <c r="AF85" s="1">
        <f t="shared" si="46"/>
        <v>405.96370712066124</v>
      </c>
      <c r="AH85" s="1">
        <f t="shared" si="49"/>
        <v>0</v>
      </c>
    </row>
    <row r="86" spans="1:34" ht="15">
      <c r="A86" s="1">
        <v>85</v>
      </c>
      <c r="B86" s="1">
        <f t="shared" si="50"/>
        <v>2.4247999999999998</v>
      </c>
      <c r="C86" s="1">
        <f t="shared" si="41"/>
        <v>0</v>
      </c>
      <c r="D86" s="1">
        <f t="shared" si="47"/>
        <v>8.4008167441860486</v>
      </c>
      <c r="E86">
        <v>363.15</v>
      </c>
      <c r="K86" s="1">
        <f>'Solar Availability and Gener GR'!F86</f>
        <v>2.6747999999999998</v>
      </c>
      <c r="L86" s="1">
        <v>0.39891472868217059</v>
      </c>
      <c r="M86" s="1">
        <f t="shared" si="42"/>
        <v>2.2758852713178293</v>
      </c>
      <c r="N86" s="1" t="str">
        <f t="shared" si="43"/>
        <v>sell the surplus or charge</v>
      </c>
      <c r="O86" s="1">
        <v>0.25</v>
      </c>
      <c r="P86" s="1">
        <f t="shared" si="51"/>
        <v>0.62670034978624167</v>
      </c>
      <c r="Q86" s="1">
        <f t="shared" si="52"/>
        <v>2.4247999999999998</v>
      </c>
      <c r="R86" s="1">
        <f t="shared" si="53"/>
        <v>880.5623026898304</v>
      </c>
      <c r="S86" s="1">
        <f t="shared" si="54"/>
        <v>826.48520569310881</v>
      </c>
      <c r="T86" s="1">
        <f t="shared" si="55"/>
        <v>340.84842992423245</v>
      </c>
      <c r="U86" s="1" t="str">
        <f t="shared" si="56"/>
        <v>charge</v>
      </c>
      <c r="Y86" s="1">
        <f t="shared" si="40"/>
        <v>0.14486588372093023</v>
      </c>
      <c r="AA86" s="1">
        <f t="shared" si="44"/>
        <v>5.2039931998120057</v>
      </c>
      <c r="AD86" s="1">
        <f t="shared" si="45"/>
        <v>0.25</v>
      </c>
      <c r="AF86" s="1">
        <f t="shared" si="46"/>
        <v>409.01811590907892</v>
      </c>
      <c r="AH86" s="1">
        <f t="shared" si="49"/>
        <v>0</v>
      </c>
    </row>
    <row r="87" spans="1:34" ht="15">
      <c r="A87" s="1">
        <v>86</v>
      </c>
      <c r="B87" s="1">
        <f t="shared" si="50"/>
        <v>2.54</v>
      </c>
      <c r="C87" s="1">
        <f t="shared" si="41"/>
        <v>0</v>
      </c>
      <c r="D87" s="1">
        <f t="shared" si="47"/>
        <v>10.432816744186049</v>
      </c>
      <c r="E87">
        <v>363.15</v>
      </c>
      <c r="K87" s="1">
        <f>'Solar Availability and Gener GR'!F87</f>
        <v>2.79</v>
      </c>
      <c r="L87" s="1">
        <v>0.39891472868217059</v>
      </c>
      <c r="M87" s="1">
        <f t="shared" si="42"/>
        <v>2.3910852713178294</v>
      </c>
      <c r="N87" s="1" t="str">
        <f t="shared" si="43"/>
        <v>sell the surplus or charge</v>
      </c>
      <c r="O87" s="1">
        <v>0.25</v>
      </c>
      <c r="P87" s="1">
        <f t="shared" si="51"/>
        <v>0.62670034978624167</v>
      </c>
      <c r="Q87" s="1">
        <f t="shared" si="52"/>
        <v>2.54</v>
      </c>
      <c r="R87" s="1">
        <f t="shared" si="53"/>
        <v>922.39718268983052</v>
      </c>
      <c r="S87" s="1">
        <f t="shared" si="54"/>
        <v>868.32008569310892</v>
      </c>
      <c r="T87" s="1">
        <f t="shared" si="55"/>
        <v>341.85989797110511</v>
      </c>
      <c r="U87" s="1" t="str">
        <f t="shared" si="56"/>
        <v>charge</v>
      </c>
      <c r="Y87" s="1">
        <f t="shared" si="40"/>
        <v>0.14486588372093023</v>
      </c>
      <c r="AA87" s="1">
        <f t="shared" si="44"/>
        <v>7.5950784711298347</v>
      </c>
      <c r="AD87" s="1">
        <f t="shared" si="45"/>
        <v>0.25</v>
      </c>
      <c r="AF87" s="1">
        <f t="shared" si="46"/>
        <v>410.2318775653261</v>
      </c>
      <c r="AH87" s="1">
        <f t="shared" si="49"/>
        <v>0</v>
      </c>
    </row>
    <row r="88" spans="1:34" ht="15">
      <c r="A88" s="1">
        <v>87</v>
      </c>
      <c r="B88" s="1">
        <f t="shared" si="50"/>
        <v>2.3852000000000002</v>
      </c>
      <c r="C88" s="1">
        <f t="shared" si="41"/>
        <v>0</v>
      </c>
      <c r="D88" s="1">
        <f t="shared" si="47"/>
        <v>12.340976744186049</v>
      </c>
      <c r="E88">
        <v>363.15</v>
      </c>
      <c r="K88" s="1">
        <f>'Solar Availability and Gener GR'!F88</f>
        <v>2.6352000000000002</v>
      </c>
      <c r="L88" s="1">
        <v>0.39891472868217059</v>
      </c>
      <c r="M88" s="1">
        <f t="shared" si="42"/>
        <v>2.2362852713178296</v>
      </c>
      <c r="N88" s="1" t="str">
        <f t="shared" si="43"/>
        <v>sell the surplus or charge</v>
      </c>
      <c r="O88" s="1">
        <v>0.25</v>
      </c>
      <c r="P88" s="1">
        <f t="shared" si="51"/>
        <v>0.62670034978624167</v>
      </c>
      <c r="Q88" s="1">
        <f t="shared" si="52"/>
        <v>2.3852000000000002</v>
      </c>
      <c r="R88" s="1">
        <f t="shared" si="53"/>
        <v>866.18156268983057</v>
      </c>
      <c r="S88" s="1">
        <f t="shared" si="54"/>
        <v>812.10446569310898</v>
      </c>
      <c r="T88" s="1">
        <f t="shared" si="55"/>
        <v>340.47817260740959</v>
      </c>
      <c r="U88" s="1" t="str">
        <f t="shared" si="56"/>
        <v>charge</v>
      </c>
      <c r="Y88" s="1">
        <f t="shared" si="40"/>
        <v>0.14486588372093023</v>
      </c>
      <c r="AA88" s="1">
        <f t="shared" si="44"/>
        <v>9.8313637424476639</v>
      </c>
      <c r="AD88" s="1">
        <f t="shared" si="45"/>
        <v>0.25</v>
      </c>
      <c r="AF88" s="1">
        <f t="shared" si="46"/>
        <v>408.57380712889147</v>
      </c>
      <c r="AH88" s="1">
        <f t="shared" si="49"/>
        <v>0</v>
      </c>
    </row>
    <row r="89" spans="1:34" ht="15">
      <c r="A89" s="1">
        <v>88</v>
      </c>
      <c r="B89" s="1">
        <f t="shared" si="50"/>
        <v>0</v>
      </c>
      <c r="C89" s="1">
        <f t="shared" si="41"/>
        <v>0</v>
      </c>
      <c r="D89" s="1">
        <f t="shared" si="47"/>
        <v>12.340976744186049</v>
      </c>
      <c r="E89">
        <v>363.15</v>
      </c>
      <c r="K89" s="1">
        <f>'Solar Availability and Gener GR'!F89</f>
        <v>2.3508</v>
      </c>
      <c r="L89" s="1">
        <v>0.66914728682170543</v>
      </c>
      <c r="M89" s="1">
        <f t="shared" si="42"/>
        <v>1.6816527131782946</v>
      </c>
      <c r="N89" s="1" t="str">
        <f t="shared" si="43"/>
        <v>sell the surplus or charge</v>
      </c>
      <c r="O89" s="1">
        <v>0.25</v>
      </c>
      <c r="P89" s="1">
        <f t="shared" si="51"/>
        <v>0.3736098239110287</v>
      </c>
      <c r="Q89" s="1">
        <f t="shared" si="52"/>
        <v>2.1008</v>
      </c>
      <c r="R89" s="1">
        <f t="shared" si="53"/>
        <v>762.90170268983047</v>
      </c>
      <c r="S89" s="1">
        <f t="shared" si="54"/>
        <v>610.69107652601156</v>
      </c>
      <c r="T89" s="1">
        <f t="shared" si="55"/>
        <v>290.69680378565141</v>
      </c>
      <c r="U89" s="1" t="str">
        <f t="shared" si="56"/>
        <v>sell to the Grid</v>
      </c>
      <c r="W89" s="1">
        <f>(Q89*E89)/1000</f>
        <v>0.76290551999999989</v>
      </c>
      <c r="Y89" s="1">
        <f t="shared" si="40"/>
        <v>0.24300083720930232</v>
      </c>
      <c r="AA89" s="1">
        <f t="shared" si="44"/>
        <v>11.513016455625959</v>
      </c>
      <c r="AD89" s="1">
        <f t="shared" si="45"/>
        <v>0.25</v>
      </c>
      <c r="AF89" s="1">
        <f t="shared" si="46"/>
        <v>348.83616454278166</v>
      </c>
      <c r="AH89" s="1">
        <f t="shared" si="49"/>
        <v>0</v>
      </c>
    </row>
    <row r="90" spans="1:34" ht="15">
      <c r="A90" s="1">
        <v>89</v>
      </c>
      <c r="B90" s="1">
        <f t="shared" si="50"/>
        <v>0</v>
      </c>
      <c r="C90" s="1">
        <f t="shared" si="41"/>
        <v>0</v>
      </c>
      <c r="D90" s="1">
        <f t="shared" si="47"/>
        <v>12.340976744186049</v>
      </c>
      <c r="E90">
        <v>363.15</v>
      </c>
      <c r="K90" s="1">
        <f>'Solar Availability and Gener GR'!F90</f>
        <v>1.9260000000000002</v>
      </c>
      <c r="L90" s="1">
        <v>0.66914728682170543</v>
      </c>
      <c r="M90" s="1">
        <f t="shared" si="42"/>
        <v>1.2568527131782947</v>
      </c>
      <c r="N90" s="1" t="str">
        <f t="shared" si="43"/>
        <v>sell the surplus or charge</v>
      </c>
      <c r="O90" s="1">
        <v>0.25</v>
      </c>
      <c r="P90" s="1">
        <f t="shared" si="51"/>
        <v>0.3736098239110287</v>
      </c>
      <c r="Q90" s="1">
        <f t="shared" si="52"/>
        <v>1.6760000000000002</v>
      </c>
      <c r="R90" s="1">
        <f t="shared" si="53"/>
        <v>608.63558268983058</v>
      </c>
      <c r="S90" s="1">
        <f t="shared" si="54"/>
        <v>456.42495652601156</v>
      </c>
      <c r="T90" s="1">
        <f t="shared" si="55"/>
        <v>272.33296358299134</v>
      </c>
      <c r="U90" s="1" t="str">
        <f t="shared" si="56"/>
        <v>sell to the Grid</v>
      </c>
      <c r="W90" s="1">
        <f>(Q90*E90)/1000</f>
        <v>0.60863940000000005</v>
      </c>
      <c r="Y90" s="1">
        <f t="shared" si="40"/>
        <v>0.24300083720930232</v>
      </c>
      <c r="AA90" s="1">
        <f t="shared" si="44"/>
        <v>12.769869168804254</v>
      </c>
      <c r="AD90" s="1">
        <f t="shared" si="45"/>
        <v>0.25</v>
      </c>
      <c r="AF90" s="1">
        <f t="shared" si="46"/>
        <v>326.7995562995896</v>
      </c>
      <c r="AH90" s="1">
        <f t="shared" si="49"/>
        <v>0</v>
      </c>
    </row>
    <row r="91" spans="1:34" ht="15">
      <c r="A91" s="1">
        <v>90</v>
      </c>
      <c r="B91" s="1">
        <f t="shared" si="50"/>
        <v>1.0639999999999998</v>
      </c>
      <c r="C91" s="1">
        <f t="shared" si="41"/>
        <v>0</v>
      </c>
      <c r="D91" s="1">
        <f t="shared" si="47"/>
        <v>13.19217674418605</v>
      </c>
      <c r="E91">
        <v>363.15</v>
      </c>
      <c r="K91" s="1">
        <f>'Solar Availability and Gener GR'!F91</f>
        <v>1.3139999999999998</v>
      </c>
      <c r="L91" s="1">
        <v>0.39891472868217059</v>
      </c>
      <c r="M91" s="1">
        <f t="shared" si="42"/>
        <v>0.91508527131782924</v>
      </c>
      <c r="N91" s="1" t="str">
        <f t="shared" si="43"/>
        <v>sell the surplus or charge</v>
      </c>
      <c r="O91" s="1">
        <v>0.25</v>
      </c>
      <c r="P91" s="1">
        <f t="shared" si="51"/>
        <v>0.62670034978624167</v>
      </c>
      <c r="Q91" s="1">
        <f t="shared" si="52"/>
        <v>1.0639999999999998</v>
      </c>
      <c r="R91" s="1">
        <f t="shared" si="53"/>
        <v>386.38778268983054</v>
      </c>
      <c r="S91" s="1">
        <f t="shared" si="54"/>
        <v>332.31068569310889</v>
      </c>
      <c r="T91" s="1">
        <f t="shared" si="55"/>
        <v>312.32624464568391</v>
      </c>
      <c r="U91" s="1" t="str">
        <f t="shared" si="56"/>
        <v>charge</v>
      </c>
      <c r="Y91" s="1">
        <f t="shared" si="40"/>
        <v>0.14486588372093023</v>
      </c>
      <c r="AA91" s="1">
        <f t="shared" si="44"/>
        <v>13.684954440122084</v>
      </c>
      <c r="AD91" s="1">
        <f t="shared" si="45"/>
        <v>0.25</v>
      </c>
      <c r="AF91" s="1">
        <f t="shared" si="46"/>
        <v>374.79149357482066</v>
      </c>
      <c r="AH91" s="1">
        <f t="shared" si="49"/>
        <v>0</v>
      </c>
    </row>
    <row r="92" spans="1:34" ht="15">
      <c r="A92" s="1">
        <v>91</v>
      </c>
      <c r="B92" s="1">
        <f t="shared" si="50"/>
        <v>0</v>
      </c>
      <c r="C92" s="1">
        <f t="shared" si="41"/>
        <v>0</v>
      </c>
      <c r="D92" s="1">
        <f t="shared" si="47"/>
        <v>13.19217674418605</v>
      </c>
      <c r="E92">
        <v>363.15</v>
      </c>
      <c r="K92" s="1">
        <f>'Solar Availability and Gener GR'!F92</f>
        <v>0.67320000000000002</v>
      </c>
      <c r="L92" s="1">
        <v>0.39891472868217059</v>
      </c>
      <c r="M92" s="1">
        <f t="shared" si="42"/>
        <v>0.27428527131782943</v>
      </c>
      <c r="N92" s="1" t="str">
        <f t="shared" si="43"/>
        <v>sell the surplus or charge</v>
      </c>
      <c r="O92" s="1">
        <v>0.25</v>
      </c>
      <c r="P92" s="1">
        <f t="shared" si="51"/>
        <v>0.62670034978624167</v>
      </c>
      <c r="Q92" s="1">
        <f t="shared" si="52"/>
        <v>0.42320000000000002</v>
      </c>
      <c r="R92" s="1">
        <f t="shared" si="53"/>
        <v>153.68126268983059</v>
      </c>
      <c r="S92" s="1">
        <f t="shared" si="54"/>
        <v>99.604165693108996</v>
      </c>
      <c r="T92" s="1">
        <f t="shared" si="55"/>
        <v>235.37347697934942</v>
      </c>
      <c r="U92" s="1" t="str">
        <f t="shared" si="56"/>
        <v>sell to the Grid</v>
      </c>
      <c r="W92" s="1">
        <f>(Q92*E92)/1000</f>
        <v>0.15368508</v>
      </c>
      <c r="Y92" s="1">
        <f t="shared" si="40"/>
        <v>0.14486588372093023</v>
      </c>
      <c r="AA92" s="1">
        <f t="shared" si="44"/>
        <v>13.959239711439913</v>
      </c>
      <c r="AD92" s="1">
        <f t="shared" si="45"/>
        <v>0.25</v>
      </c>
      <c r="AF92" s="1">
        <f t="shared" si="46"/>
        <v>282.44817237521931</v>
      </c>
      <c r="AH92" s="1">
        <f t="shared" si="49"/>
        <v>0</v>
      </c>
    </row>
    <row r="93" spans="1:34" ht="15">
      <c r="A93" s="1">
        <v>92</v>
      </c>
      <c r="B93" s="1">
        <f t="shared" si="50"/>
        <v>0</v>
      </c>
      <c r="C93" s="1">
        <f t="shared" si="41"/>
        <v>0</v>
      </c>
      <c r="D93" s="1">
        <f t="shared" si="47"/>
        <v>13.19217674418605</v>
      </c>
      <c r="E93">
        <v>363.15</v>
      </c>
      <c r="K93" s="1">
        <f>'Solar Availability and Gener GR'!F93</f>
        <v>0.14399999999999999</v>
      </c>
      <c r="L93" s="1">
        <v>0.65627906976744199</v>
      </c>
      <c r="M93" s="1">
        <f t="shared" si="42"/>
        <v>-0.51227906976744197</v>
      </c>
      <c r="N93" s="1" t="str">
        <f t="shared" si="43"/>
        <v>Buy from Grid</v>
      </c>
      <c r="V93" s="1" t="str">
        <f t="shared" ref="V93:V105" si="57">IF(D93+M93&gt;0,"discharge","buy from the Grid")</f>
        <v>discharge</v>
      </c>
      <c r="Y93" s="1">
        <f t="shared" si="40"/>
        <v>0.23832774418604655</v>
      </c>
      <c r="AA93" s="1">
        <f t="shared" si="44"/>
        <v>13.446960641672472</v>
      </c>
      <c r="AD93" s="1">
        <f t="shared" si="45"/>
        <v>0</v>
      </c>
      <c r="AF93" s="1">
        <f t="shared" si="46"/>
        <v>0</v>
      </c>
      <c r="AH93" s="1">
        <f t="shared" si="49"/>
        <v>0</v>
      </c>
    </row>
    <row r="94" spans="1:34" ht="15">
      <c r="A94" s="1">
        <v>93</v>
      </c>
      <c r="B94" s="1">
        <f t="shared" si="50"/>
        <v>0</v>
      </c>
      <c r="C94" s="1">
        <f t="shared" si="41"/>
        <v>-0.65505506976744199</v>
      </c>
      <c r="D94" s="1">
        <f t="shared" si="47"/>
        <v>12.373357906976747</v>
      </c>
      <c r="E94">
        <v>363.15</v>
      </c>
      <c r="K94" s="1">
        <f>'Solar Availability and Gener GR'!F94</f>
        <v>1.224E-3</v>
      </c>
      <c r="L94" s="1">
        <v>0.65627906976744199</v>
      </c>
      <c r="M94" s="1">
        <f t="shared" si="42"/>
        <v>-0.65505506976744199</v>
      </c>
      <c r="N94" s="1" t="str">
        <f t="shared" si="43"/>
        <v>Buy from Grid</v>
      </c>
      <c r="V94" s="1" t="str">
        <f t="shared" si="57"/>
        <v>discharge</v>
      </c>
      <c r="Y94" s="1">
        <f t="shared" si="40"/>
        <v>0.23832774418604655</v>
      </c>
      <c r="AA94" s="1">
        <f t="shared" si="44"/>
        <v>12.79190557190503</v>
      </c>
      <c r="AD94" s="1">
        <f t="shared" si="45"/>
        <v>0</v>
      </c>
      <c r="AF94" s="1">
        <f t="shared" si="46"/>
        <v>0</v>
      </c>
      <c r="AH94" s="1">
        <f t="shared" si="49"/>
        <v>0</v>
      </c>
    </row>
    <row r="95" spans="1:34" ht="15">
      <c r="A95" s="1">
        <v>94</v>
      </c>
      <c r="B95" s="1">
        <f t="shared" si="50"/>
        <v>0</v>
      </c>
      <c r="C95" s="1">
        <f t="shared" si="41"/>
        <v>-0.39891472868217059</v>
      </c>
      <c r="D95" s="1">
        <f t="shared" si="47"/>
        <v>11.874714496124033</v>
      </c>
      <c r="E95">
        <v>363.15</v>
      </c>
      <c r="K95" s="1">
        <f>'Solar Availability and Gener GR'!F95</f>
        <v>0</v>
      </c>
      <c r="L95" s="1">
        <v>0.39891472868217059</v>
      </c>
      <c r="M95" s="1">
        <f t="shared" si="42"/>
        <v>-0.39891472868217059</v>
      </c>
      <c r="N95" s="1" t="str">
        <f t="shared" si="43"/>
        <v>Buy from Grid</v>
      </c>
      <c r="V95" s="1" t="str">
        <f t="shared" si="57"/>
        <v>discharge</v>
      </c>
      <c r="Y95" s="1">
        <f t="shared" si="40"/>
        <v>0.14486588372093023</v>
      </c>
      <c r="AA95" s="1">
        <f t="shared" si="44"/>
        <v>12.39299084322286</v>
      </c>
      <c r="AD95" s="1">
        <f t="shared" si="45"/>
        <v>0</v>
      </c>
      <c r="AF95" s="1">
        <f t="shared" si="46"/>
        <v>0</v>
      </c>
      <c r="AH95" s="1">
        <f t="shared" si="49"/>
        <v>0</v>
      </c>
    </row>
    <row r="96" spans="1:34" ht="15">
      <c r="A96" s="1">
        <v>95</v>
      </c>
      <c r="B96" s="1">
        <f t="shared" si="50"/>
        <v>0</v>
      </c>
      <c r="C96" s="1">
        <f t="shared" si="41"/>
        <v>-0.39891472868217059</v>
      </c>
      <c r="D96" s="1">
        <f t="shared" si="47"/>
        <v>11.37607108527132</v>
      </c>
      <c r="E96">
        <v>363.15</v>
      </c>
      <c r="K96" s="1">
        <f>'Solar Availability and Gener GR'!F96</f>
        <v>0</v>
      </c>
      <c r="L96" s="1">
        <v>0.39891472868217059</v>
      </c>
      <c r="M96" s="1">
        <f t="shared" si="42"/>
        <v>-0.39891472868217059</v>
      </c>
      <c r="N96" s="1" t="str">
        <f t="shared" si="43"/>
        <v>Buy from Grid</v>
      </c>
      <c r="V96" s="1" t="str">
        <f t="shared" si="57"/>
        <v>discharge</v>
      </c>
      <c r="Y96" s="1">
        <f t="shared" si="40"/>
        <v>0.14486588372093023</v>
      </c>
      <c r="AA96" s="1">
        <f t="shared" si="44"/>
        <v>11.99407611454069</v>
      </c>
      <c r="AD96" s="1">
        <f t="shared" si="45"/>
        <v>0</v>
      </c>
      <c r="AF96" s="1">
        <f t="shared" si="46"/>
        <v>0</v>
      </c>
      <c r="AH96" s="1">
        <f t="shared" si="49"/>
        <v>0</v>
      </c>
    </row>
    <row r="97" spans="1:34" ht="15">
      <c r="A97" s="1">
        <v>96</v>
      </c>
      <c r="B97" s="1">
        <f t="shared" si="50"/>
        <v>0</v>
      </c>
      <c r="C97" s="1">
        <f t="shared" si="41"/>
        <v>-0.39891472868217059</v>
      </c>
      <c r="D97" s="1">
        <f t="shared" si="47"/>
        <v>10.877427674418607</v>
      </c>
      <c r="E97">
        <v>363.15</v>
      </c>
      <c r="K97" s="1">
        <f>'Solar Availability and Gener GR'!F97</f>
        <v>0</v>
      </c>
      <c r="L97" s="1">
        <v>0.39891472868217059</v>
      </c>
      <c r="M97" s="1">
        <f t="shared" si="42"/>
        <v>-0.39891472868217059</v>
      </c>
      <c r="N97" s="1" t="str">
        <f t="shared" si="43"/>
        <v>Buy from Grid</v>
      </c>
      <c r="V97" s="1" t="str">
        <f t="shared" si="57"/>
        <v>discharge</v>
      </c>
      <c r="Y97" s="1">
        <f t="shared" si="40"/>
        <v>0.14486588372093023</v>
      </c>
      <c r="AA97" s="1">
        <f t="shared" si="44"/>
        <v>11.595161385858519</v>
      </c>
      <c r="AD97" s="1">
        <f t="shared" si="45"/>
        <v>0</v>
      </c>
      <c r="AF97" s="1">
        <f t="shared" si="46"/>
        <v>0</v>
      </c>
      <c r="AH97" s="1">
        <f t="shared" si="49"/>
        <v>0</v>
      </c>
    </row>
    <row r="98" spans="1:34" ht="15">
      <c r="A98" s="1">
        <v>97</v>
      </c>
      <c r="B98" s="1">
        <f t="shared" si="50"/>
        <v>0</v>
      </c>
      <c r="C98" s="1">
        <f t="shared" si="41"/>
        <v>-0.30883720930232561</v>
      </c>
      <c r="D98" s="1">
        <f t="shared" si="47"/>
        <v>10.491381162790701</v>
      </c>
      <c r="E98">
        <v>363.15</v>
      </c>
      <c r="K98" s="1">
        <f>'Solar Availability and Gener GR'!F98</f>
        <v>0</v>
      </c>
      <c r="L98" s="1">
        <v>0.30883720930232561</v>
      </c>
      <c r="M98" s="1">
        <f t="shared" si="42"/>
        <v>-0.30883720930232561</v>
      </c>
      <c r="N98" s="1" t="str">
        <f t="shared" si="43"/>
        <v>Buy from Grid</v>
      </c>
      <c r="V98" s="1" t="str">
        <f t="shared" si="57"/>
        <v>discharge</v>
      </c>
      <c r="Y98" s="1">
        <f t="shared" si="40"/>
        <v>0.11215423255813954</v>
      </c>
      <c r="AA98" s="1">
        <f t="shared" si="44"/>
        <v>11.286324176556194</v>
      </c>
      <c r="AD98" s="1">
        <f t="shared" si="45"/>
        <v>0</v>
      </c>
      <c r="AF98" s="1">
        <f t="shared" si="46"/>
        <v>0</v>
      </c>
      <c r="AH98" s="1">
        <f t="shared" si="49"/>
        <v>0</v>
      </c>
    </row>
    <row r="99" spans="1:34" ht="15">
      <c r="A99" s="1">
        <v>98</v>
      </c>
      <c r="B99" s="1">
        <f t="shared" si="50"/>
        <v>0</v>
      </c>
      <c r="C99" s="1">
        <f t="shared" si="41"/>
        <v>-0.29596899224806206</v>
      </c>
      <c r="D99" s="1">
        <f t="shared" si="47"/>
        <v>10.121419922480623</v>
      </c>
      <c r="E99">
        <v>363.15</v>
      </c>
      <c r="K99" s="1">
        <f>'Solar Availability and Gener GR'!F99</f>
        <v>0</v>
      </c>
      <c r="L99" s="1">
        <v>0.29596899224806206</v>
      </c>
      <c r="M99" s="1">
        <f t="shared" si="42"/>
        <v>-0.29596899224806206</v>
      </c>
      <c r="N99" s="1" t="str">
        <f t="shared" si="43"/>
        <v>Buy from Grid</v>
      </c>
      <c r="V99" s="1" t="str">
        <f t="shared" si="57"/>
        <v>discharge</v>
      </c>
      <c r="Y99" s="1">
        <f t="shared" si="40"/>
        <v>0.10748113953488372</v>
      </c>
      <c r="AA99" s="1">
        <f t="shared" si="44"/>
        <v>10.990355184308132</v>
      </c>
      <c r="AD99" s="1">
        <f t="shared" si="45"/>
        <v>0</v>
      </c>
      <c r="AF99" s="1">
        <f t="shared" si="46"/>
        <v>0</v>
      </c>
      <c r="AH99" s="1">
        <f t="shared" si="49"/>
        <v>0</v>
      </c>
    </row>
    <row r="100" spans="1:34" ht="15">
      <c r="A100" s="1">
        <v>99</v>
      </c>
      <c r="B100" s="1">
        <f t="shared" si="50"/>
        <v>0</v>
      </c>
      <c r="C100" s="1">
        <f t="shared" si="41"/>
        <v>-0.29596899224806206</v>
      </c>
      <c r="D100" s="1">
        <f t="shared" si="47"/>
        <v>9.7514586821705453</v>
      </c>
      <c r="E100">
        <v>363.15</v>
      </c>
      <c r="K100" s="1">
        <f>'Solar Availability and Gener GR'!F100</f>
        <v>0</v>
      </c>
      <c r="L100" s="1">
        <v>0.29596899224806206</v>
      </c>
      <c r="M100" s="1">
        <f t="shared" si="42"/>
        <v>-0.29596899224806206</v>
      </c>
      <c r="N100" s="1" t="str">
        <f t="shared" si="43"/>
        <v>Buy from Grid</v>
      </c>
      <c r="V100" s="1" t="str">
        <f t="shared" si="57"/>
        <v>discharge</v>
      </c>
      <c r="Y100" s="1">
        <f t="shared" si="40"/>
        <v>0.10748113953488372</v>
      </c>
      <c r="AA100" s="1">
        <f t="shared" si="44"/>
        <v>10.694386192060071</v>
      </c>
      <c r="AD100" s="1">
        <f t="shared" si="45"/>
        <v>0</v>
      </c>
      <c r="AF100" s="1">
        <f t="shared" si="46"/>
        <v>0</v>
      </c>
      <c r="AH100" s="1">
        <f t="shared" si="49"/>
        <v>0</v>
      </c>
    </row>
    <row r="101" spans="1:34" ht="15">
      <c r="A101" s="1">
        <v>100</v>
      </c>
      <c r="B101" s="1">
        <f t="shared" si="50"/>
        <v>0</v>
      </c>
      <c r="C101" s="1">
        <f t="shared" si="41"/>
        <v>-0.29596899224806206</v>
      </c>
      <c r="D101" s="1">
        <f t="shared" si="47"/>
        <v>9.3814974418604677</v>
      </c>
      <c r="E101">
        <v>363.15</v>
      </c>
      <c r="K101" s="1">
        <f>'Solar Availability and Gener GR'!F101</f>
        <v>0</v>
      </c>
      <c r="L101" s="1">
        <v>0.29596899224806206</v>
      </c>
      <c r="M101" s="1">
        <f t="shared" si="42"/>
        <v>-0.29596899224806206</v>
      </c>
      <c r="N101" s="1" t="str">
        <f t="shared" si="43"/>
        <v>Buy from Grid</v>
      </c>
      <c r="V101" s="1" t="str">
        <f t="shared" si="57"/>
        <v>discharge</v>
      </c>
      <c r="Y101" s="1">
        <f t="shared" si="40"/>
        <v>0.10748113953488372</v>
      </c>
      <c r="AA101" s="1">
        <f t="shared" si="44"/>
        <v>10.398417199812009</v>
      </c>
      <c r="AD101" s="1">
        <f t="shared" si="45"/>
        <v>0</v>
      </c>
      <c r="AF101" s="1">
        <f t="shared" si="46"/>
        <v>0</v>
      </c>
      <c r="AH101" s="1">
        <f t="shared" si="49"/>
        <v>0</v>
      </c>
    </row>
    <row r="102" spans="1:34" ht="15">
      <c r="A102" s="1">
        <v>101</v>
      </c>
      <c r="B102" s="1">
        <f t="shared" si="50"/>
        <v>0</v>
      </c>
      <c r="C102" s="1">
        <f t="shared" si="41"/>
        <v>-0.29596899224806206</v>
      </c>
      <c r="D102" s="1">
        <f t="shared" si="47"/>
        <v>9.0115362015503901</v>
      </c>
      <c r="E102">
        <v>363.15</v>
      </c>
      <c r="K102" s="1">
        <f>'Solar Availability and Gener GR'!F102</f>
        <v>0</v>
      </c>
      <c r="L102" s="1">
        <v>0.29596899224806206</v>
      </c>
      <c r="M102" s="1">
        <f t="shared" si="42"/>
        <v>-0.29596899224806206</v>
      </c>
      <c r="N102" s="1" t="str">
        <f t="shared" si="43"/>
        <v>Buy from Grid</v>
      </c>
      <c r="V102" s="1" t="str">
        <f t="shared" si="57"/>
        <v>discharge</v>
      </c>
      <c r="Y102" s="1">
        <f t="shared" si="40"/>
        <v>0.10748113953488372</v>
      </c>
      <c r="AA102" s="1">
        <f t="shared" si="44"/>
        <v>10.102448207563947</v>
      </c>
      <c r="AD102" s="1">
        <f t="shared" si="45"/>
        <v>0</v>
      </c>
      <c r="AF102" s="1">
        <f t="shared" si="46"/>
        <v>0</v>
      </c>
      <c r="AH102" s="1">
        <f t="shared" si="49"/>
        <v>0</v>
      </c>
    </row>
    <row r="103" spans="1:34" ht="15">
      <c r="A103" s="1">
        <v>102</v>
      </c>
      <c r="B103" s="1">
        <f t="shared" si="50"/>
        <v>0</v>
      </c>
      <c r="C103" s="1">
        <f t="shared" si="41"/>
        <v>-0.39891472868217059</v>
      </c>
      <c r="D103" s="1">
        <f t="shared" si="47"/>
        <v>8.512892790697677</v>
      </c>
      <c r="E103">
        <v>363.15</v>
      </c>
      <c r="K103" s="1">
        <f>'Solar Availability and Gener GR'!F103</f>
        <v>0</v>
      </c>
      <c r="L103" s="1">
        <v>0.39891472868217059</v>
      </c>
      <c r="M103" s="1">
        <f t="shared" si="42"/>
        <v>-0.39891472868217059</v>
      </c>
      <c r="N103" s="1" t="str">
        <f t="shared" si="43"/>
        <v>Buy from Grid</v>
      </c>
      <c r="V103" s="1" t="str">
        <f t="shared" si="57"/>
        <v>discharge</v>
      </c>
      <c r="Y103" s="1">
        <f t="shared" si="40"/>
        <v>0.14486588372093023</v>
      </c>
      <c r="AA103" s="1">
        <f t="shared" si="44"/>
        <v>9.7035334788817771</v>
      </c>
      <c r="AD103" s="1">
        <f t="shared" si="45"/>
        <v>0</v>
      </c>
      <c r="AF103" s="1">
        <f t="shared" si="46"/>
        <v>0</v>
      </c>
      <c r="AH103" s="1">
        <f t="shared" si="49"/>
        <v>0</v>
      </c>
    </row>
    <row r="104" spans="1:34" ht="15">
      <c r="A104" s="1">
        <v>103</v>
      </c>
      <c r="B104" s="1">
        <f t="shared" si="50"/>
        <v>0</v>
      </c>
      <c r="C104" s="1">
        <f t="shared" si="41"/>
        <v>-0.61514728682170539</v>
      </c>
      <c r="D104" s="1">
        <f t="shared" si="47"/>
        <v>7.7439586821705451</v>
      </c>
      <c r="E104">
        <v>363.15</v>
      </c>
      <c r="K104" s="1">
        <f>'Solar Availability and Gener GR'!F104</f>
        <v>5.3999999999999999E-2</v>
      </c>
      <c r="L104" s="1">
        <v>0.66914728682170543</v>
      </c>
      <c r="M104" s="1">
        <f t="shared" si="42"/>
        <v>-0.61514728682170539</v>
      </c>
      <c r="N104" s="1" t="str">
        <f t="shared" si="43"/>
        <v>Buy from Grid</v>
      </c>
      <c r="V104" s="1" t="str">
        <f t="shared" si="57"/>
        <v>discharge</v>
      </c>
      <c r="Y104" s="1">
        <f t="shared" si="40"/>
        <v>0.24300083720930232</v>
      </c>
      <c r="AA104" s="1">
        <f t="shared" si="44"/>
        <v>9.0883861920600708</v>
      </c>
      <c r="AD104" s="1">
        <f t="shared" si="45"/>
        <v>0</v>
      </c>
      <c r="AF104" s="1">
        <f t="shared" si="46"/>
        <v>0</v>
      </c>
      <c r="AH104" s="1">
        <f t="shared" si="49"/>
        <v>0</v>
      </c>
    </row>
    <row r="105" spans="1:34" ht="15">
      <c r="A105" s="1">
        <v>104</v>
      </c>
      <c r="B105" s="1">
        <f t="shared" si="50"/>
        <v>0</v>
      </c>
      <c r="C105" s="1">
        <f t="shared" si="41"/>
        <v>-0.33794728682170549</v>
      </c>
      <c r="D105" s="1">
        <f t="shared" si="47"/>
        <v>7.3215245736434129</v>
      </c>
      <c r="E105">
        <v>363.15</v>
      </c>
      <c r="K105" s="1">
        <f>'Solar Availability and Gener GR'!F105</f>
        <v>0.33119999999999994</v>
      </c>
      <c r="L105" s="1">
        <v>0.66914728682170543</v>
      </c>
      <c r="M105" s="1">
        <f t="shared" si="42"/>
        <v>-0.33794728682170549</v>
      </c>
      <c r="N105" s="1" t="str">
        <f t="shared" si="43"/>
        <v>Buy from Grid</v>
      </c>
      <c r="V105" s="1" t="str">
        <f t="shared" si="57"/>
        <v>discharge</v>
      </c>
      <c r="Y105" s="1">
        <f t="shared" si="40"/>
        <v>0.24300083720930232</v>
      </c>
      <c r="AA105" s="1">
        <f t="shared" si="44"/>
        <v>8.7504389052383651</v>
      </c>
      <c r="AD105" s="1">
        <f t="shared" si="45"/>
        <v>0</v>
      </c>
      <c r="AF105" s="1">
        <f t="shared" si="46"/>
        <v>0</v>
      </c>
      <c r="AH105" s="1">
        <f t="shared" si="49"/>
        <v>0</v>
      </c>
    </row>
    <row r="106" spans="1:34" ht="15">
      <c r="A106" s="1">
        <v>105</v>
      </c>
      <c r="B106" s="1">
        <f t="shared" si="50"/>
        <v>0</v>
      </c>
      <c r="C106" s="1">
        <f t="shared" si="41"/>
        <v>7.2452713178294603E-2</v>
      </c>
      <c r="D106" s="1">
        <f t="shared" si="47"/>
        <v>7.4120904651162816</v>
      </c>
      <c r="E106">
        <v>363.15</v>
      </c>
      <c r="K106" s="1">
        <f>'Solar Availability and Gener GR'!F106</f>
        <v>0.74160000000000004</v>
      </c>
      <c r="L106" s="1">
        <v>0.66914728682170543</v>
      </c>
      <c r="M106" s="1">
        <f t="shared" si="42"/>
        <v>7.2452713178294603E-2</v>
      </c>
      <c r="N106" s="1" t="str">
        <f t="shared" si="43"/>
        <v>sell the surplus or charge</v>
      </c>
      <c r="O106" s="1">
        <v>0.25</v>
      </c>
      <c r="P106" s="1">
        <f t="shared" ref="P106:P116" si="58">0.25/L106</f>
        <v>0.3736098239110287</v>
      </c>
      <c r="Q106" s="1">
        <f t="shared" ref="Q106:Q116" si="59">K106-P106*L106</f>
        <v>0.49160000000000004</v>
      </c>
      <c r="R106" s="1">
        <f t="shared" ref="R106:R116" si="60">((1/(E106+0.01))*LN(0.25))+(E106*(K106-0.25))</f>
        <v>178.52072268983059</v>
      </c>
      <c r="S106" s="1">
        <f t="shared" ref="S106:S116" si="61">((1/(E106+0.01))*LN(L106))+(E106*(K106-L106))</f>
        <v>26.310096526011563</v>
      </c>
      <c r="T106" s="1">
        <f t="shared" ref="T106:T116" si="62">(S106+((S106^2)-4*(K106-L106*P106)*LN(L106*P106))^(0.5))/(2*(K106-L106*P106))</f>
        <v>53.571956399083881</v>
      </c>
      <c r="U106" s="1" t="str">
        <f t="shared" ref="U106:U116" si="63">IF(E106&gt;=T106*1.2,"sell to the Grid","charge")</f>
        <v>sell to the Grid</v>
      </c>
      <c r="W106" s="1">
        <f>(Q106*E106)/1000</f>
        <v>0.17852454000000001</v>
      </c>
      <c r="Y106" s="1">
        <f t="shared" si="40"/>
        <v>0.24300083720930232</v>
      </c>
      <c r="AA106" s="1">
        <f t="shared" si="44"/>
        <v>8.8228916184166604</v>
      </c>
      <c r="AD106" s="1">
        <f t="shared" si="45"/>
        <v>0.25</v>
      </c>
      <c r="AF106" s="1">
        <f t="shared" si="46"/>
        <v>64.286347678900654</v>
      </c>
      <c r="AG106" s="1">
        <f>E106</f>
        <v>363.15</v>
      </c>
      <c r="AH106" s="1">
        <f t="shared" si="49"/>
        <v>178.52454</v>
      </c>
    </row>
    <row r="107" spans="1:34" ht="15">
      <c r="A107" s="1">
        <v>106</v>
      </c>
      <c r="B107" s="1">
        <f t="shared" si="50"/>
        <v>1.0676000000000001</v>
      </c>
      <c r="C107" s="1">
        <f t="shared" si="41"/>
        <v>0</v>
      </c>
      <c r="D107" s="1">
        <f t="shared" si="47"/>
        <v>8.2661704651162822</v>
      </c>
      <c r="E107">
        <v>363.15</v>
      </c>
      <c r="K107" s="1">
        <f>'Solar Availability and Gener GR'!F107</f>
        <v>1.3176000000000001</v>
      </c>
      <c r="L107" s="1">
        <v>0.39891472868217059</v>
      </c>
      <c r="M107" s="1">
        <f t="shared" si="42"/>
        <v>0.91868527131782951</v>
      </c>
      <c r="N107" s="1" t="str">
        <f t="shared" si="43"/>
        <v>sell the surplus or charge</v>
      </c>
      <c r="O107" s="1">
        <v>0.25</v>
      </c>
      <c r="P107" s="1">
        <f t="shared" si="58"/>
        <v>0.62670034978624167</v>
      </c>
      <c r="Q107" s="1">
        <f t="shared" si="59"/>
        <v>1.0676000000000001</v>
      </c>
      <c r="R107" s="1">
        <f t="shared" si="60"/>
        <v>387.69512268983061</v>
      </c>
      <c r="S107" s="1">
        <f t="shared" si="61"/>
        <v>333.61802569310902</v>
      </c>
      <c r="T107" s="1">
        <f t="shared" si="62"/>
        <v>312.49762258225348</v>
      </c>
      <c r="U107" s="1" t="str">
        <f t="shared" si="63"/>
        <v>charge</v>
      </c>
      <c r="Y107" s="1">
        <f t="shared" si="40"/>
        <v>0.14486588372093023</v>
      </c>
      <c r="AA107" s="1">
        <f t="shared" si="44"/>
        <v>9.741576889734489</v>
      </c>
      <c r="AD107" s="1">
        <f t="shared" si="45"/>
        <v>0.25</v>
      </c>
      <c r="AF107" s="1">
        <f t="shared" si="46"/>
        <v>374.99714709870415</v>
      </c>
      <c r="AH107" s="1">
        <f t="shared" si="49"/>
        <v>0</v>
      </c>
    </row>
    <row r="108" spans="1:34" ht="15">
      <c r="A108" s="1">
        <v>107</v>
      </c>
      <c r="B108" s="1">
        <f t="shared" si="50"/>
        <v>1.9100000000000001</v>
      </c>
      <c r="C108" s="1">
        <f t="shared" si="41"/>
        <v>0</v>
      </c>
      <c r="D108" s="1">
        <f t="shared" si="47"/>
        <v>9.7941704651162826</v>
      </c>
      <c r="E108">
        <v>363.15</v>
      </c>
      <c r="K108" s="1">
        <f>'Solar Availability and Gener GR'!F108</f>
        <v>2.16</v>
      </c>
      <c r="L108" s="1">
        <v>0.39891472868217059</v>
      </c>
      <c r="M108" s="1">
        <f t="shared" si="42"/>
        <v>1.7610852713178295</v>
      </c>
      <c r="N108" s="1" t="str">
        <f t="shared" si="43"/>
        <v>sell the surplus or charge</v>
      </c>
      <c r="O108" s="1">
        <v>0.25</v>
      </c>
      <c r="P108" s="1">
        <f t="shared" si="58"/>
        <v>0.62670034978624167</v>
      </c>
      <c r="Q108" s="1">
        <f t="shared" si="59"/>
        <v>1.9100000000000001</v>
      </c>
      <c r="R108" s="1">
        <f t="shared" si="60"/>
        <v>693.61268268983054</v>
      </c>
      <c r="S108" s="1">
        <f t="shared" si="61"/>
        <v>639.53558569310894</v>
      </c>
      <c r="T108" s="1">
        <f t="shared" si="62"/>
        <v>334.83755282349983</v>
      </c>
      <c r="U108" s="1" t="str">
        <f t="shared" si="63"/>
        <v>charge</v>
      </c>
      <c r="Y108" s="1">
        <f t="shared" si="40"/>
        <v>0.14486588372093023</v>
      </c>
      <c r="AA108" s="1">
        <f t="shared" si="44"/>
        <v>11.502662161052319</v>
      </c>
      <c r="AD108" s="1">
        <f t="shared" si="45"/>
        <v>0.25</v>
      </c>
      <c r="AF108" s="1">
        <f t="shared" si="46"/>
        <v>401.80506338819981</v>
      </c>
      <c r="AH108" s="1">
        <f t="shared" si="49"/>
        <v>0</v>
      </c>
    </row>
    <row r="109" spans="1:34" ht="15">
      <c r="A109" s="1">
        <v>108</v>
      </c>
      <c r="B109" s="1">
        <f t="shared" si="50"/>
        <v>2.4068000000000001</v>
      </c>
      <c r="C109" s="1">
        <f t="shared" si="41"/>
        <v>0</v>
      </c>
      <c r="D109" s="1">
        <f t="shared" si="47"/>
        <v>11.719610465116283</v>
      </c>
      <c r="E109">
        <v>363.15</v>
      </c>
      <c r="K109" s="1">
        <f>'Solar Availability and Gener GR'!F109</f>
        <v>2.6568000000000001</v>
      </c>
      <c r="L109" s="1">
        <v>0.39891472868217059</v>
      </c>
      <c r="M109" s="1">
        <f t="shared" si="42"/>
        <v>2.2578852713178295</v>
      </c>
      <c r="N109" s="1" t="str">
        <f t="shared" si="43"/>
        <v>sell the surplus or charge</v>
      </c>
      <c r="O109" s="1">
        <v>0.25</v>
      </c>
      <c r="P109" s="1">
        <f t="shared" si="58"/>
        <v>0.62670034978624167</v>
      </c>
      <c r="Q109" s="1">
        <f t="shared" si="59"/>
        <v>2.4068000000000001</v>
      </c>
      <c r="R109" s="1">
        <f t="shared" si="60"/>
        <v>874.02560268983052</v>
      </c>
      <c r="S109" s="1">
        <f t="shared" si="61"/>
        <v>819.94850569310893</v>
      </c>
      <c r="T109" s="1">
        <f t="shared" si="62"/>
        <v>340.68164154539727</v>
      </c>
      <c r="U109" s="1" t="str">
        <f t="shared" si="63"/>
        <v>charge</v>
      </c>
      <c r="Y109" s="1">
        <f t="shared" si="40"/>
        <v>0.14486588372093023</v>
      </c>
      <c r="AA109" s="1">
        <f t="shared" si="44"/>
        <v>13.760547432370149</v>
      </c>
      <c r="AD109" s="1">
        <f t="shared" si="45"/>
        <v>0.25</v>
      </c>
      <c r="AF109" s="1">
        <f t="shared" si="46"/>
        <v>408.8179698544767</v>
      </c>
      <c r="AH109" s="1">
        <f t="shared" si="49"/>
        <v>0</v>
      </c>
    </row>
    <row r="110" spans="1:34" ht="15">
      <c r="A110" s="1">
        <v>109</v>
      </c>
      <c r="B110" s="1">
        <f t="shared" si="50"/>
        <v>2.6732000000000005</v>
      </c>
      <c r="C110" s="1">
        <f t="shared" si="41"/>
        <v>0</v>
      </c>
      <c r="D110" s="1">
        <f t="shared" si="47"/>
        <v>13.858170465116283</v>
      </c>
      <c r="E110">
        <v>363.15</v>
      </c>
      <c r="K110" s="1">
        <f>'Solar Availability and Gener GR'!F110</f>
        <v>2.9232000000000005</v>
      </c>
      <c r="L110" s="1">
        <v>0.39891472868217059</v>
      </c>
      <c r="M110" s="1">
        <f t="shared" si="42"/>
        <v>2.5242852713178299</v>
      </c>
      <c r="N110" s="1" t="str">
        <f t="shared" si="43"/>
        <v>sell the surplus or charge</v>
      </c>
      <c r="O110" s="1">
        <v>0.25</v>
      </c>
      <c r="P110" s="1">
        <f t="shared" si="58"/>
        <v>0.62670034978624167</v>
      </c>
      <c r="Q110" s="1">
        <f t="shared" si="59"/>
        <v>2.6732000000000005</v>
      </c>
      <c r="R110" s="1">
        <f t="shared" si="60"/>
        <v>970.76876268983062</v>
      </c>
      <c r="S110" s="1">
        <f t="shared" si="61"/>
        <v>916.69166569310903</v>
      </c>
      <c r="T110" s="1">
        <f t="shared" si="62"/>
        <v>342.92073481290328</v>
      </c>
      <c r="U110" s="1" t="str">
        <f t="shared" si="63"/>
        <v>charge</v>
      </c>
      <c r="Y110" s="1">
        <f t="shared" si="40"/>
        <v>0.14486588372093023</v>
      </c>
      <c r="AA110" s="1">
        <f t="shared" si="44"/>
        <v>16.284832703687979</v>
      </c>
      <c r="AD110" s="1">
        <f t="shared" si="45"/>
        <v>0.25</v>
      </c>
      <c r="AF110" s="1">
        <f t="shared" si="46"/>
        <v>411.50488177548391</v>
      </c>
      <c r="AH110" s="1">
        <f t="shared" si="49"/>
        <v>0</v>
      </c>
    </row>
    <row r="111" spans="1:34" ht="15">
      <c r="A111" s="1">
        <v>110</v>
      </c>
      <c r="B111" s="1">
        <f t="shared" si="50"/>
        <v>2.7307999999999995</v>
      </c>
      <c r="C111" s="1">
        <f t="shared" si="41"/>
        <v>0</v>
      </c>
      <c r="D111" s="1">
        <f t="shared" si="47"/>
        <v>16.042810465116283</v>
      </c>
      <c r="E111">
        <v>363.15</v>
      </c>
      <c r="K111" s="1">
        <f>'Solar Availability and Gener GR'!F111</f>
        <v>2.9807999999999995</v>
      </c>
      <c r="L111" s="1">
        <v>0.39891472868217059</v>
      </c>
      <c r="M111" s="1">
        <f t="shared" si="42"/>
        <v>2.5818852713178289</v>
      </c>
      <c r="N111" s="1" t="str">
        <f t="shared" si="43"/>
        <v>sell the surplus or charge</v>
      </c>
      <c r="O111" s="1">
        <v>0.25</v>
      </c>
      <c r="P111" s="1">
        <f t="shared" si="58"/>
        <v>0.62670034978624167</v>
      </c>
      <c r="Q111" s="1">
        <f t="shared" si="59"/>
        <v>2.7307999999999995</v>
      </c>
      <c r="R111" s="1">
        <f t="shared" si="60"/>
        <v>991.68620268983034</v>
      </c>
      <c r="S111" s="1">
        <f t="shared" si="61"/>
        <v>937.60910569310863</v>
      </c>
      <c r="T111" s="1">
        <f t="shared" si="62"/>
        <v>343.34742320125196</v>
      </c>
      <c r="U111" s="1" t="str">
        <f t="shared" si="63"/>
        <v>charge</v>
      </c>
      <c r="Y111" s="1">
        <f t="shared" si="40"/>
        <v>0.14486588372093023</v>
      </c>
      <c r="AA111" s="1">
        <f t="shared" si="44"/>
        <v>18.866717975005809</v>
      </c>
      <c r="AD111" s="1">
        <f t="shared" si="45"/>
        <v>0.25</v>
      </c>
      <c r="AF111" s="1">
        <f t="shared" si="46"/>
        <v>412.01690784150236</v>
      </c>
      <c r="AH111" s="1">
        <f t="shared" si="49"/>
        <v>0</v>
      </c>
    </row>
    <row r="112" spans="1:34" ht="15">
      <c r="A112" s="1">
        <v>111</v>
      </c>
      <c r="B112" s="1">
        <f t="shared" si="50"/>
        <v>2.5580000000000003</v>
      </c>
      <c r="C112" s="1">
        <f t="shared" si="41"/>
        <v>0</v>
      </c>
      <c r="D112" s="1">
        <f t="shared" si="47"/>
        <v>18.089210465116281</v>
      </c>
      <c r="E112">
        <v>363.15</v>
      </c>
      <c r="K112" s="1">
        <f>'Solar Availability and Gener GR'!F112</f>
        <v>2.8080000000000003</v>
      </c>
      <c r="L112" s="1">
        <v>0.39891472868217059</v>
      </c>
      <c r="M112" s="1">
        <f t="shared" si="42"/>
        <v>2.4090852713178297</v>
      </c>
      <c r="N112" s="1" t="str">
        <f t="shared" si="43"/>
        <v>sell the surplus or charge</v>
      </c>
      <c r="O112" s="1">
        <v>0.25</v>
      </c>
      <c r="P112" s="1">
        <f t="shared" si="58"/>
        <v>0.62670034978624167</v>
      </c>
      <c r="Q112" s="1">
        <f t="shared" si="59"/>
        <v>2.5580000000000003</v>
      </c>
      <c r="R112" s="1">
        <f t="shared" si="60"/>
        <v>928.93388268983063</v>
      </c>
      <c r="S112" s="1">
        <f t="shared" si="61"/>
        <v>874.85678569310903</v>
      </c>
      <c r="T112" s="1">
        <f t="shared" si="62"/>
        <v>342.00971034804769</v>
      </c>
      <c r="U112" s="1" t="str">
        <f t="shared" si="63"/>
        <v>charge</v>
      </c>
      <c r="Y112" s="1">
        <f t="shared" si="40"/>
        <v>0.14486588372093023</v>
      </c>
      <c r="AA112" s="1">
        <f t="shared" si="44"/>
        <v>21.27580324632364</v>
      </c>
      <c r="AD112" s="1">
        <f t="shared" si="45"/>
        <v>0.25</v>
      </c>
      <c r="AF112" s="1">
        <f t="shared" si="46"/>
        <v>410.41165241765719</v>
      </c>
      <c r="AH112" s="1">
        <f t="shared" si="49"/>
        <v>0</v>
      </c>
    </row>
    <row r="113" spans="1:34" ht="15">
      <c r="A113" s="1">
        <v>112</v>
      </c>
      <c r="B113" s="1">
        <f t="shared" si="50"/>
        <v>2.27</v>
      </c>
      <c r="C113" s="1">
        <f t="shared" si="41"/>
        <v>0</v>
      </c>
      <c r="D113" s="1">
        <f t="shared" si="47"/>
        <v>19.90521046511628</v>
      </c>
      <c r="E113">
        <v>363.15</v>
      </c>
      <c r="K113" s="1">
        <f>'Solar Availability and Gener GR'!F113</f>
        <v>2.52</v>
      </c>
      <c r="L113" s="1">
        <v>0.39891472868217059</v>
      </c>
      <c r="M113" s="1">
        <f t="shared" si="42"/>
        <v>2.1210852713178294</v>
      </c>
      <c r="N113" s="1" t="str">
        <f t="shared" si="43"/>
        <v>sell the surplus or charge</v>
      </c>
      <c r="O113" s="1">
        <v>0.25</v>
      </c>
      <c r="P113" s="1">
        <f t="shared" si="58"/>
        <v>0.62670034978624167</v>
      </c>
      <c r="Q113" s="1">
        <f t="shared" si="59"/>
        <v>2.27</v>
      </c>
      <c r="R113" s="1">
        <f t="shared" si="60"/>
        <v>824.34668268983057</v>
      </c>
      <c r="S113" s="1">
        <f t="shared" si="61"/>
        <v>770.26958569310887</v>
      </c>
      <c r="T113" s="1">
        <f t="shared" si="62"/>
        <v>339.32760841800632</v>
      </c>
      <c r="U113" s="1" t="str">
        <f t="shared" si="63"/>
        <v>charge</v>
      </c>
      <c r="Y113" s="1">
        <f t="shared" si="40"/>
        <v>0.14486588372093023</v>
      </c>
      <c r="AA113" s="1">
        <f t="shared" si="44"/>
        <v>23.396888517641472</v>
      </c>
      <c r="AD113" s="1">
        <f t="shared" si="45"/>
        <v>0.25</v>
      </c>
      <c r="AF113" s="1">
        <f t="shared" si="46"/>
        <v>407.19313010160755</v>
      </c>
      <c r="AH113" s="1">
        <f t="shared" si="49"/>
        <v>0</v>
      </c>
    </row>
    <row r="114" spans="1:34" ht="15">
      <c r="A114" s="1">
        <v>113</v>
      </c>
      <c r="B114" s="1">
        <f t="shared" si="50"/>
        <v>1.8487999999999998</v>
      </c>
      <c r="C114" s="1">
        <f t="shared" si="41"/>
        <v>0</v>
      </c>
      <c r="D114" s="1">
        <f t="shared" si="47"/>
        <v>21.384250465116281</v>
      </c>
      <c r="E114">
        <v>363.15</v>
      </c>
      <c r="K114" s="1">
        <f>'Solar Availability and Gener GR'!F114</f>
        <v>2.0987999999999998</v>
      </c>
      <c r="L114" s="1">
        <v>0.39891472868217059</v>
      </c>
      <c r="M114" s="1">
        <f t="shared" si="42"/>
        <v>1.6998852713178292</v>
      </c>
      <c r="N114" s="1" t="str">
        <f t="shared" si="43"/>
        <v>sell the surplus or charge</v>
      </c>
      <c r="O114" s="1">
        <v>0.25</v>
      </c>
      <c r="P114" s="1">
        <f t="shared" si="58"/>
        <v>0.62670034978624167</v>
      </c>
      <c r="Q114" s="1">
        <f t="shared" si="59"/>
        <v>1.8487999999999998</v>
      </c>
      <c r="R114" s="1">
        <f t="shared" si="60"/>
        <v>671.38790268983041</v>
      </c>
      <c r="S114" s="1">
        <f t="shared" si="61"/>
        <v>617.31080569310882</v>
      </c>
      <c r="T114" s="1">
        <f t="shared" si="62"/>
        <v>333.90034482572594</v>
      </c>
      <c r="U114" s="1" t="str">
        <f t="shared" si="63"/>
        <v>charge</v>
      </c>
      <c r="Y114" s="1">
        <f t="shared" si="40"/>
        <v>0.14486588372093023</v>
      </c>
      <c r="AA114" s="1">
        <f t="shared" si="44"/>
        <v>25.0967737889593</v>
      </c>
      <c r="AD114" s="1">
        <f t="shared" si="45"/>
        <v>0.25</v>
      </c>
      <c r="AF114" s="1">
        <f t="shared" si="46"/>
        <v>400.68041379087111</v>
      </c>
      <c r="AH114" s="1">
        <f t="shared" si="49"/>
        <v>0</v>
      </c>
    </row>
    <row r="115" spans="1:34" ht="15">
      <c r="A115" s="1">
        <v>114</v>
      </c>
      <c r="B115" s="1">
        <f t="shared" si="50"/>
        <v>0</v>
      </c>
      <c r="C115" s="1">
        <f t="shared" si="41"/>
        <v>0</v>
      </c>
      <c r="D115" s="1">
        <f t="shared" si="47"/>
        <v>21.384250465116281</v>
      </c>
      <c r="E115">
        <v>363.15</v>
      </c>
      <c r="K115" s="1">
        <f>'Solar Availability and Gener GR'!F115</f>
        <v>1.4867999999999999</v>
      </c>
      <c r="L115" s="1">
        <v>0.66914728682170543</v>
      </c>
      <c r="M115" s="1">
        <f t="shared" si="42"/>
        <v>0.81765271317829447</v>
      </c>
      <c r="N115" s="1" t="str">
        <f t="shared" si="43"/>
        <v>sell the surplus or charge</v>
      </c>
      <c r="O115" s="1">
        <v>0.25</v>
      </c>
      <c r="P115" s="1">
        <f t="shared" si="58"/>
        <v>0.3736098239110287</v>
      </c>
      <c r="Q115" s="1">
        <f t="shared" si="59"/>
        <v>1.2367999999999999</v>
      </c>
      <c r="R115" s="1">
        <f t="shared" si="60"/>
        <v>449.14010268983054</v>
      </c>
      <c r="S115" s="1">
        <f t="shared" si="61"/>
        <v>296.92947652601146</v>
      </c>
      <c r="T115" s="1">
        <f t="shared" si="62"/>
        <v>240.08348216688108</v>
      </c>
      <c r="U115" s="1" t="str">
        <f t="shared" si="63"/>
        <v>sell to the Grid</v>
      </c>
      <c r="W115" s="1">
        <f>(Q115*E115)/1000</f>
        <v>0.44914391999999992</v>
      </c>
      <c r="Y115" s="1">
        <f t="shared" si="40"/>
        <v>0.24300083720930232</v>
      </c>
      <c r="AA115" s="1">
        <f t="shared" si="44"/>
        <v>25.914426502137594</v>
      </c>
      <c r="AD115" s="1">
        <f t="shared" si="45"/>
        <v>0.25</v>
      </c>
      <c r="AF115" s="1">
        <f t="shared" si="46"/>
        <v>288.10017860025727</v>
      </c>
      <c r="AG115" s="1">
        <f>AF114</f>
        <v>400.68041379087111</v>
      </c>
      <c r="AH115" s="1">
        <f t="shared" si="49"/>
        <v>495.56153577654936</v>
      </c>
    </row>
    <row r="116" spans="1:34" ht="15">
      <c r="A116" s="1">
        <v>115</v>
      </c>
      <c r="B116" s="1">
        <f t="shared" si="50"/>
        <v>0</v>
      </c>
      <c r="C116" s="1">
        <f t="shared" si="41"/>
        <v>0</v>
      </c>
      <c r="D116" s="1">
        <f t="shared" si="47"/>
        <v>21.384250465116281</v>
      </c>
      <c r="E116">
        <v>363.15</v>
      </c>
      <c r="K116" s="1">
        <f>'Solar Availability and Gener GR'!F116</f>
        <v>0.89279999999999993</v>
      </c>
      <c r="L116" s="1">
        <v>0.66914728682170543</v>
      </c>
      <c r="M116" s="1">
        <f t="shared" si="42"/>
        <v>0.22365271317829449</v>
      </c>
      <c r="N116" s="1" t="str">
        <f t="shared" si="43"/>
        <v>sell the surplus or charge</v>
      </c>
      <c r="O116" s="1">
        <v>0.25</v>
      </c>
      <c r="P116" s="1">
        <f t="shared" si="58"/>
        <v>0.3736098239110287</v>
      </c>
      <c r="Q116" s="1">
        <f t="shared" si="59"/>
        <v>0.64279999999999993</v>
      </c>
      <c r="R116" s="1">
        <f t="shared" si="60"/>
        <v>233.42900268983055</v>
      </c>
      <c r="S116" s="1">
        <f t="shared" si="61"/>
        <v>81.218376526011525</v>
      </c>
      <c r="T116" s="1">
        <f t="shared" si="62"/>
        <v>126.36799443445015</v>
      </c>
      <c r="U116" s="1" t="str">
        <f t="shared" si="63"/>
        <v>sell to the Grid</v>
      </c>
      <c r="W116" s="1">
        <f>(Q116*E116)/1000</f>
        <v>0.23343281999999996</v>
      </c>
      <c r="Y116" s="1">
        <f t="shared" si="40"/>
        <v>0.24300083720930232</v>
      </c>
      <c r="AA116" s="1">
        <f t="shared" si="44"/>
        <v>26.138079215315887</v>
      </c>
      <c r="AD116" s="1">
        <f t="shared" si="45"/>
        <v>0.25</v>
      </c>
      <c r="AF116" s="1">
        <f t="shared" si="46"/>
        <v>151.64159332134017</v>
      </c>
      <c r="AG116" s="1">
        <f>AF115</f>
        <v>288.10017860025727</v>
      </c>
      <c r="AH116" s="1">
        <f t="shared" si="49"/>
        <v>185.19079480424534</v>
      </c>
    </row>
    <row r="117" spans="1:34" ht="15">
      <c r="A117" s="1">
        <v>116</v>
      </c>
      <c r="B117" s="1">
        <f t="shared" si="50"/>
        <v>0</v>
      </c>
      <c r="C117" s="1">
        <f t="shared" si="41"/>
        <v>0</v>
      </c>
      <c r="D117" s="1">
        <f t="shared" si="47"/>
        <v>21.384250465116281</v>
      </c>
      <c r="E117">
        <v>363.15</v>
      </c>
      <c r="K117" s="1">
        <f>'Solar Availability and Gener GR'!F117</f>
        <v>0.31679999999999997</v>
      </c>
      <c r="L117" s="1">
        <v>0.66914728682170543</v>
      </c>
      <c r="M117" s="1">
        <f t="shared" si="42"/>
        <v>-0.35234728682170546</v>
      </c>
      <c r="N117" s="1" t="str">
        <f t="shared" si="43"/>
        <v>Buy from Grid</v>
      </c>
      <c r="V117" s="1" t="str">
        <f t="shared" ref="V117:V129" si="64">IF(D117+M117&gt;0,"discharge","buy from the Grid")</f>
        <v>discharge</v>
      </c>
      <c r="Y117" s="1">
        <f t="shared" si="40"/>
        <v>0.24300083720930232</v>
      </c>
      <c r="AA117" s="1">
        <f t="shared" si="44"/>
        <v>25.785731928494183</v>
      </c>
      <c r="AD117" s="1">
        <f t="shared" si="45"/>
        <v>0</v>
      </c>
      <c r="AF117" s="1">
        <f t="shared" si="46"/>
        <v>0</v>
      </c>
      <c r="AH117" s="1">
        <f t="shared" si="49"/>
        <v>0</v>
      </c>
    </row>
    <row r="118" spans="1:34" ht="15">
      <c r="A118" s="1">
        <v>117</v>
      </c>
      <c r="B118" s="1">
        <f t="shared" si="50"/>
        <v>0</v>
      </c>
      <c r="C118" s="1">
        <f t="shared" si="41"/>
        <v>-0.64754728682170548</v>
      </c>
      <c r="D118" s="1">
        <f t="shared" si="47"/>
        <v>20.57481635658915</v>
      </c>
      <c r="E118">
        <v>363.15</v>
      </c>
      <c r="K118" s="1">
        <f>'Solar Availability and Gener GR'!F118</f>
        <v>2.1599999999999998E-2</v>
      </c>
      <c r="L118" s="1">
        <v>0.66914728682170543</v>
      </c>
      <c r="M118" s="1">
        <f t="shared" si="42"/>
        <v>-0.64754728682170548</v>
      </c>
      <c r="N118" s="1" t="str">
        <f t="shared" si="43"/>
        <v>Buy from Grid</v>
      </c>
      <c r="V118" s="1" t="str">
        <f t="shared" si="64"/>
        <v>discharge</v>
      </c>
      <c r="Y118" s="1">
        <f t="shared" si="40"/>
        <v>0.24300083720930232</v>
      </c>
      <c r="AA118" s="1">
        <f t="shared" si="44"/>
        <v>25.138184641672478</v>
      </c>
      <c r="AD118" s="1">
        <f t="shared" si="45"/>
        <v>0</v>
      </c>
      <c r="AF118" s="1">
        <f t="shared" si="46"/>
        <v>0</v>
      </c>
      <c r="AH118" s="1">
        <f t="shared" si="49"/>
        <v>0</v>
      </c>
    </row>
    <row r="119" spans="1:34" ht="15">
      <c r="A119" s="1">
        <v>118</v>
      </c>
      <c r="B119" s="1">
        <f t="shared" si="50"/>
        <v>0</v>
      </c>
      <c r="C119" s="1">
        <f t="shared" si="41"/>
        <v>-0.39891472868217059</v>
      </c>
      <c r="D119" s="1">
        <f t="shared" si="47"/>
        <v>20.076172945736435</v>
      </c>
      <c r="E119">
        <v>363.15</v>
      </c>
      <c r="K119" s="1">
        <f>'Solar Availability and Gener GR'!F119</f>
        <v>0</v>
      </c>
      <c r="L119" s="1">
        <v>0.39891472868217059</v>
      </c>
      <c r="M119" s="1">
        <f t="shared" si="42"/>
        <v>-0.39891472868217059</v>
      </c>
      <c r="N119" s="1" t="str">
        <f t="shared" si="43"/>
        <v>Buy from Grid</v>
      </c>
      <c r="V119" s="1" t="str">
        <f t="shared" si="64"/>
        <v>discharge</v>
      </c>
      <c r="Y119" s="1">
        <f t="shared" si="40"/>
        <v>0.14486588372093023</v>
      </c>
      <c r="AA119" s="1">
        <f t="shared" si="44"/>
        <v>24.739269912990306</v>
      </c>
      <c r="AD119" s="1">
        <f t="shared" si="45"/>
        <v>0</v>
      </c>
      <c r="AF119" s="1">
        <f t="shared" si="46"/>
        <v>0</v>
      </c>
      <c r="AH119" s="1">
        <f t="shared" si="49"/>
        <v>0</v>
      </c>
    </row>
    <row r="120" spans="1:34" ht="15">
      <c r="A120" s="1">
        <v>119</v>
      </c>
      <c r="B120" s="1">
        <f t="shared" si="50"/>
        <v>0</v>
      </c>
      <c r="C120" s="1">
        <f t="shared" si="41"/>
        <v>-0.39891472868217059</v>
      </c>
      <c r="D120" s="1">
        <f t="shared" si="47"/>
        <v>19.57752953488372</v>
      </c>
      <c r="E120">
        <v>363.15</v>
      </c>
      <c r="K120" s="1">
        <f>'Solar Availability and Gener GR'!F120</f>
        <v>0</v>
      </c>
      <c r="L120" s="1">
        <v>0.39891472868217059</v>
      </c>
      <c r="M120" s="1">
        <f t="shared" si="42"/>
        <v>-0.39891472868217059</v>
      </c>
      <c r="N120" s="1" t="str">
        <f t="shared" si="43"/>
        <v>Buy from Grid</v>
      </c>
      <c r="V120" s="1" t="str">
        <f t="shared" si="64"/>
        <v>discharge</v>
      </c>
      <c r="Y120" s="1">
        <f t="shared" si="40"/>
        <v>0.14486588372093023</v>
      </c>
      <c r="AA120" s="1">
        <f t="shared" si="44"/>
        <v>24.340355184308134</v>
      </c>
      <c r="AD120" s="1">
        <f t="shared" si="45"/>
        <v>0</v>
      </c>
      <c r="AF120" s="1">
        <f t="shared" si="46"/>
        <v>0</v>
      </c>
      <c r="AH120" s="1">
        <f t="shared" si="49"/>
        <v>0</v>
      </c>
    </row>
    <row r="121" spans="1:34" ht="15">
      <c r="A121" s="1">
        <v>120</v>
      </c>
      <c r="B121" s="1">
        <f t="shared" si="50"/>
        <v>0</v>
      </c>
      <c r="C121" s="1">
        <f t="shared" si="41"/>
        <v>-0.29596899224806206</v>
      </c>
      <c r="D121" s="1">
        <f t="shared" si="47"/>
        <v>19.207568294573644</v>
      </c>
      <c r="E121">
        <v>363.15</v>
      </c>
      <c r="K121" s="1">
        <f>'Solar Availability and Gener GR'!F121</f>
        <v>0</v>
      </c>
      <c r="L121" s="1">
        <v>0.29596899224806206</v>
      </c>
      <c r="M121" s="1">
        <f t="shared" si="42"/>
        <v>-0.29596899224806206</v>
      </c>
      <c r="N121" s="1" t="str">
        <f t="shared" si="43"/>
        <v>Buy from Grid</v>
      </c>
      <c r="V121" s="1" t="str">
        <f t="shared" si="64"/>
        <v>discharge</v>
      </c>
      <c r="Y121" s="1">
        <f t="shared" si="40"/>
        <v>0.10748113953488372</v>
      </c>
      <c r="AA121" s="1">
        <f t="shared" si="44"/>
        <v>24.04438619206007</v>
      </c>
      <c r="AD121" s="1">
        <f t="shared" si="45"/>
        <v>0</v>
      </c>
      <c r="AF121" s="1">
        <f t="shared" si="46"/>
        <v>0</v>
      </c>
      <c r="AH121" s="1">
        <f t="shared" si="49"/>
        <v>0</v>
      </c>
    </row>
    <row r="122" spans="1:34" ht="15">
      <c r="A122" s="1">
        <v>121</v>
      </c>
      <c r="B122" s="1">
        <f t="shared" si="50"/>
        <v>0</v>
      </c>
      <c r="C122" s="1">
        <f t="shared" si="41"/>
        <v>-0.29596899224806206</v>
      </c>
      <c r="D122" s="1">
        <f t="shared" si="47"/>
        <v>18.837607054263568</v>
      </c>
      <c r="E122">
        <v>363.15</v>
      </c>
      <c r="K122" s="1">
        <f>'Solar Availability and Gener GR'!F122</f>
        <v>0</v>
      </c>
      <c r="L122" s="1">
        <v>0.29596899224806206</v>
      </c>
      <c r="M122" s="1">
        <f t="shared" si="42"/>
        <v>-0.29596899224806206</v>
      </c>
      <c r="N122" s="1" t="str">
        <f t="shared" si="43"/>
        <v>Buy from Grid</v>
      </c>
      <c r="V122" s="1" t="str">
        <f t="shared" si="64"/>
        <v>discharge</v>
      </c>
      <c r="Y122" s="1">
        <f t="shared" si="40"/>
        <v>0.10748113953488372</v>
      </c>
      <c r="AA122" s="1">
        <f t="shared" si="44"/>
        <v>23.748417199812007</v>
      </c>
      <c r="AD122" s="1">
        <f t="shared" si="45"/>
        <v>0</v>
      </c>
      <c r="AF122" s="1">
        <f t="shared" si="46"/>
        <v>0</v>
      </c>
      <c r="AH122" s="1">
        <f t="shared" si="49"/>
        <v>0</v>
      </c>
    </row>
    <row r="123" spans="1:34" ht="15">
      <c r="A123" s="1">
        <v>122</v>
      </c>
      <c r="B123" s="1">
        <f t="shared" si="50"/>
        <v>0</v>
      </c>
      <c r="C123" s="1">
        <f t="shared" si="41"/>
        <v>-0.30883720930232561</v>
      </c>
      <c r="D123" s="1">
        <f t="shared" si="47"/>
        <v>18.451560542635661</v>
      </c>
      <c r="E123">
        <v>363.15</v>
      </c>
      <c r="K123" s="1">
        <f>'Solar Availability and Gener GR'!F123</f>
        <v>0</v>
      </c>
      <c r="L123" s="1">
        <v>0.30883720930232561</v>
      </c>
      <c r="M123" s="1">
        <f t="shared" si="42"/>
        <v>-0.30883720930232561</v>
      </c>
      <c r="N123" s="1" t="str">
        <f t="shared" si="43"/>
        <v>Buy from Grid</v>
      </c>
      <c r="V123" s="1" t="str">
        <f t="shared" si="64"/>
        <v>discharge</v>
      </c>
      <c r="Y123" s="1">
        <f t="shared" si="40"/>
        <v>0.11215423255813954</v>
      </c>
      <c r="AA123" s="1">
        <f t="shared" si="44"/>
        <v>23.439579990509682</v>
      </c>
      <c r="AD123" s="1">
        <f t="shared" si="45"/>
        <v>0</v>
      </c>
      <c r="AF123" s="1">
        <f t="shared" si="46"/>
        <v>0</v>
      </c>
      <c r="AH123" s="1">
        <f t="shared" si="49"/>
        <v>0</v>
      </c>
    </row>
    <row r="124" spans="1:34" ht="15">
      <c r="A124" s="1">
        <v>123</v>
      </c>
      <c r="B124" s="1">
        <f t="shared" si="50"/>
        <v>0</v>
      </c>
      <c r="C124" s="1">
        <f t="shared" si="41"/>
        <v>-0.30883720930232561</v>
      </c>
      <c r="D124" s="1">
        <f t="shared" si="47"/>
        <v>18.065514031007755</v>
      </c>
      <c r="E124">
        <v>363.15</v>
      </c>
      <c r="K124" s="1">
        <f>'Solar Availability and Gener GR'!F124</f>
        <v>0</v>
      </c>
      <c r="L124" s="1">
        <v>0.30883720930232561</v>
      </c>
      <c r="M124" s="1">
        <f t="shared" si="42"/>
        <v>-0.30883720930232561</v>
      </c>
      <c r="N124" s="1" t="str">
        <f t="shared" si="43"/>
        <v>Buy from Grid</v>
      </c>
      <c r="V124" s="1" t="str">
        <f t="shared" si="64"/>
        <v>discharge</v>
      </c>
      <c r="Y124" s="1">
        <f t="shared" si="40"/>
        <v>0.11215423255813954</v>
      </c>
      <c r="AA124" s="1">
        <f t="shared" si="44"/>
        <v>23.130742781207356</v>
      </c>
      <c r="AD124" s="1">
        <f t="shared" si="45"/>
        <v>0</v>
      </c>
      <c r="AF124" s="1">
        <f t="shared" si="46"/>
        <v>0</v>
      </c>
      <c r="AH124" s="1">
        <f t="shared" si="49"/>
        <v>0</v>
      </c>
    </row>
    <row r="125" spans="1:34" ht="15">
      <c r="A125" s="1">
        <v>124</v>
      </c>
      <c r="B125" s="1">
        <f t="shared" si="50"/>
        <v>0</v>
      </c>
      <c r="C125" s="1">
        <f t="shared" si="41"/>
        <v>-0.30883720930232561</v>
      </c>
      <c r="D125" s="1">
        <f t="shared" si="47"/>
        <v>17.679467519379848</v>
      </c>
      <c r="E125">
        <v>363.15</v>
      </c>
      <c r="K125" s="1">
        <f>'Solar Availability and Gener GR'!F125</f>
        <v>0</v>
      </c>
      <c r="L125" s="1">
        <v>0.30883720930232561</v>
      </c>
      <c r="M125" s="1">
        <f t="shared" si="42"/>
        <v>-0.30883720930232561</v>
      </c>
      <c r="N125" s="1" t="str">
        <f t="shared" si="43"/>
        <v>Buy from Grid</v>
      </c>
      <c r="V125" s="1" t="str">
        <f t="shared" si="64"/>
        <v>discharge</v>
      </c>
      <c r="Y125" s="1">
        <f t="shared" si="40"/>
        <v>0.11215423255813954</v>
      </c>
      <c r="AA125" s="1">
        <f t="shared" si="44"/>
        <v>22.821905571905031</v>
      </c>
      <c r="AD125" s="1">
        <f t="shared" si="45"/>
        <v>0</v>
      </c>
      <c r="AF125" s="1">
        <f t="shared" si="46"/>
        <v>0</v>
      </c>
      <c r="AH125" s="1">
        <f t="shared" si="49"/>
        <v>0</v>
      </c>
    </row>
    <row r="126" spans="1:34" ht="15">
      <c r="A126" s="1">
        <v>125</v>
      </c>
      <c r="B126" s="1">
        <f t="shared" si="50"/>
        <v>0</v>
      </c>
      <c r="C126" s="1">
        <f t="shared" si="41"/>
        <v>-0.39891472868217059</v>
      </c>
      <c r="D126" s="1">
        <f t="shared" si="47"/>
        <v>17.180824108527133</v>
      </c>
      <c r="E126">
        <v>363.15</v>
      </c>
      <c r="K126" s="1">
        <f>'Solar Availability and Gener GR'!F126</f>
        <v>0</v>
      </c>
      <c r="L126" s="1">
        <v>0.39891472868217059</v>
      </c>
      <c r="M126" s="1">
        <f t="shared" si="42"/>
        <v>-0.39891472868217059</v>
      </c>
      <c r="N126" s="1" t="str">
        <f t="shared" si="43"/>
        <v>Buy from Grid</v>
      </c>
      <c r="V126" s="1" t="str">
        <f t="shared" si="64"/>
        <v>discharge</v>
      </c>
      <c r="Y126" s="1">
        <f t="shared" si="40"/>
        <v>0.14486588372093023</v>
      </c>
      <c r="AA126" s="1">
        <f t="shared" si="44"/>
        <v>22.422990843222859</v>
      </c>
      <c r="AD126" s="1">
        <f t="shared" si="45"/>
        <v>0</v>
      </c>
      <c r="AF126" s="1">
        <f t="shared" si="46"/>
        <v>0</v>
      </c>
      <c r="AH126" s="1">
        <f t="shared" si="49"/>
        <v>0</v>
      </c>
    </row>
    <row r="127" spans="1:34" ht="15">
      <c r="A127" s="1">
        <v>126</v>
      </c>
      <c r="B127" s="1">
        <f t="shared" si="50"/>
        <v>0</v>
      </c>
      <c r="C127" s="1">
        <f t="shared" si="41"/>
        <v>-0.65627906976744199</v>
      </c>
      <c r="D127" s="1">
        <f t="shared" si="47"/>
        <v>16.360475271317831</v>
      </c>
      <c r="E127">
        <v>363.15</v>
      </c>
      <c r="K127" s="1">
        <f>'Solar Availability and Gener GR'!F127</f>
        <v>0</v>
      </c>
      <c r="L127" s="1">
        <v>0.65627906976744199</v>
      </c>
      <c r="M127" s="1">
        <f t="shared" si="42"/>
        <v>-0.65627906976744199</v>
      </c>
      <c r="N127" s="1" t="str">
        <f t="shared" si="43"/>
        <v>Buy from Grid</v>
      </c>
      <c r="V127" s="1" t="str">
        <f t="shared" si="64"/>
        <v>discharge</v>
      </c>
      <c r="Y127" s="1">
        <f t="shared" si="40"/>
        <v>0.23832774418604655</v>
      </c>
      <c r="AA127" s="1">
        <f t="shared" si="44"/>
        <v>21.766711773455416</v>
      </c>
      <c r="AD127" s="1">
        <f t="shared" si="45"/>
        <v>0</v>
      </c>
      <c r="AF127" s="1">
        <f t="shared" si="46"/>
        <v>0</v>
      </c>
      <c r="AH127" s="1">
        <f t="shared" si="49"/>
        <v>0</v>
      </c>
    </row>
    <row r="128" spans="1:34" ht="15">
      <c r="A128" s="1">
        <v>127</v>
      </c>
      <c r="B128" s="1">
        <f t="shared" si="50"/>
        <v>0</v>
      </c>
      <c r="C128" s="1">
        <f t="shared" si="41"/>
        <v>-0.59504864887992681</v>
      </c>
      <c r="D128" s="1">
        <f t="shared" si="47"/>
        <v>15.616664460217923</v>
      </c>
      <c r="E128">
        <v>363.15</v>
      </c>
      <c r="K128" s="1">
        <f>'Solar Availability and Gener GR'!F128</f>
        <v>7.4098637941778636E-2</v>
      </c>
      <c r="L128" s="1">
        <v>0.66914728682170543</v>
      </c>
      <c r="M128" s="1">
        <f t="shared" si="42"/>
        <v>-0.59504864887992681</v>
      </c>
      <c r="N128" s="1" t="str">
        <f t="shared" si="43"/>
        <v>Buy from Grid</v>
      </c>
      <c r="V128" s="1" t="str">
        <f t="shared" si="64"/>
        <v>discharge</v>
      </c>
      <c r="Y128" s="1">
        <f t="shared" si="40"/>
        <v>0.24300083720930232</v>
      </c>
      <c r="AA128" s="1">
        <f t="shared" si="44"/>
        <v>21.171663124575488</v>
      </c>
      <c r="AD128" s="1">
        <f t="shared" si="45"/>
        <v>0</v>
      </c>
      <c r="AF128" s="1">
        <f t="shared" si="46"/>
        <v>0</v>
      </c>
      <c r="AH128" s="1">
        <f t="shared" si="49"/>
        <v>0</v>
      </c>
    </row>
    <row r="129" spans="1:34" ht="15">
      <c r="A129" s="1">
        <v>128</v>
      </c>
      <c r="B129" s="1">
        <f t="shared" si="50"/>
        <v>0</v>
      </c>
      <c r="C129" s="1">
        <f t="shared" si="41"/>
        <v>-0.25706247580323083</v>
      </c>
      <c r="D129" s="1">
        <f t="shared" si="47"/>
        <v>15.295336365463884</v>
      </c>
      <c r="E129">
        <v>363.15</v>
      </c>
      <c r="K129" s="1">
        <f>'Solar Availability and Gener GR'!F129</f>
        <v>0.39921659396421116</v>
      </c>
      <c r="L129" s="1">
        <v>0.65627906976744199</v>
      </c>
      <c r="M129" s="1">
        <f t="shared" si="42"/>
        <v>-0.25706247580323083</v>
      </c>
      <c r="N129" s="1" t="str">
        <f t="shared" si="43"/>
        <v>Buy from Grid</v>
      </c>
      <c r="V129" s="1" t="str">
        <f t="shared" si="64"/>
        <v>discharge</v>
      </c>
      <c r="Y129" s="1">
        <f t="shared" si="40"/>
        <v>0.23832774418604655</v>
      </c>
      <c r="AA129" s="1">
        <f t="shared" si="44"/>
        <v>20.914600648772257</v>
      </c>
      <c r="AD129" s="1">
        <f t="shared" si="45"/>
        <v>0</v>
      </c>
      <c r="AF129" s="1">
        <f t="shared" si="46"/>
        <v>0</v>
      </c>
      <c r="AH129" s="1">
        <f t="shared" si="49"/>
        <v>0</v>
      </c>
    </row>
    <row r="130" spans="1:34" ht="15">
      <c r="A130" s="1">
        <v>129</v>
      </c>
      <c r="B130" s="1">
        <f t="shared" si="50"/>
        <v>0</v>
      </c>
      <c r="C130" s="1">
        <f t="shared" si="41"/>
        <v>0.42115114864356307</v>
      </c>
      <c r="D130" s="1">
        <f t="shared" si="47"/>
        <v>15.821775301268337</v>
      </c>
      <c r="E130">
        <v>363.15</v>
      </c>
      <c r="K130" s="1">
        <f>'Solar Availability and Gener GR'!F130</f>
        <v>0.82006587732573366</v>
      </c>
      <c r="L130" s="1">
        <v>0.39891472868217059</v>
      </c>
      <c r="M130" s="1">
        <f t="shared" si="42"/>
        <v>0.42115114864356307</v>
      </c>
      <c r="N130" s="1" t="str">
        <f t="shared" si="43"/>
        <v>sell the surplus or charge</v>
      </c>
      <c r="O130" s="1">
        <v>0.25</v>
      </c>
      <c r="P130" s="1">
        <f t="shared" ref="P130:P140" si="65">0.25/L130</f>
        <v>0.62670034978624167</v>
      </c>
      <c r="Q130" s="1">
        <f t="shared" ref="Q130:Q140" si="66">K130-P130*L130</f>
        <v>0.57006587732573366</v>
      </c>
      <c r="R130" s="1">
        <f t="shared" ref="R130:R140" si="67">((1/(E130+0.01))*LN(0.25))+(E130*(K130-0.25))</f>
        <v>207.01560604067075</v>
      </c>
      <c r="S130" s="1">
        <f t="shared" ref="S130:S140" si="68">((1/(E130+0.01))*LN(L130))+(E130*(K130-L130))</f>
        <v>152.93850904394915</v>
      </c>
      <c r="T130" s="1">
        <f t="shared" ref="T130:T140" si="69">(S130+((S130^2)-4*(K130-L130*P130)*LN(L130*P130))^(0.5))/(2*(K130-L130*P130))</f>
        <v>268.29123133374026</v>
      </c>
      <c r="U130" s="1" t="str">
        <f t="shared" ref="U130:U140" si="70">IF(E130&gt;=T130*1.2,"sell to the Grid","charge")</f>
        <v>sell to the Grid</v>
      </c>
      <c r="W130" s="1">
        <f>(Q130*E130)/1000</f>
        <v>0.20701942335084017</v>
      </c>
      <c r="Y130" s="1">
        <f t="shared" ref="Y130:Y193" si="71">(L130*E130)/1000</f>
        <v>0.14486588372093023</v>
      </c>
      <c r="AA130" s="1">
        <f t="shared" si="44"/>
        <v>21.335751797415821</v>
      </c>
      <c r="AD130" s="1">
        <f t="shared" si="45"/>
        <v>0.25</v>
      </c>
      <c r="AF130" s="1">
        <f t="shared" si="46"/>
        <v>321.94947760048831</v>
      </c>
      <c r="AG130" s="1">
        <f>E130</f>
        <v>363.15</v>
      </c>
      <c r="AH130" s="1">
        <f t="shared" si="49"/>
        <v>207.01942335084016</v>
      </c>
    </row>
    <row r="131" spans="1:34" ht="15">
      <c r="A131" s="1">
        <v>130</v>
      </c>
      <c r="B131" s="1">
        <f t="shared" si="50"/>
        <v>1.1632288791952279</v>
      </c>
      <c r="C131" s="1">
        <f t="shared" ref="C131:C194" si="72">IF(V130="discharge",M131,0)</f>
        <v>0</v>
      </c>
      <c r="D131" s="1">
        <f t="shared" si="47"/>
        <v>16.75235840462452</v>
      </c>
      <c r="E131">
        <v>363.15</v>
      </c>
      <c r="K131" s="1">
        <f>'Solar Availability and Gener GR'!F131</f>
        <v>1.4132288791952279</v>
      </c>
      <c r="L131" s="1">
        <v>0.39891472868217059</v>
      </c>
      <c r="M131" s="1">
        <f t="shared" ref="M131:M194" si="73">K131-L131</f>
        <v>1.0143141505130573</v>
      </c>
      <c r="N131" s="1" t="str">
        <f t="shared" ref="N131:N194" si="74">IF(M131&lt;0,"Buy from Grid","sell the surplus or charge")</f>
        <v>sell the surplus or charge</v>
      </c>
      <c r="O131" s="1">
        <v>0.25</v>
      </c>
      <c r="P131" s="1">
        <f t="shared" si="65"/>
        <v>0.62670034978624167</v>
      </c>
      <c r="Q131" s="1">
        <f t="shared" si="66"/>
        <v>1.1632288791952279</v>
      </c>
      <c r="R131" s="1">
        <f t="shared" si="67"/>
        <v>422.42275016957763</v>
      </c>
      <c r="S131" s="1">
        <f t="shared" si="68"/>
        <v>368.34565317285598</v>
      </c>
      <c r="T131" s="1">
        <f t="shared" si="69"/>
        <v>316.66169710991539</v>
      </c>
      <c r="U131" s="1" t="str">
        <f t="shared" si="70"/>
        <v>charge</v>
      </c>
      <c r="Y131" s="1">
        <f t="shared" si="71"/>
        <v>0.14486588372093023</v>
      </c>
      <c r="AA131" s="1">
        <f t="shared" ref="AA131:AA194" si="75">M131+AA130</f>
        <v>22.350065947928879</v>
      </c>
      <c r="AD131" s="1">
        <f t="shared" ref="AD131:AD194" si="76">AC131+O131</f>
        <v>0.25</v>
      </c>
      <c r="AF131" s="1">
        <f t="shared" ref="AF131:AF194" si="77">T131*1.2</f>
        <v>379.99403653189847</v>
      </c>
      <c r="AH131" s="1">
        <f t="shared" si="49"/>
        <v>0</v>
      </c>
    </row>
    <row r="132" spans="1:34" ht="15">
      <c r="A132" s="1">
        <v>131</v>
      </c>
      <c r="B132" s="1">
        <f t="shared" si="50"/>
        <v>2.1777485978812412</v>
      </c>
      <c r="C132" s="1">
        <f t="shared" si="72"/>
        <v>0</v>
      </c>
      <c r="D132" s="1">
        <f t="shared" ref="D132:D195" si="78">(D131)+(B132*0.8)+(C132/0.8)</f>
        <v>18.494557282929513</v>
      </c>
      <c r="E132">
        <v>363.15</v>
      </c>
      <c r="K132" s="1">
        <f>'Solar Availability and Gener GR'!F132</f>
        <v>2.4277485978812412</v>
      </c>
      <c r="L132" s="1">
        <v>0.39891472868217059</v>
      </c>
      <c r="M132" s="1">
        <f t="shared" si="73"/>
        <v>2.0288338691990706</v>
      </c>
      <c r="N132" s="1" t="str">
        <f t="shared" si="74"/>
        <v>sell the surplus or charge</v>
      </c>
      <c r="O132" s="1">
        <v>0.25</v>
      </c>
      <c r="P132" s="1">
        <f t="shared" si="65"/>
        <v>0.62670034978624167</v>
      </c>
      <c r="Q132" s="1">
        <f t="shared" si="66"/>
        <v>2.1777485978812412</v>
      </c>
      <c r="R132" s="1">
        <f t="shared" si="67"/>
        <v>790.84558601040328</v>
      </c>
      <c r="S132" s="1">
        <f t="shared" si="68"/>
        <v>736.76848901368169</v>
      </c>
      <c r="T132" s="1">
        <f t="shared" si="69"/>
        <v>338.31847593987385</v>
      </c>
      <c r="U132" s="1" t="str">
        <f t="shared" si="70"/>
        <v>charge</v>
      </c>
      <c r="Y132" s="1">
        <f t="shared" si="71"/>
        <v>0.14486588372093023</v>
      </c>
      <c r="AA132" s="1">
        <f t="shared" si="75"/>
        <v>24.378899817127952</v>
      </c>
      <c r="AD132" s="1">
        <f t="shared" si="76"/>
        <v>0.25</v>
      </c>
      <c r="AF132" s="1">
        <f t="shared" si="77"/>
        <v>405.98217112784863</v>
      </c>
      <c r="AH132" s="1">
        <f t="shared" si="49"/>
        <v>0</v>
      </c>
    </row>
    <row r="133" spans="1:34" ht="15">
      <c r="A133" s="1">
        <v>132</v>
      </c>
      <c r="B133" s="1">
        <f t="shared" si="50"/>
        <v>2.6751936259236153</v>
      </c>
      <c r="C133" s="1">
        <f t="shared" si="72"/>
        <v>0</v>
      </c>
      <c r="D133" s="1">
        <f t="shared" si="78"/>
        <v>20.634712183668405</v>
      </c>
      <c r="E133">
        <v>363.15</v>
      </c>
      <c r="K133" s="1">
        <f>'Solar Availability and Gener GR'!F133</f>
        <v>2.9251936259236153</v>
      </c>
      <c r="L133" s="1">
        <v>0.39891472868217059</v>
      </c>
      <c r="M133" s="1">
        <f t="shared" si="73"/>
        <v>2.5262788972414447</v>
      </c>
      <c r="N133" s="1" t="str">
        <f t="shared" si="74"/>
        <v>sell the surplus or charge</v>
      </c>
      <c r="O133" s="1">
        <v>0.25</v>
      </c>
      <c r="P133" s="1">
        <f t="shared" si="65"/>
        <v>0.62670034978624167</v>
      </c>
      <c r="Q133" s="1">
        <f t="shared" si="66"/>
        <v>2.6751936259236153</v>
      </c>
      <c r="R133" s="1">
        <f t="shared" si="67"/>
        <v>971.49274794399139</v>
      </c>
      <c r="S133" s="1">
        <f t="shared" si="68"/>
        <v>917.4156509472698</v>
      </c>
      <c r="T133" s="1">
        <f t="shared" si="69"/>
        <v>342.93581013656973</v>
      </c>
      <c r="U133" s="1" t="str">
        <f t="shared" si="70"/>
        <v>charge</v>
      </c>
      <c r="Y133" s="1">
        <f t="shared" si="71"/>
        <v>0.14486588372093023</v>
      </c>
      <c r="AA133" s="1">
        <f t="shared" si="75"/>
        <v>26.905178714369395</v>
      </c>
      <c r="AD133" s="1">
        <f t="shared" si="76"/>
        <v>0.25</v>
      </c>
      <c r="AF133" s="1">
        <f t="shared" si="77"/>
        <v>411.52297216388365</v>
      </c>
      <c r="AH133" s="1">
        <f t="shared" si="49"/>
        <v>0</v>
      </c>
    </row>
    <row r="134" spans="1:34" ht="15">
      <c r="A134" s="1">
        <v>133</v>
      </c>
      <c r="B134" s="1">
        <f t="shared" si="50"/>
        <v>2.9428647734354128</v>
      </c>
      <c r="C134" s="1">
        <f t="shared" si="72"/>
        <v>0</v>
      </c>
      <c r="D134" s="1">
        <f t="shared" si="78"/>
        <v>22.989004002416735</v>
      </c>
      <c r="E134">
        <v>363.15</v>
      </c>
      <c r="K134" s="1">
        <f>'Solar Availability and Gener GR'!F134</f>
        <v>3.1928647734354128</v>
      </c>
      <c r="L134" s="1">
        <v>0.38604651162790704</v>
      </c>
      <c r="M134" s="1">
        <f t="shared" si="73"/>
        <v>2.8068182618075057</v>
      </c>
      <c r="N134" s="1" t="str">
        <f t="shared" si="74"/>
        <v>sell the surplus or charge</v>
      </c>
      <c r="O134" s="1">
        <v>0.25</v>
      </c>
      <c r="P134" s="1">
        <f t="shared" si="65"/>
        <v>0.64759036144578308</v>
      </c>
      <c r="Q134" s="1">
        <f t="shared" si="66"/>
        <v>2.9428647734354128</v>
      </c>
      <c r="R134" s="1">
        <f t="shared" si="67"/>
        <v>1068.6975251629008</v>
      </c>
      <c r="S134" s="1">
        <f t="shared" si="68"/>
        <v>1019.2934308991419</v>
      </c>
      <c r="T134" s="1">
        <f t="shared" si="69"/>
        <v>346.36230741559552</v>
      </c>
      <c r="U134" s="1" t="str">
        <f t="shared" si="70"/>
        <v>charge</v>
      </c>
      <c r="Y134" s="1">
        <f t="shared" si="71"/>
        <v>0.14019279069767443</v>
      </c>
      <c r="AA134" s="1">
        <f t="shared" si="75"/>
        <v>29.711996976176902</v>
      </c>
      <c r="AD134" s="1">
        <f t="shared" si="76"/>
        <v>0.25</v>
      </c>
      <c r="AF134" s="1">
        <f t="shared" si="77"/>
        <v>415.63476889871464</v>
      </c>
      <c r="AH134" s="1">
        <f t="shared" si="49"/>
        <v>0</v>
      </c>
    </row>
    <row r="135" spans="1:34" ht="15">
      <c r="A135" s="1">
        <v>134</v>
      </c>
      <c r="B135" s="1">
        <f t="shared" si="50"/>
        <v>2.9424241075402815</v>
      </c>
      <c r="C135" s="1">
        <f t="shared" si="72"/>
        <v>0</v>
      </c>
      <c r="D135" s="1">
        <f t="shared" si="78"/>
        <v>25.342943288448961</v>
      </c>
      <c r="E135">
        <v>363.15</v>
      </c>
      <c r="K135" s="1">
        <f>'Solar Availability and Gener GR'!F135</f>
        <v>3.1924241075402815</v>
      </c>
      <c r="L135" s="1">
        <v>0.39891472868217059</v>
      </c>
      <c r="M135" s="1">
        <f t="shared" si="73"/>
        <v>2.7935093788581109</v>
      </c>
      <c r="N135" s="1" t="str">
        <f t="shared" si="74"/>
        <v>sell the surplus or charge</v>
      </c>
      <c r="O135" s="1">
        <v>0.25</v>
      </c>
      <c r="P135" s="1">
        <f t="shared" si="65"/>
        <v>0.62670034978624167</v>
      </c>
      <c r="Q135" s="1">
        <f t="shared" si="66"/>
        <v>2.9424241075402815</v>
      </c>
      <c r="R135" s="1">
        <f t="shared" si="67"/>
        <v>1068.5374973430839</v>
      </c>
      <c r="S135" s="1">
        <f t="shared" si="68"/>
        <v>1014.4604003463621</v>
      </c>
      <c r="T135" s="1">
        <f t="shared" si="69"/>
        <v>344.77165227560459</v>
      </c>
      <c r="U135" s="1" t="str">
        <f t="shared" si="70"/>
        <v>charge</v>
      </c>
      <c r="Y135" s="1">
        <f t="shared" si="71"/>
        <v>0.14486588372093023</v>
      </c>
      <c r="AA135" s="1">
        <f t="shared" si="75"/>
        <v>32.50550635503501</v>
      </c>
      <c r="AD135" s="1">
        <f t="shared" si="76"/>
        <v>0.25</v>
      </c>
      <c r="AF135" s="1">
        <f t="shared" si="77"/>
        <v>413.72598273072549</v>
      </c>
      <c r="AH135" s="1">
        <f t="shared" si="49"/>
        <v>0</v>
      </c>
    </row>
    <row r="136" spans="1:34" ht="15">
      <c r="A136" s="1">
        <v>135</v>
      </c>
      <c r="B136" s="1">
        <f t="shared" si="50"/>
        <v>2.8079809489895817</v>
      </c>
      <c r="C136" s="1">
        <f t="shared" si="72"/>
        <v>0</v>
      </c>
      <c r="D136" s="1">
        <f t="shared" si="78"/>
        <v>27.589328047640628</v>
      </c>
      <c r="E136">
        <v>363.15</v>
      </c>
      <c r="K136" s="1">
        <f>'Solar Availability and Gener GR'!F136</f>
        <v>3.0579809489895817</v>
      </c>
      <c r="L136" s="1">
        <v>0.39891472868217059</v>
      </c>
      <c r="M136" s="1">
        <f t="shared" si="73"/>
        <v>2.6590662203074111</v>
      </c>
      <c r="N136" s="1" t="str">
        <f t="shared" si="74"/>
        <v>sell the surplus or charge</v>
      </c>
      <c r="O136" s="1">
        <v>0.25</v>
      </c>
      <c r="P136" s="1">
        <f t="shared" si="65"/>
        <v>0.62670034978624167</v>
      </c>
      <c r="Q136" s="1">
        <f t="shared" si="66"/>
        <v>2.8079809489895817</v>
      </c>
      <c r="R136" s="1">
        <f t="shared" si="67"/>
        <v>1019.7144643153971</v>
      </c>
      <c r="S136" s="1">
        <f t="shared" si="68"/>
        <v>965.6373673186755</v>
      </c>
      <c r="T136" s="1">
        <f t="shared" si="69"/>
        <v>343.89172008467727</v>
      </c>
      <c r="U136" s="1" t="str">
        <f t="shared" si="70"/>
        <v>charge</v>
      </c>
      <c r="Y136" s="1">
        <f t="shared" si="71"/>
        <v>0.14486588372093023</v>
      </c>
      <c r="AA136" s="1">
        <f t="shared" si="75"/>
        <v>35.164572575342419</v>
      </c>
      <c r="AD136" s="1">
        <f t="shared" si="76"/>
        <v>0.25</v>
      </c>
      <c r="AF136" s="1">
        <f t="shared" si="77"/>
        <v>412.6700641016127</v>
      </c>
      <c r="AH136" s="1">
        <f t="shared" si="49"/>
        <v>0</v>
      </c>
    </row>
    <row r="137" spans="1:34" ht="15">
      <c r="A137" s="1">
        <v>136</v>
      </c>
      <c r="B137" s="1">
        <f t="shared" si="50"/>
        <v>2.5394952372473929</v>
      </c>
      <c r="C137" s="1">
        <f t="shared" si="72"/>
        <v>0</v>
      </c>
      <c r="D137" s="1">
        <f t="shared" si="78"/>
        <v>29.62092423743854</v>
      </c>
      <c r="E137">
        <v>363.15</v>
      </c>
      <c r="K137" s="1">
        <f>'Solar Availability and Gener GR'!F137</f>
        <v>2.7894952372473929</v>
      </c>
      <c r="L137" s="1">
        <v>0.39891472868217059</v>
      </c>
      <c r="M137" s="1">
        <f t="shared" si="73"/>
        <v>2.3905805085652223</v>
      </c>
      <c r="N137" s="1" t="str">
        <f t="shared" si="74"/>
        <v>sell the surplus or charge</v>
      </c>
      <c r="O137" s="1">
        <v>0.25</v>
      </c>
      <c r="P137" s="1">
        <f t="shared" si="65"/>
        <v>0.62670034978624167</v>
      </c>
      <c r="Q137" s="1">
        <f t="shared" si="66"/>
        <v>2.5394952372473929</v>
      </c>
      <c r="R137" s="1">
        <f t="shared" si="67"/>
        <v>922.21387809622126</v>
      </c>
      <c r="S137" s="1">
        <f t="shared" si="68"/>
        <v>868.13678109949956</v>
      </c>
      <c r="T137" s="1">
        <f t="shared" si="69"/>
        <v>341.8556662638947</v>
      </c>
      <c r="U137" s="1" t="str">
        <f t="shared" si="70"/>
        <v>charge</v>
      </c>
      <c r="Y137" s="1">
        <f t="shared" si="71"/>
        <v>0.14486588372093023</v>
      </c>
      <c r="AA137" s="1">
        <f t="shared" si="75"/>
        <v>37.555153083907641</v>
      </c>
      <c r="AD137" s="1">
        <f t="shared" si="76"/>
        <v>0.25</v>
      </c>
      <c r="AF137" s="1">
        <f t="shared" si="77"/>
        <v>410.22679951667362</v>
      </c>
      <c r="AH137" s="1">
        <f t="shared" si="49"/>
        <v>0</v>
      </c>
    </row>
    <row r="138" spans="1:34" ht="15">
      <c r="A138" s="1">
        <v>137</v>
      </c>
      <c r="B138" s="1">
        <f t="shared" si="50"/>
        <v>0</v>
      </c>
      <c r="C138" s="1">
        <f t="shared" si="72"/>
        <v>0</v>
      </c>
      <c r="D138" s="1">
        <f t="shared" si="78"/>
        <v>29.62092423743854</v>
      </c>
      <c r="E138">
        <v>363.15</v>
      </c>
      <c r="K138" s="1">
        <f>'Solar Availability and Gener GR'!F138</f>
        <v>2.3678046826315309</v>
      </c>
      <c r="L138" s="1">
        <v>0.66914728682170543</v>
      </c>
      <c r="M138" s="1">
        <f t="shared" si="73"/>
        <v>1.6986573958098254</v>
      </c>
      <c r="N138" s="1" t="str">
        <f t="shared" si="74"/>
        <v>sell the surplus or charge</v>
      </c>
      <c r="O138" s="1">
        <v>0.25</v>
      </c>
      <c r="P138" s="1">
        <f t="shared" si="65"/>
        <v>0.3736098239110287</v>
      </c>
      <c r="Q138" s="1">
        <f t="shared" si="66"/>
        <v>2.1178046826315309</v>
      </c>
      <c r="R138" s="1">
        <f t="shared" si="67"/>
        <v>769.07695318747096</v>
      </c>
      <c r="S138" s="1">
        <f t="shared" si="68"/>
        <v>616.86632702365193</v>
      </c>
      <c r="T138" s="1">
        <f t="shared" si="69"/>
        <v>291.27855435634382</v>
      </c>
      <c r="U138" s="1" t="str">
        <f t="shared" si="70"/>
        <v>sell to the Grid</v>
      </c>
      <c r="W138" s="1">
        <f>(Q138*E138)/1000</f>
        <v>0.76908077049764045</v>
      </c>
      <c r="Y138" s="1">
        <f t="shared" si="71"/>
        <v>0.24300083720930232</v>
      </c>
      <c r="AA138" s="1">
        <f t="shared" si="75"/>
        <v>39.253810479717465</v>
      </c>
      <c r="AD138" s="1">
        <f t="shared" si="76"/>
        <v>0.25</v>
      </c>
      <c r="AF138" s="1">
        <f t="shared" si="77"/>
        <v>349.53426522761259</v>
      </c>
      <c r="AG138" s="1">
        <f>AF137</f>
        <v>410.22679951667362</v>
      </c>
      <c r="AH138" s="1">
        <f t="shared" si="49"/>
        <v>868.7802369573576</v>
      </c>
    </row>
    <row r="139" spans="1:34" ht="15">
      <c r="A139" s="1">
        <v>138</v>
      </c>
      <c r="B139" s="1">
        <f t="shared" si="50"/>
        <v>0</v>
      </c>
      <c r="C139" s="1">
        <f t="shared" si="72"/>
        <v>0</v>
      </c>
      <c r="D139" s="1">
        <f t="shared" si="78"/>
        <v>29.62092423743854</v>
      </c>
      <c r="E139">
        <v>363.15</v>
      </c>
      <c r="K139" s="1">
        <f>'Solar Availability and Gener GR'!F139</f>
        <v>1.7929226386539647</v>
      </c>
      <c r="L139" s="1">
        <v>0.65627906976744199</v>
      </c>
      <c r="M139" s="1">
        <f t="shared" si="73"/>
        <v>1.1366435688865226</v>
      </c>
      <c r="N139" s="1" t="str">
        <f t="shared" si="74"/>
        <v>sell the surplus or charge</v>
      </c>
      <c r="O139" s="1">
        <v>0.25</v>
      </c>
      <c r="P139" s="1">
        <f t="shared" si="65"/>
        <v>0.38093550673281351</v>
      </c>
      <c r="Q139" s="1">
        <f t="shared" si="66"/>
        <v>1.5429226386539647</v>
      </c>
      <c r="R139" s="1">
        <f t="shared" si="67"/>
        <v>560.30853891701781</v>
      </c>
      <c r="S139" s="1">
        <f t="shared" si="68"/>
        <v>412.770952306673</v>
      </c>
      <c r="T139" s="1">
        <f t="shared" si="69"/>
        <v>267.52873009826351</v>
      </c>
      <c r="U139" s="1" t="str">
        <f t="shared" si="70"/>
        <v>sell to the Grid</v>
      </c>
      <c r="W139" s="1">
        <f>(Q139*E139)/1000</f>
        <v>0.56031235622718722</v>
      </c>
      <c r="Y139" s="1">
        <f t="shared" si="71"/>
        <v>0.23832774418604655</v>
      </c>
      <c r="AA139" s="1">
        <f t="shared" si="75"/>
        <v>40.390454048603985</v>
      </c>
      <c r="AD139" s="1">
        <f t="shared" si="76"/>
        <v>0.25</v>
      </c>
      <c r="AF139" s="1">
        <f t="shared" si="77"/>
        <v>321.0344761179162</v>
      </c>
      <c r="AG139" s="1">
        <f t="shared" ref="AG139:AG140" si="79">AF138</f>
        <v>349.53426522761259</v>
      </c>
      <c r="AH139" s="1">
        <f t="shared" si="49"/>
        <v>539.30433080496277</v>
      </c>
    </row>
    <row r="140" spans="1:34" ht="15">
      <c r="A140" s="1">
        <v>139</v>
      </c>
      <c r="B140" s="1">
        <f t="shared" si="50"/>
        <v>0</v>
      </c>
      <c r="C140" s="1">
        <f t="shared" si="72"/>
        <v>0</v>
      </c>
      <c r="D140" s="1">
        <f t="shared" si="78"/>
        <v>29.62092423743854</v>
      </c>
      <c r="E140">
        <v>363.15</v>
      </c>
      <c r="K140" s="1">
        <f>'Solar Availability and Gener GR'!F140</f>
        <v>1.1222825603133602</v>
      </c>
      <c r="L140" s="1">
        <v>0.66914728682170543</v>
      </c>
      <c r="M140" s="1">
        <f t="shared" si="73"/>
        <v>0.45313527349165472</v>
      </c>
      <c r="N140" s="1" t="str">
        <f t="shared" si="74"/>
        <v>sell the surplus or charge</v>
      </c>
      <c r="O140" s="1">
        <v>0.25</v>
      </c>
      <c r="P140" s="1">
        <f t="shared" si="65"/>
        <v>0.3736098239110287</v>
      </c>
      <c r="Q140" s="1">
        <f t="shared" si="66"/>
        <v>0.87228256031336016</v>
      </c>
      <c r="R140" s="1">
        <f t="shared" si="67"/>
        <v>316.76559446762735</v>
      </c>
      <c r="S140" s="1">
        <f t="shared" si="68"/>
        <v>164.55496830380829</v>
      </c>
      <c r="T140" s="1">
        <f t="shared" si="69"/>
        <v>188.65712099809446</v>
      </c>
      <c r="U140" s="1" t="str">
        <f t="shared" si="70"/>
        <v>sell to the Grid</v>
      </c>
      <c r="W140" s="1">
        <f>(Q140*E140)/1000</f>
        <v>0.31676941177779672</v>
      </c>
      <c r="Y140" s="1">
        <f t="shared" si="71"/>
        <v>0.24300083720930232</v>
      </c>
      <c r="AA140" s="1">
        <f t="shared" si="75"/>
        <v>40.843589322095639</v>
      </c>
      <c r="AD140" s="1">
        <f t="shared" si="76"/>
        <v>0.25</v>
      </c>
      <c r="AF140" s="1">
        <f t="shared" si="77"/>
        <v>226.38854519771334</v>
      </c>
      <c r="AG140" s="1">
        <f t="shared" si="79"/>
        <v>321.0344761179162</v>
      </c>
      <c r="AH140" s="1">
        <f t="shared" si="49"/>
        <v>280.03277477699424</v>
      </c>
    </row>
    <row r="141" spans="1:34" ht="15">
      <c r="A141" s="1">
        <v>140</v>
      </c>
      <c r="B141" s="1">
        <f t="shared" si="50"/>
        <v>0</v>
      </c>
      <c r="C141" s="1">
        <f t="shared" si="72"/>
        <v>0</v>
      </c>
      <c r="D141" s="1">
        <f t="shared" si="78"/>
        <v>29.62092423743854</v>
      </c>
      <c r="E141">
        <v>363.15</v>
      </c>
      <c r="K141" s="1">
        <f>'Solar Availability and Gener GR'!F141</f>
        <v>0.45164248197275875</v>
      </c>
      <c r="L141" s="1">
        <v>0.65627906976744199</v>
      </c>
      <c r="M141" s="1">
        <f t="shared" si="73"/>
        <v>-0.20463658779468324</v>
      </c>
      <c r="N141" s="1" t="str">
        <f t="shared" si="74"/>
        <v>Buy from Grid</v>
      </c>
      <c r="V141" s="1" t="str">
        <f t="shared" ref="V141:V153" si="80">IF(D141+M141&gt;0,"discharge","buy from the Grid")</f>
        <v>discharge</v>
      </c>
      <c r="Y141" s="1">
        <f t="shared" si="71"/>
        <v>0.23832774418604655</v>
      </c>
      <c r="AA141" s="1">
        <f t="shared" si="75"/>
        <v>40.638952734300958</v>
      </c>
      <c r="AD141" s="1">
        <f t="shared" si="76"/>
        <v>0</v>
      </c>
      <c r="AF141" s="1">
        <f t="shared" si="77"/>
        <v>0</v>
      </c>
      <c r="AH141" s="1">
        <f t="shared" ref="AH141:AH204" si="81">AG141*Q141</f>
        <v>0</v>
      </c>
    </row>
    <row r="142" spans="1:34" ht="15">
      <c r="A142" s="1">
        <v>141</v>
      </c>
      <c r="B142" s="1">
        <f t="shared" si="50"/>
        <v>0</v>
      </c>
      <c r="C142" s="1">
        <f t="shared" si="72"/>
        <v>-0.34980051164308917</v>
      </c>
      <c r="D142" s="1">
        <f t="shared" si="78"/>
        <v>29.183673597884678</v>
      </c>
      <c r="E142">
        <v>363.15</v>
      </c>
      <c r="K142" s="1">
        <f>'Solar Availability and Gener GR'!F142</f>
        <v>4.91142170390814E-2</v>
      </c>
      <c r="L142" s="1">
        <v>0.39891472868217059</v>
      </c>
      <c r="M142" s="1">
        <f t="shared" si="73"/>
        <v>-0.34980051164308917</v>
      </c>
      <c r="N142" s="1" t="str">
        <f t="shared" si="74"/>
        <v>Buy from Grid</v>
      </c>
      <c r="V142" s="1" t="str">
        <f t="shared" si="80"/>
        <v>discharge</v>
      </c>
      <c r="Y142" s="1">
        <f t="shared" si="71"/>
        <v>0.14486588372093023</v>
      </c>
      <c r="AA142" s="1">
        <f t="shared" si="75"/>
        <v>40.289152222657869</v>
      </c>
      <c r="AD142" s="1">
        <f t="shared" si="76"/>
        <v>0</v>
      </c>
      <c r="AF142" s="1">
        <f t="shared" si="77"/>
        <v>0</v>
      </c>
      <c r="AH142" s="1">
        <f t="shared" si="81"/>
        <v>0</v>
      </c>
    </row>
    <row r="143" spans="1:34" ht="15">
      <c r="A143" s="1">
        <v>142</v>
      </c>
      <c r="B143" s="1">
        <f t="shared" si="50"/>
        <v>0</v>
      </c>
      <c r="C143" s="1">
        <f t="shared" si="72"/>
        <v>-0.39891472868217059</v>
      </c>
      <c r="D143" s="1">
        <f t="shared" si="78"/>
        <v>28.685030187031963</v>
      </c>
      <c r="E143">
        <v>363.15</v>
      </c>
      <c r="K143" s="1">
        <f>'Solar Availability and Gener GR'!F143</f>
        <v>0</v>
      </c>
      <c r="L143" s="1">
        <v>0.39891472868217059</v>
      </c>
      <c r="M143" s="1">
        <f t="shared" si="73"/>
        <v>-0.39891472868217059</v>
      </c>
      <c r="N143" s="1" t="str">
        <f t="shared" si="74"/>
        <v>Buy from Grid</v>
      </c>
      <c r="V143" s="1" t="str">
        <f t="shared" si="80"/>
        <v>discharge</v>
      </c>
      <c r="Y143" s="1">
        <f t="shared" si="71"/>
        <v>0.14486588372093023</v>
      </c>
      <c r="AA143" s="1">
        <f t="shared" si="75"/>
        <v>39.890237493975697</v>
      </c>
      <c r="AD143" s="1">
        <f t="shared" si="76"/>
        <v>0</v>
      </c>
      <c r="AF143" s="1">
        <f t="shared" si="77"/>
        <v>0</v>
      </c>
      <c r="AH143" s="1">
        <f t="shared" si="81"/>
        <v>0</v>
      </c>
    </row>
    <row r="144" spans="1:34" ht="15">
      <c r="A144" s="1">
        <v>143</v>
      </c>
      <c r="B144" s="1">
        <f t="shared" ref="B144:B207" si="82">IF(U144="charge",Q144,0)</f>
        <v>0</v>
      </c>
      <c r="C144" s="1">
        <f t="shared" si="72"/>
        <v>-0.39891472868217059</v>
      </c>
      <c r="D144" s="1">
        <f t="shared" si="78"/>
        <v>28.186386776179248</v>
      </c>
      <c r="E144">
        <v>363.15</v>
      </c>
      <c r="K144" s="1">
        <f>'Solar Availability and Gener GR'!F144</f>
        <v>0</v>
      </c>
      <c r="L144" s="1">
        <v>0.39891472868217059</v>
      </c>
      <c r="M144" s="1">
        <f t="shared" si="73"/>
        <v>-0.39891472868217059</v>
      </c>
      <c r="N144" s="1" t="str">
        <f t="shared" si="74"/>
        <v>Buy from Grid</v>
      </c>
      <c r="V144" s="1" t="str">
        <f t="shared" si="80"/>
        <v>discharge</v>
      </c>
      <c r="Y144" s="1">
        <f t="shared" si="71"/>
        <v>0.14486588372093023</v>
      </c>
      <c r="AA144" s="1">
        <f t="shared" si="75"/>
        <v>39.491322765293525</v>
      </c>
      <c r="AD144" s="1">
        <f t="shared" si="76"/>
        <v>0</v>
      </c>
      <c r="AF144" s="1">
        <f t="shared" si="77"/>
        <v>0</v>
      </c>
      <c r="AH144" s="1">
        <f t="shared" si="81"/>
        <v>0</v>
      </c>
    </row>
    <row r="145" spans="1:34" ht="15">
      <c r="A145" s="1">
        <v>144</v>
      </c>
      <c r="B145" s="1">
        <f t="shared" si="82"/>
        <v>0</v>
      </c>
      <c r="C145" s="1">
        <f t="shared" si="72"/>
        <v>-0.29596899224806206</v>
      </c>
      <c r="D145" s="1">
        <f t="shared" si="78"/>
        <v>27.816425535869172</v>
      </c>
      <c r="E145">
        <v>363.15</v>
      </c>
      <c r="K145" s="1">
        <f>'Solar Availability and Gener GR'!F145</f>
        <v>0</v>
      </c>
      <c r="L145" s="1">
        <v>0.29596899224806206</v>
      </c>
      <c r="M145" s="1">
        <f t="shared" si="73"/>
        <v>-0.29596899224806206</v>
      </c>
      <c r="N145" s="1" t="str">
        <f t="shared" si="74"/>
        <v>Buy from Grid</v>
      </c>
      <c r="V145" s="1" t="str">
        <f t="shared" si="80"/>
        <v>discharge</v>
      </c>
      <c r="Y145" s="1">
        <f t="shared" si="71"/>
        <v>0.10748113953488372</v>
      </c>
      <c r="AA145" s="1">
        <f t="shared" si="75"/>
        <v>39.195353773045461</v>
      </c>
      <c r="AD145" s="1">
        <f t="shared" si="76"/>
        <v>0</v>
      </c>
      <c r="AF145" s="1">
        <f t="shared" si="77"/>
        <v>0</v>
      </c>
      <c r="AH145" s="1">
        <f t="shared" si="81"/>
        <v>0</v>
      </c>
    </row>
    <row r="146" spans="1:34" ht="15">
      <c r="A146" s="1">
        <v>145</v>
      </c>
      <c r="B146" s="1">
        <f t="shared" si="82"/>
        <v>0</v>
      </c>
      <c r="C146" s="1">
        <f t="shared" si="72"/>
        <v>-0.29596899224806206</v>
      </c>
      <c r="D146" s="1">
        <f t="shared" si="78"/>
        <v>27.446464295559096</v>
      </c>
      <c r="E146">
        <v>363.15</v>
      </c>
      <c r="K146" s="1">
        <f>'Solar Availability and Gener GR'!F146</f>
        <v>0</v>
      </c>
      <c r="L146" s="1">
        <v>0.29596899224806206</v>
      </c>
      <c r="M146" s="1">
        <f t="shared" si="73"/>
        <v>-0.29596899224806206</v>
      </c>
      <c r="N146" s="1" t="str">
        <f t="shared" si="74"/>
        <v>Buy from Grid</v>
      </c>
      <c r="V146" s="1" t="str">
        <f t="shared" si="80"/>
        <v>discharge</v>
      </c>
      <c r="Y146" s="1">
        <f t="shared" si="71"/>
        <v>0.10748113953488372</v>
      </c>
      <c r="AA146" s="1">
        <f t="shared" si="75"/>
        <v>38.899384780797398</v>
      </c>
      <c r="AD146" s="1">
        <f t="shared" si="76"/>
        <v>0</v>
      </c>
      <c r="AF146" s="1">
        <f t="shared" si="77"/>
        <v>0</v>
      </c>
      <c r="AH146" s="1">
        <f t="shared" si="81"/>
        <v>0</v>
      </c>
    </row>
    <row r="147" spans="1:34" ht="15">
      <c r="A147" s="1">
        <v>146</v>
      </c>
      <c r="B147" s="1">
        <f t="shared" si="82"/>
        <v>0</v>
      </c>
      <c r="C147" s="1">
        <f t="shared" si="72"/>
        <v>-0.29596899224806206</v>
      </c>
      <c r="D147" s="1">
        <f t="shared" si="78"/>
        <v>27.07650305524902</v>
      </c>
      <c r="E147">
        <v>363.15</v>
      </c>
      <c r="K147" s="1">
        <f>'Solar Availability and Gener GR'!F147</f>
        <v>0</v>
      </c>
      <c r="L147" s="1">
        <v>0.29596899224806206</v>
      </c>
      <c r="M147" s="1">
        <f t="shared" si="73"/>
        <v>-0.29596899224806206</v>
      </c>
      <c r="N147" s="1" t="str">
        <f t="shared" si="74"/>
        <v>Buy from Grid</v>
      </c>
      <c r="V147" s="1" t="str">
        <f t="shared" si="80"/>
        <v>discharge</v>
      </c>
      <c r="Y147" s="1">
        <f t="shared" si="71"/>
        <v>0.10748113953488372</v>
      </c>
      <c r="AA147" s="1">
        <f t="shared" si="75"/>
        <v>38.603415788549334</v>
      </c>
      <c r="AD147" s="1">
        <f t="shared" si="76"/>
        <v>0</v>
      </c>
      <c r="AF147" s="1">
        <f t="shared" si="77"/>
        <v>0</v>
      </c>
      <c r="AH147" s="1">
        <f t="shared" si="81"/>
        <v>0</v>
      </c>
    </row>
    <row r="148" spans="1:34" ht="15">
      <c r="A148" s="1">
        <v>147</v>
      </c>
      <c r="B148" s="1">
        <f t="shared" si="82"/>
        <v>0</v>
      </c>
      <c r="C148" s="1">
        <f t="shared" si="72"/>
        <v>-0.30883720930232561</v>
      </c>
      <c r="D148" s="1">
        <f t="shared" si="78"/>
        <v>26.690456543621114</v>
      </c>
      <c r="E148">
        <v>363.15</v>
      </c>
      <c r="K148" s="1">
        <f>'Solar Availability and Gener GR'!F148</f>
        <v>0</v>
      </c>
      <c r="L148" s="1">
        <v>0.30883720930232561</v>
      </c>
      <c r="M148" s="1">
        <f t="shared" si="73"/>
        <v>-0.30883720930232561</v>
      </c>
      <c r="N148" s="1" t="str">
        <f t="shared" si="74"/>
        <v>Buy from Grid</v>
      </c>
      <c r="V148" s="1" t="str">
        <f t="shared" si="80"/>
        <v>discharge</v>
      </c>
      <c r="Y148" s="1">
        <f t="shared" si="71"/>
        <v>0.11215423255813954</v>
      </c>
      <c r="AA148" s="1">
        <f t="shared" si="75"/>
        <v>38.294578579247009</v>
      </c>
      <c r="AD148" s="1">
        <f t="shared" si="76"/>
        <v>0</v>
      </c>
      <c r="AF148" s="1">
        <f t="shared" si="77"/>
        <v>0</v>
      </c>
      <c r="AH148" s="1">
        <f t="shared" si="81"/>
        <v>0</v>
      </c>
    </row>
    <row r="149" spans="1:34" ht="15">
      <c r="A149" s="1">
        <v>148</v>
      </c>
      <c r="B149" s="1">
        <f t="shared" si="82"/>
        <v>0</v>
      </c>
      <c r="C149" s="1">
        <f t="shared" si="72"/>
        <v>-0.29596899224806206</v>
      </c>
      <c r="D149" s="1">
        <f t="shared" si="78"/>
        <v>26.320495303311038</v>
      </c>
      <c r="E149">
        <v>363.15</v>
      </c>
      <c r="K149" s="1">
        <f>'Solar Availability and Gener GR'!F149</f>
        <v>0</v>
      </c>
      <c r="L149" s="1">
        <v>0.29596899224806206</v>
      </c>
      <c r="M149" s="1">
        <f t="shared" si="73"/>
        <v>-0.29596899224806206</v>
      </c>
      <c r="N149" s="1" t="str">
        <f t="shared" si="74"/>
        <v>Buy from Grid</v>
      </c>
      <c r="V149" s="1" t="str">
        <f t="shared" si="80"/>
        <v>discharge</v>
      </c>
      <c r="Y149" s="1">
        <f t="shared" si="71"/>
        <v>0.10748113953488372</v>
      </c>
      <c r="AA149" s="1">
        <f t="shared" si="75"/>
        <v>37.998609586998946</v>
      </c>
      <c r="AD149" s="1">
        <f t="shared" si="76"/>
        <v>0</v>
      </c>
      <c r="AF149" s="1">
        <f t="shared" si="77"/>
        <v>0</v>
      </c>
      <c r="AH149" s="1">
        <f t="shared" si="81"/>
        <v>0</v>
      </c>
    </row>
    <row r="150" spans="1:34" ht="15">
      <c r="A150" s="1">
        <v>149</v>
      </c>
      <c r="B150" s="1">
        <f t="shared" si="82"/>
        <v>0</v>
      </c>
      <c r="C150" s="1">
        <f t="shared" si="72"/>
        <v>-0.39891472868217059</v>
      </c>
      <c r="D150" s="1">
        <f t="shared" si="78"/>
        <v>25.821851892458323</v>
      </c>
      <c r="E150">
        <v>363.15</v>
      </c>
      <c r="K150" s="1">
        <f>'Solar Availability and Gener GR'!F150</f>
        <v>0</v>
      </c>
      <c r="L150" s="1">
        <v>0.39891472868217059</v>
      </c>
      <c r="M150" s="1">
        <f t="shared" si="73"/>
        <v>-0.39891472868217059</v>
      </c>
      <c r="N150" s="1" t="str">
        <f t="shared" si="74"/>
        <v>Buy from Grid</v>
      </c>
      <c r="V150" s="1" t="str">
        <f t="shared" si="80"/>
        <v>discharge</v>
      </c>
      <c r="Y150" s="1">
        <f t="shared" si="71"/>
        <v>0.14486588372093023</v>
      </c>
      <c r="AA150" s="1">
        <f t="shared" si="75"/>
        <v>37.599694858316774</v>
      </c>
      <c r="AD150" s="1">
        <f t="shared" si="76"/>
        <v>0</v>
      </c>
      <c r="AF150" s="1">
        <f t="shared" si="77"/>
        <v>0</v>
      </c>
      <c r="AH150" s="1">
        <f t="shared" si="81"/>
        <v>0</v>
      </c>
    </row>
    <row r="151" spans="1:34" ht="15">
      <c r="A151" s="1">
        <v>150</v>
      </c>
      <c r="B151" s="1">
        <f t="shared" si="82"/>
        <v>0</v>
      </c>
      <c r="C151" s="1">
        <f t="shared" si="72"/>
        <v>-0.66914728682170543</v>
      </c>
      <c r="D151" s="1">
        <f t="shared" si="78"/>
        <v>24.98541778393119</v>
      </c>
      <c r="E151">
        <v>363.15</v>
      </c>
      <c r="K151" s="1">
        <f>'Solar Availability and Gener GR'!F151</f>
        <v>0</v>
      </c>
      <c r="L151" s="1">
        <v>0.66914728682170543</v>
      </c>
      <c r="M151" s="1">
        <f t="shared" si="73"/>
        <v>-0.66914728682170543</v>
      </c>
      <c r="N151" s="1" t="str">
        <f t="shared" si="74"/>
        <v>Buy from Grid</v>
      </c>
      <c r="V151" s="1" t="str">
        <f t="shared" si="80"/>
        <v>discharge</v>
      </c>
      <c r="Y151" s="1">
        <f t="shared" si="71"/>
        <v>0.24300083720930232</v>
      </c>
      <c r="AA151" s="1">
        <f t="shared" si="75"/>
        <v>36.930547571495069</v>
      </c>
      <c r="AD151" s="1">
        <f t="shared" si="76"/>
        <v>0</v>
      </c>
      <c r="AF151" s="1">
        <f t="shared" si="77"/>
        <v>0</v>
      </c>
      <c r="AH151" s="1">
        <f t="shared" si="81"/>
        <v>0</v>
      </c>
    </row>
    <row r="152" spans="1:34" ht="15">
      <c r="A152" s="1">
        <v>151</v>
      </c>
      <c r="B152" s="1">
        <f t="shared" si="82"/>
        <v>0</v>
      </c>
      <c r="C152" s="1">
        <f t="shared" si="72"/>
        <v>-0.61514728682170539</v>
      </c>
      <c r="D152" s="1">
        <f t="shared" si="78"/>
        <v>24.21648367540406</v>
      </c>
      <c r="E152">
        <v>363.15</v>
      </c>
      <c r="K152" s="1">
        <f>'Solar Availability and Gener GR'!F152</f>
        <v>5.3999999999999999E-2</v>
      </c>
      <c r="L152" s="1">
        <v>0.66914728682170543</v>
      </c>
      <c r="M152" s="1">
        <f t="shared" si="73"/>
        <v>-0.61514728682170539</v>
      </c>
      <c r="N152" s="1" t="str">
        <f t="shared" si="74"/>
        <v>Buy from Grid</v>
      </c>
      <c r="V152" s="1" t="str">
        <f t="shared" si="80"/>
        <v>discharge</v>
      </c>
      <c r="Y152" s="1">
        <f t="shared" si="71"/>
        <v>0.24300083720930232</v>
      </c>
      <c r="AA152" s="1">
        <f t="shared" si="75"/>
        <v>36.315400284673366</v>
      </c>
      <c r="AD152" s="1">
        <f t="shared" si="76"/>
        <v>0</v>
      </c>
      <c r="AF152" s="1">
        <f t="shared" si="77"/>
        <v>0</v>
      </c>
      <c r="AH152" s="1">
        <f t="shared" si="81"/>
        <v>0</v>
      </c>
    </row>
    <row r="153" spans="1:34" ht="15">
      <c r="A153" s="1">
        <v>152</v>
      </c>
      <c r="B153" s="1">
        <f t="shared" si="82"/>
        <v>0</v>
      </c>
      <c r="C153" s="1">
        <f t="shared" si="72"/>
        <v>-0.33794728682170549</v>
      </c>
      <c r="D153" s="1">
        <f t="shared" si="78"/>
        <v>23.794049566876929</v>
      </c>
      <c r="E153">
        <v>363.15</v>
      </c>
      <c r="K153" s="1">
        <f>'Solar Availability and Gener GR'!F153</f>
        <v>0.33119999999999994</v>
      </c>
      <c r="L153" s="1">
        <v>0.66914728682170543</v>
      </c>
      <c r="M153" s="1">
        <f t="shared" si="73"/>
        <v>-0.33794728682170549</v>
      </c>
      <c r="N153" s="1" t="str">
        <f t="shared" si="74"/>
        <v>Buy from Grid</v>
      </c>
      <c r="V153" s="1" t="str">
        <f t="shared" si="80"/>
        <v>discharge</v>
      </c>
      <c r="Y153" s="1">
        <f t="shared" si="71"/>
        <v>0.24300083720930232</v>
      </c>
      <c r="AA153" s="1">
        <f t="shared" si="75"/>
        <v>35.977452997851664</v>
      </c>
      <c r="AD153" s="1">
        <f t="shared" si="76"/>
        <v>0</v>
      </c>
      <c r="AF153" s="1">
        <f t="shared" si="77"/>
        <v>0</v>
      </c>
      <c r="AH153" s="1">
        <f t="shared" si="81"/>
        <v>0</v>
      </c>
    </row>
    <row r="154" spans="1:34" ht="15">
      <c r="A154" s="1">
        <v>153</v>
      </c>
      <c r="B154" s="1">
        <f t="shared" si="82"/>
        <v>0</v>
      </c>
      <c r="C154" s="1">
        <f t="shared" si="72"/>
        <v>0.28710859545207545</v>
      </c>
      <c r="D154" s="1">
        <f t="shared" si="78"/>
        <v>24.152935311192024</v>
      </c>
      <c r="E154">
        <v>363.15</v>
      </c>
      <c r="K154" s="1">
        <f>'Solar Availability and Gener GR'!F154</f>
        <v>0.68602332413424605</v>
      </c>
      <c r="L154" s="1">
        <v>0.39891472868217059</v>
      </c>
      <c r="M154" s="1">
        <f t="shared" si="73"/>
        <v>0.28710859545207545</v>
      </c>
      <c r="N154" s="1" t="str">
        <f t="shared" si="74"/>
        <v>sell the surplus or charge</v>
      </c>
      <c r="O154" s="1">
        <v>0.25</v>
      </c>
      <c r="P154" s="1">
        <f t="shared" ref="P154:P165" si="83">0.25/L154</f>
        <v>0.62670034978624167</v>
      </c>
      <c r="Q154" s="1">
        <f t="shared" ref="Q154:Q165" si="84">K154-P154*L154</f>
        <v>0.43602332413424605</v>
      </c>
      <c r="R154" s="1">
        <f t="shared" ref="R154:R165" si="85">((1/(E154+0.01))*LN(0.25))+(E154*(K154-0.25))</f>
        <v>158.33805284918202</v>
      </c>
      <c r="S154" s="1">
        <f t="shared" ref="S154:S165" si="86">((1/(E154+0.01))*LN(L154))+(E154*(K154-L154))</f>
        <v>104.26095585246044</v>
      </c>
      <c r="T154" s="1">
        <f t="shared" ref="T154:T165" si="87">(S154+((S154^2)-4*(K154-L154*P154)*LN(L154*P154))^(0.5))/(2*(K154-L154*P154))</f>
        <v>239.13113655890029</v>
      </c>
      <c r="U154" s="1" t="str">
        <f t="shared" ref="U154:U165" si="88">IF(E154&gt;=T154*1.2,"sell to the Grid","charge")</f>
        <v>sell to the Grid</v>
      </c>
      <c r="W154" s="1">
        <f>(Q154*E154)/1000</f>
        <v>0.15834187015935142</v>
      </c>
      <c r="Y154" s="1">
        <f t="shared" si="71"/>
        <v>0.14486588372093023</v>
      </c>
      <c r="AA154" s="1">
        <f t="shared" si="75"/>
        <v>36.264561593303739</v>
      </c>
      <c r="AD154" s="1">
        <f t="shared" si="76"/>
        <v>0.25</v>
      </c>
      <c r="AF154" s="1">
        <f t="shared" si="77"/>
        <v>286.95736387068035</v>
      </c>
      <c r="AG154" s="1">
        <f>E154</f>
        <v>363.15</v>
      </c>
      <c r="AH154" s="1">
        <f t="shared" si="81"/>
        <v>158.34187015935143</v>
      </c>
    </row>
    <row r="155" spans="1:34" ht="15">
      <c r="A155" s="1">
        <v>154</v>
      </c>
      <c r="B155" s="1">
        <f t="shared" si="82"/>
        <v>1.0100640968574714</v>
      </c>
      <c r="C155" s="1">
        <f t="shared" si="72"/>
        <v>0</v>
      </c>
      <c r="D155" s="1">
        <f t="shared" si="78"/>
        <v>24.960986588678001</v>
      </c>
      <c r="E155">
        <v>363.15</v>
      </c>
      <c r="K155" s="1">
        <f>'Solar Availability and Gener GR'!F155</f>
        <v>1.2600640968574714</v>
      </c>
      <c r="L155" s="1">
        <v>0.39891472868217059</v>
      </c>
      <c r="M155" s="1">
        <f t="shared" si="73"/>
        <v>0.86114936817530086</v>
      </c>
      <c r="N155" s="1" t="str">
        <f t="shared" si="74"/>
        <v>sell the surplus or charge</v>
      </c>
      <c r="O155" s="1">
        <v>0.25</v>
      </c>
      <c r="P155" s="1">
        <f t="shared" si="83"/>
        <v>0.62670034978624167</v>
      </c>
      <c r="Q155" s="1">
        <f t="shared" si="84"/>
        <v>1.0100640968574714</v>
      </c>
      <c r="R155" s="1">
        <f t="shared" si="85"/>
        <v>366.80095946362133</v>
      </c>
      <c r="S155" s="1">
        <f t="shared" si="86"/>
        <v>312.72386246689973</v>
      </c>
      <c r="T155" s="1">
        <f t="shared" si="87"/>
        <v>309.61237109200925</v>
      </c>
      <c r="U155" s="1" t="str">
        <f t="shared" si="88"/>
        <v>charge</v>
      </c>
      <c r="Y155" s="1">
        <f t="shared" si="71"/>
        <v>0.14486588372093023</v>
      </c>
      <c r="AA155" s="1">
        <f t="shared" si="75"/>
        <v>37.125710961479037</v>
      </c>
      <c r="AD155" s="1">
        <f t="shared" si="76"/>
        <v>0.25</v>
      </c>
      <c r="AF155" s="1">
        <f t="shared" si="77"/>
        <v>371.53484531041107</v>
      </c>
      <c r="AH155" s="1">
        <f t="shared" si="81"/>
        <v>0</v>
      </c>
    </row>
    <row r="156" spans="1:34" ht="15">
      <c r="A156" s="1">
        <v>155</v>
      </c>
      <c r="B156" s="1">
        <f t="shared" si="82"/>
        <v>1.9766981216059798</v>
      </c>
      <c r="C156" s="1">
        <f t="shared" si="72"/>
        <v>0</v>
      </c>
      <c r="D156" s="1">
        <f t="shared" si="78"/>
        <v>26.542345085962786</v>
      </c>
      <c r="E156">
        <v>363.15</v>
      </c>
      <c r="K156" s="1">
        <f>'Solar Availability and Gener GR'!F156</f>
        <v>2.2266981216059798</v>
      </c>
      <c r="L156" s="1">
        <v>0.39891472868217059</v>
      </c>
      <c r="M156" s="1">
        <f t="shared" si="73"/>
        <v>1.8277833929238092</v>
      </c>
      <c r="N156" s="1" t="str">
        <f t="shared" si="74"/>
        <v>sell the surplus or charge</v>
      </c>
      <c r="O156" s="1">
        <v>0.25</v>
      </c>
      <c r="P156" s="1">
        <f t="shared" si="83"/>
        <v>0.62670034978624167</v>
      </c>
      <c r="Q156" s="1">
        <f t="shared" si="84"/>
        <v>1.9766981216059798</v>
      </c>
      <c r="R156" s="1">
        <f t="shared" si="85"/>
        <v>717.83410555104206</v>
      </c>
      <c r="S156" s="1">
        <f t="shared" si="86"/>
        <v>663.75700855432046</v>
      </c>
      <c r="T156" s="1">
        <f t="shared" si="87"/>
        <v>335.79287080826902</v>
      </c>
      <c r="U156" s="1" t="str">
        <f t="shared" si="88"/>
        <v>charge</v>
      </c>
      <c r="Y156" s="1">
        <f t="shared" si="71"/>
        <v>0.14486588372093023</v>
      </c>
      <c r="AA156" s="1">
        <f t="shared" si="75"/>
        <v>38.953494354402849</v>
      </c>
      <c r="AD156" s="1">
        <f t="shared" si="76"/>
        <v>0.25</v>
      </c>
      <c r="AF156" s="1">
        <f t="shared" si="77"/>
        <v>402.95144496992282</v>
      </c>
      <c r="AH156" s="1">
        <f t="shared" si="81"/>
        <v>0</v>
      </c>
    </row>
    <row r="157" spans="1:34" ht="15">
      <c r="A157" s="1">
        <v>156</v>
      </c>
      <c r="B157" s="1">
        <f t="shared" si="82"/>
        <v>2.6560179827294559</v>
      </c>
      <c r="C157" s="1">
        <f t="shared" si="72"/>
        <v>0</v>
      </c>
      <c r="D157" s="1">
        <f t="shared" si="78"/>
        <v>28.667159472146352</v>
      </c>
      <c r="E157">
        <v>363.15</v>
      </c>
      <c r="K157" s="1">
        <f>'Solar Availability and Gener GR'!F157</f>
        <v>2.9060179827294559</v>
      </c>
      <c r="L157" s="1">
        <v>0.39891472868217059</v>
      </c>
      <c r="M157" s="1">
        <f t="shared" si="73"/>
        <v>2.5071032540472853</v>
      </c>
      <c r="N157" s="1" t="str">
        <f t="shared" si="74"/>
        <v>sell the surplus or charge</v>
      </c>
      <c r="O157" s="1">
        <v>0.25</v>
      </c>
      <c r="P157" s="1">
        <f t="shared" si="83"/>
        <v>0.62670034978624167</v>
      </c>
      <c r="Q157" s="1">
        <f t="shared" si="84"/>
        <v>2.6560179827294559</v>
      </c>
      <c r="R157" s="1">
        <f t="shared" si="85"/>
        <v>964.52911311803246</v>
      </c>
      <c r="S157" s="1">
        <f t="shared" si="86"/>
        <v>910.45201612131075</v>
      </c>
      <c r="T157" s="1">
        <f t="shared" si="87"/>
        <v>342.78987047284284</v>
      </c>
      <c r="U157" s="1" t="str">
        <f t="shared" si="88"/>
        <v>charge</v>
      </c>
      <c r="Y157" s="1">
        <f t="shared" si="71"/>
        <v>0.14486588372093023</v>
      </c>
      <c r="AA157" s="1">
        <f t="shared" si="75"/>
        <v>41.460597608450136</v>
      </c>
      <c r="AD157" s="1">
        <f t="shared" si="76"/>
        <v>0.25</v>
      </c>
      <c r="AF157" s="1">
        <f t="shared" si="77"/>
        <v>411.34784456741141</v>
      </c>
      <c r="AH157" s="1">
        <f t="shared" si="81"/>
        <v>0</v>
      </c>
    </row>
    <row r="158" spans="1:34" ht="15">
      <c r="A158" s="1">
        <v>157</v>
      </c>
      <c r="B158" s="1">
        <f t="shared" si="82"/>
        <v>2.923729190777173</v>
      </c>
      <c r="C158" s="1">
        <f t="shared" si="72"/>
        <v>0</v>
      </c>
      <c r="D158" s="1">
        <f t="shared" si="78"/>
        <v>31.006142824768091</v>
      </c>
      <c r="E158">
        <v>363.15</v>
      </c>
      <c r="K158" s="1">
        <f>'Solar Availability and Gener GR'!F158</f>
        <v>3.173729190777173</v>
      </c>
      <c r="L158" s="1">
        <v>0.39891472868217059</v>
      </c>
      <c r="M158" s="1">
        <f t="shared" si="73"/>
        <v>2.7748144620950024</v>
      </c>
      <c r="N158" s="1" t="str">
        <f t="shared" si="74"/>
        <v>sell the surplus or charge</v>
      </c>
      <c r="O158" s="1">
        <v>0.25</v>
      </c>
      <c r="P158" s="1">
        <f t="shared" si="83"/>
        <v>0.62670034978624167</v>
      </c>
      <c r="Q158" s="1">
        <f t="shared" si="84"/>
        <v>2.923729190777173</v>
      </c>
      <c r="R158" s="1">
        <f t="shared" si="85"/>
        <v>1061.748438320561</v>
      </c>
      <c r="S158" s="1">
        <f t="shared" si="86"/>
        <v>1007.6713413238392</v>
      </c>
      <c r="T158" s="1">
        <f t="shared" si="87"/>
        <v>344.65413786590699</v>
      </c>
      <c r="U158" s="1" t="str">
        <f t="shared" si="88"/>
        <v>charge</v>
      </c>
      <c r="Y158" s="1">
        <f t="shared" si="71"/>
        <v>0.14486588372093023</v>
      </c>
      <c r="AA158" s="1">
        <f t="shared" si="75"/>
        <v>44.235412070545138</v>
      </c>
      <c r="AD158" s="1">
        <f t="shared" si="76"/>
        <v>0.25</v>
      </c>
      <c r="AF158" s="1">
        <f t="shared" si="77"/>
        <v>413.58496543908836</v>
      </c>
      <c r="AH158" s="1">
        <f t="shared" si="81"/>
        <v>0</v>
      </c>
    </row>
    <row r="159" spans="1:34" ht="15">
      <c r="A159" s="1">
        <v>158</v>
      </c>
      <c r="B159" s="1">
        <f t="shared" si="82"/>
        <v>3.0190465592450799</v>
      </c>
      <c r="C159" s="1">
        <f t="shared" si="72"/>
        <v>0</v>
      </c>
      <c r="D159" s="1">
        <f t="shared" si="78"/>
        <v>33.421380072164155</v>
      </c>
      <c r="E159">
        <v>363.15</v>
      </c>
      <c r="K159" s="1">
        <f>'Solar Availability and Gener GR'!F159</f>
        <v>3.2690465592450799</v>
      </c>
      <c r="L159" s="1">
        <v>0.39891472868217059</v>
      </c>
      <c r="M159" s="1">
        <f t="shared" si="73"/>
        <v>2.8701318305629093</v>
      </c>
      <c r="N159" s="1" t="str">
        <f t="shared" si="74"/>
        <v>sell the surplus or charge</v>
      </c>
      <c r="O159" s="1">
        <v>0.25</v>
      </c>
      <c r="P159" s="1">
        <f t="shared" si="83"/>
        <v>0.62670034978624167</v>
      </c>
      <c r="Q159" s="1">
        <f t="shared" si="84"/>
        <v>3.0190465592450799</v>
      </c>
      <c r="R159" s="1">
        <f t="shared" si="85"/>
        <v>1096.3629406796813</v>
      </c>
      <c r="S159" s="1">
        <f t="shared" si="86"/>
        <v>1042.2858436829597</v>
      </c>
      <c r="T159" s="1">
        <f t="shared" si="87"/>
        <v>345.23808715855074</v>
      </c>
      <c r="U159" s="1" t="str">
        <f t="shared" si="88"/>
        <v>charge</v>
      </c>
      <c r="Y159" s="1">
        <f t="shared" si="71"/>
        <v>0.14486588372093023</v>
      </c>
      <c r="AA159" s="1">
        <f t="shared" si="75"/>
        <v>47.105543901108049</v>
      </c>
      <c r="AD159" s="1">
        <f t="shared" si="76"/>
        <v>0.25</v>
      </c>
      <c r="AF159" s="1">
        <f t="shared" si="77"/>
        <v>414.28570459026088</v>
      </c>
      <c r="AH159" s="1">
        <f t="shared" si="81"/>
        <v>0</v>
      </c>
    </row>
    <row r="160" spans="1:34" ht="15">
      <c r="A160" s="1">
        <v>159</v>
      </c>
      <c r="B160" s="1">
        <f t="shared" si="82"/>
        <v>2.9228745660108606</v>
      </c>
      <c r="C160" s="1">
        <f t="shared" si="72"/>
        <v>0</v>
      </c>
      <c r="D160" s="1">
        <f t="shared" si="78"/>
        <v>35.759679724972841</v>
      </c>
      <c r="E160">
        <v>363.15</v>
      </c>
      <c r="K160" s="1">
        <f>'Solar Availability and Gener GR'!F160</f>
        <v>3.1728745660108606</v>
      </c>
      <c r="L160" s="1">
        <v>0.39891472868217059</v>
      </c>
      <c r="M160" s="1">
        <f t="shared" si="73"/>
        <v>2.77395983732869</v>
      </c>
      <c r="N160" s="1" t="str">
        <f t="shared" si="74"/>
        <v>sell the surplus or charge</v>
      </c>
      <c r="O160" s="1">
        <v>0.25</v>
      </c>
      <c r="P160" s="1">
        <f t="shared" si="83"/>
        <v>0.62670034978624167</v>
      </c>
      <c r="Q160" s="1">
        <f t="shared" si="84"/>
        <v>2.9228745660108606</v>
      </c>
      <c r="R160" s="1">
        <f t="shared" si="85"/>
        <v>1061.4380813366747</v>
      </c>
      <c r="S160" s="1">
        <f t="shared" si="86"/>
        <v>1007.3609843399529</v>
      </c>
      <c r="T160" s="1">
        <f t="shared" si="87"/>
        <v>344.64872984774473</v>
      </c>
      <c r="U160" s="1" t="str">
        <f t="shared" si="88"/>
        <v>charge</v>
      </c>
      <c r="Y160" s="1">
        <f t="shared" si="71"/>
        <v>0.14486588372093023</v>
      </c>
      <c r="AA160" s="1">
        <f t="shared" si="75"/>
        <v>49.879503738436739</v>
      </c>
      <c r="AD160" s="1">
        <f t="shared" si="76"/>
        <v>0.25</v>
      </c>
      <c r="AF160" s="1">
        <f t="shared" si="77"/>
        <v>413.57847581729368</v>
      </c>
      <c r="AH160" s="1">
        <f t="shared" si="81"/>
        <v>0</v>
      </c>
    </row>
    <row r="161" spans="1:34" ht="15">
      <c r="A161" s="1">
        <v>160</v>
      </c>
      <c r="B161" s="1">
        <f t="shared" si="82"/>
        <v>2.6926733730971213</v>
      </c>
      <c r="C161" s="1">
        <f t="shared" si="72"/>
        <v>0</v>
      </c>
      <c r="D161" s="1">
        <f t="shared" si="78"/>
        <v>37.913818423450536</v>
      </c>
      <c r="E161">
        <v>363.15</v>
      </c>
      <c r="K161" s="1">
        <f>'Solar Availability and Gener GR'!F161</f>
        <v>2.9426733730971213</v>
      </c>
      <c r="L161" s="1">
        <v>0.66914728682170543</v>
      </c>
      <c r="M161" s="1">
        <f t="shared" si="73"/>
        <v>2.2735260862754156</v>
      </c>
      <c r="N161" s="1" t="str">
        <f t="shared" si="74"/>
        <v>sell the surplus or charge</v>
      </c>
      <c r="O161" s="1">
        <v>0.25</v>
      </c>
      <c r="P161" s="1">
        <f t="shared" si="83"/>
        <v>0.3736098239110287</v>
      </c>
      <c r="Q161" s="1">
        <f t="shared" si="84"/>
        <v>2.6926733730971213</v>
      </c>
      <c r="R161" s="1">
        <f t="shared" si="85"/>
        <v>977.8405181300501</v>
      </c>
      <c r="S161" s="1">
        <f t="shared" si="86"/>
        <v>825.62989196623107</v>
      </c>
      <c r="T161" s="1">
        <f t="shared" si="87"/>
        <v>306.62256380241217</v>
      </c>
      <c r="U161" s="1" t="str">
        <f t="shared" si="88"/>
        <v>charge</v>
      </c>
      <c r="Y161" s="1">
        <f t="shared" si="71"/>
        <v>0.24300083720930232</v>
      </c>
      <c r="AA161" s="1">
        <f t="shared" si="75"/>
        <v>52.153029824712156</v>
      </c>
      <c r="AD161" s="1">
        <f t="shared" si="76"/>
        <v>0.25</v>
      </c>
      <c r="AF161" s="1">
        <f t="shared" si="77"/>
        <v>367.94707656289461</v>
      </c>
      <c r="AH161" s="1">
        <f t="shared" si="81"/>
        <v>0</v>
      </c>
    </row>
    <row r="162" spans="1:34" ht="15">
      <c r="A162" s="1">
        <v>161</v>
      </c>
      <c r="B162" s="1">
        <f t="shared" si="82"/>
        <v>0</v>
      </c>
      <c r="C162" s="1">
        <f t="shared" si="72"/>
        <v>0</v>
      </c>
      <c r="D162" s="1">
        <f t="shared" si="78"/>
        <v>37.913818423450536</v>
      </c>
      <c r="E162">
        <v>363.15</v>
      </c>
      <c r="K162" s="1">
        <f>'Solar Availability and Gener GR'!F162</f>
        <v>2.5114083503961528</v>
      </c>
      <c r="L162" s="1">
        <v>0.66914728682170543</v>
      </c>
      <c r="M162" s="1">
        <f t="shared" si="73"/>
        <v>1.8422610635744474</v>
      </c>
      <c r="N162" s="1" t="str">
        <f t="shared" si="74"/>
        <v>sell the surplus or charge</v>
      </c>
      <c r="O162" s="1">
        <v>0.25</v>
      </c>
      <c r="P162" s="1">
        <f t="shared" si="83"/>
        <v>0.3736098239110287</v>
      </c>
      <c r="Q162" s="1">
        <f t="shared" si="84"/>
        <v>2.2614083503961528</v>
      </c>
      <c r="R162" s="1">
        <f t="shared" si="85"/>
        <v>821.22662513619343</v>
      </c>
      <c r="S162" s="1">
        <f t="shared" si="86"/>
        <v>669.0159989723744</v>
      </c>
      <c r="T162" s="1">
        <f t="shared" si="87"/>
        <v>295.84249336283256</v>
      </c>
      <c r="U162" s="1" t="str">
        <f t="shared" si="88"/>
        <v>sell to the Grid</v>
      </c>
      <c r="W162" s="1">
        <f>(Q162*E162)/1000</f>
        <v>0.8212304424463629</v>
      </c>
      <c r="Y162" s="1">
        <f t="shared" si="71"/>
        <v>0.24300083720930232</v>
      </c>
      <c r="AA162" s="1">
        <f t="shared" si="75"/>
        <v>53.995290888286604</v>
      </c>
      <c r="AD162" s="1">
        <f t="shared" si="76"/>
        <v>0.25</v>
      </c>
      <c r="AF162" s="1">
        <f t="shared" si="77"/>
        <v>355.01099203539906</v>
      </c>
      <c r="AG162" s="1">
        <f>AF161</f>
        <v>367.94707656289461</v>
      </c>
      <c r="AH162" s="1">
        <f t="shared" si="81"/>
        <v>832.0785914431824</v>
      </c>
    </row>
    <row r="163" spans="1:34" ht="15">
      <c r="A163" s="1">
        <v>162</v>
      </c>
      <c r="B163" s="1">
        <f t="shared" si="82"/>
        <v>0</v>
      </c>
      <c r="C163" s="1">
        <f t="shared" si="72"/>
        <v>0</v>
      </c>
      <c r="D163" s="1">
        <f t="shared" si="78"/>
        <v>37.913818423450536</v>
      </c>
      <c r="E163">
        <v>363.15</v>
      </c>
      <c r="K163" s="1">
        <f>'Solar Availability and Gener GR'!F163</f>
        <v>1.8790794979079473</v>
      </c>
      <c r="L163" s="1">
        <v>0.66914728682170543</v>
      </c>
      <c r="M163" s="1">
        <f t="shared" si="73"/>
        <v>1.2099322110862418</v>
      </c>
      <c r="N163" s="1" t="str">
        <f t="shared" si="74"/>
        <v>sell the surplus or charge</v>
      </c>
      <c r="O163" s="1">
        <v>0.25</v>
      </c>
      <c r="P163" s="1">
        <f t="shared" si="83"/>
        <v>0.3736098239110287</v>
      </c>
      <c r="Q163" s="1">
        <f t="shared" si="84"/>
        <v>1.6290794979079473</v>
      </c>
      <c r="R163" s="1">
        <f t="shared" si="85"/>
        <v>591.59640235510153</v>
      </c>
      <c r="S163" s="1">
        <f t="shared" si="86"/>
        <v>439.38577619128256</v>
      </c>
      <c r="T163" s="1">
        <f t="shared" si="87"/>
        <v>269.71729529514124</v>
      </c>
      <c r="U163" s="1" t="str">
        <f t="shared" si="88"/>
        <v>sell to the Grid</v>
      </c>
      <c r="W163" s="1">
        <f>(Q163*E163)/1000</f>
        <v>0.59160021966527099</v>
      </c>
      <c r="Y163" s="1">
        <f t="shared" si="71"/>
        <v>0.24300083720930232</v>
      </c>
      <c r="AA163" s="1">
        <f t="shared" si="75"/>
        <v>55.205223099372844</v>
      </c>
      <c r="AD163" s="1">
        <f t="shared" si="76"/>
        <v>0.25</v>
      </c>
      <c r="AF163" s="1">
        <f t="shared" si="77"/>
        <v>323.66075435416946</v>
      </c>
      <c r="AG163" s="1">
        <f t="shared" ref="AG163:AG165" si="89">AF162</f>
        <v>355.01099203539906</v>
      </c>
      <c r="AH163" s="1">
        <f t="shared" si="81"/>
        <v>578.34112865683016</v>
      </c>
    </row>
    <row r="164" spans="1:34" ht="15">
      <c r="A164" s="1">
        <v>163</v>
      </c>
      <c r="B164" s="1">
        <f t="shared" si="82"/>
        <v>0</v>
      </c>
      <c r="C164" s="1">
        <f t="shared" si="72"/>
        <v>0</v>
      </c>
      <c r="D164" s="1">
        <f t="shared" si="78"/>
        <v>37.913818423450536</v>
      </c>
      <c r="E164">
        <v>363.15</v>
      </c>
      <c r="K164" s="1">
        <f>'Solar Availability and Gener GR'!F164</f>
        <v>1.2276017092495295</v>
      </c>
      <c r="L164" s="1">
        <v>0.65627906976744199</v>
      </c>
      <c r="M164" s="1">
        <f t="shared" si="73"/>
        <v>0.5713226394820875</v>
      </c>
      <c r="N164" s="1" t="str">
        <f t="shared" si="74"/>
        <v>sell the surplus or charge</v>
      </c>
      <c r="O164" s="1">
        <v>0.25</v>
      </c>
      <c r="P164" s="1">
        <f t="shared" si="83"/>
        <v>0.38093550673281351</v>
      </c>
      <c r="Q164" s="1">
        <f t="shared" si="84"/>
        <v>0.97760170924952949</v>
      </c>
      <c r="R164" s="1">
        <f t="shared" si="85"/>
        <v>355.01224340379724</v>
      </c>
      <c r="S164" s="1">
        <f t="shared" si="86"/>
        <v>207.47465679345243</v>
      </c>
      <c r="T164" s="1">
        <f t="shared" si="87"/>
        <v>212.23488739602075</v>
      </c>
      <c r="U164" s="1" t="str">
        <f t="shared" si="88"/>
        <v>sell to the Grid</v>
      </c>
      <c r="W164" s="1">
        <f>(Q164*E164)/1000</f>
        <v>0.35501606071396663</v>
      </c>
      <c r="Y164" s="1">
        <f t="shared" si="71"/>
        <v>0.23832774418604655</v>
      </c>
      <c r="AA164" s="1">
        <f t="shared" si="75"/>
        <v>55.776545738854935</v>
      </c>
      <c r="AD164" s="1">
        <f t="shared" si="76"/>
        <v>0.25</v>
      </c>
      <c r="AF164" s="1">
        <f t="shared" si="77"/>
        <v>254.6818648752249</v>
      </c>
      <c r="AG164" s="1">
        <f t="shared" si="89"/>
        <v>323.66075435416946</v>
      </c>
      <c r="AH164" s="1">
        <f t="shared" si="81"/>
        <v>316.41130667362813</v>
      </c>
    </row>
    <row r="165" spans="1:34" ht="15">
      <c r="A165" s="1">
        <v>164</v>
      </c>
      <c r="B165" s="1">
        <f t="shared" si="82"/>
        <v>0</v>
      </c>
      <c r="C165" s="1">
        <f t="shared" si="72"/>
        <v>0</v>
      </c>
      <c r="D165" s="1">
        <f t="shared" si="78"/>
        <v>37.913818423450536</v>
      </c>
      <c r="E165">
        <v>363.15</v>
      </c>
      <c r="K165" s="1">
        <f>'Solar Availability and Gener GR'!F165</f>
        <v>0.48992700080121115</v>
      </c>
      <c r="L165" s="1">
        <v>0.39891472868217059</v>
      </c>
      <c r="M165" s="1">
        <f t="shared" si="73"/>
        <v>9.101227211904056E-2</v>
      </c>
      <c r="N165" s="1" t="str">
        <f t="shared" si="74"/>
        <v>sell the surplus or charge</v>
      </c>
      <c r="O165" s="1">
        <v>0.25</v>
      </c>
      <c r="P165" s="1">
        <f t="shared" si="83"/>
        <v>0.62670034978624167</v>
      </c>
      <c r="Q165" s="1">
        <f t="shared" si="84"/>
        <v>0.23992700080121115</v>
      </c>
      <c r="R165" s="1">
        <f t="shared" si="85"/>
        <v>87.125673030790423</v>
      </c>
      <c r="S165" s="1">
        <f t="shared" si="86"/>
        <v>33.048576034068823</v>
      </c>
      <c r="T165" s="1">
        <f t="shared" si="87"/>
        <v>137.78623131313466</v>
      </c>
      <c r="U165" s="1" t="str">
        <f t="shared" si="88"/>
        <v>sell to the Grid</v>
      </c>
      <c r="W165" s="1">
        <f>(Q165*E165)/1000</f>
        <v>8.712949034095982E-2</v>
      </c>
      <c r="Y165" s="1">
        <f t="shared" si="71"/>
        <v>0.14486588372093023</v>
      </c>
      <c r="AA165" s="1">
        <f t="shared" si="75"/>
        <v>55.867558010973973</v>
      </c>
      <c r="AD165" s="1">
        <f t="shared" si="76"/>
        <v>0.25</v>
      </c>
      <c r="AF165" s="1">
        <f t="shared" si="77"/>
        <v>165.3434775757616</v>
      </c>
      <c r="AG165" s="1">
        <f t="shared" si="89"/>
        <v>254.6818648752249</v>
      </c>
      <c r="AH165" s="1">
        <f t="shared" si="81"/>
        <v>61.105055997972038</v>
      </c>
    </row>
    <row r="166" spans="1:34" ht="15">
      <c r="A166" s="1">
        <v>165</v>
      </c>
      <c r="B166" s="1">
        <f t="shared" si="82"/>
        <v>0</v>
      </c>
      <c r="C166" s="1">
        <f t="shared" si="72"/>
        <v>0</v>
      </c>
      <c r="D166" s="1">
        <f t="shared" si="78"/>
        <v>37.913818423450536</v>
      </c>
      <c r="E166">
        <v>363.15</v>
      </c>
      <c r="K166" s="1">
        <f>'Solar Availability and Gener GR'!F166</f>
        <v>6.8263153209294117E-2</v>
      </c>
      <c r="L166" s="1">
        <v>0.39891472868217059</v>
      </c>
      <c r="M166" s="1">
        <f t="shared" si="73"/>
        <v>-0.33065157547287649</v>
      </c>
      <c r="N166" s="1" t="str">
        <f t="shared" si="74"/>
        <v>Buy from Grid</v>
      </c>
      <c r="V166" s="1" t="str">
        <f t="shared" ref="V166:V177" si="90">IF(D166+M166&gt;0,"discharge","buy from the Grid")</f>
        <v>discharge</v>
      </c>
      <c r="Y166" s="1">
        <f t="shared" si="71"/>
        <v>0.14486588372093023</v>
      </c>
      <c r="AA166" s="1">
        <f t="shared" si="75"/>
        <v>55.536906435501095</v>
      </c>
      <c r="AD166" s="1">
        <f t="shared" si="76"/>
        <v>0</v>
      </c>
      <c r="AF166" s="1">
        <f t="shared" si="77"/>
        <v>0</v>
      </c>
      <c r="AH166" s="1">
        <f t="shared" si="81"/>
        <v>0</v>
      </c>
    </row>
    <row r="167" spans="1:34" ht="15">
      <c r="A167" s="1">
        <v>166</v>
      </c>
      <c r="B167" s="1">
        <f t="shared" si="82"/>
        <v>0</v>
      </c>
      <c r="C167" s="1">
        <f t="shared" si="72"/>
        <v>-0.39891472868217059</v>
      </c>
      <c r="D167" s="1">
        <f t="shared" si="78"/>
        <v>37.415175012597821</v>
      </c>
      <c r="E167">
        <v>363.15</v>
      </c>
      <c r="K167" s="1">
        <f>'Solar Availability and Gener GR'!F167</f>
        <v>0</v>
      </c>
      <c r="L167" s="1">
        <v>0.39891472868217059</v>
      </c>
      <c r="M167" s="1">
        <f t="shared" si="73"/>
        <v>-0.39891472868217059</v>
      </c>
      <c r="N167" s="1" t="str">
        <f t="shared" si="74"/>
        <v>Buy from Grid</v>
      </c>
      <c r="V167" s="1" t="str">
        <f t="shared" si="90"/>
        <v>discharge</v>
      </c>
      <c r="Y167" s="1">
        <f t="shared" si="71"/>
        <v>0.14486588372093023</v>
      </c>
      <c r="AA167" s="1">
        <f t="shared" si="75"/>
        <v>55.137991706818923</v>
      </c>
      <c r="AD167" s="1">
        <f t="shared" si="76"/>
        <v>0</v>
      </c>
      <c r="AF167" s="1">
        <f t="shared" si="77"/>
        <v>0</v>
      </c>
      <c r="AH167" s="1">
        <f t="shared" si="81"/>
        <v>0</v>
      </c>
    </row>
    <row r="168" spans="1:34" ht="15">
      <c r="A168" s="1">
        <v>167</v>
      </c>
      <c r="B168" s="1">
        <f t="shared" si="82"/>
        <v>0</v>
      </c>
      <c r="C168" s="1">
        <f t="shared" si="72"/>
        <v>-0.29596899224806206</v>
      </c>
      <c r="D168" s="1">
        <f t="shared" si="78"/>
        <v>37.045213772287745</v>
      </c>
      <c r="E168">
        <v>363.15</v>
      </c>
      <c r="K168" s="1">
        <f>'Solar Availability and Gener GR'!F168</f>
        <v>0</v>
      </c>
      <c r="L168" s="1">
        <v>0.29596899224806206</v>
      </c>
      <c r="M168" s="1">
        <f t="shared" si="73"/>
        <v>-0.29596899224806206</v>
      </c>
      <c r="N168" s="1" t="str">
        <f t="shared" si="74"/>
        <v>Buy from Grid</v>
      </c>
      <c r="V168" s="1" t="str">
        <f t="shared" si="90"/>
        <v>discharge</v>
      </c>
      <c r="Y168" s="1">
        <f t="shared" si="71"/>
        <v>0.10748113953488372</v>
      </c>
      <c r="AA168" s="1">
        <f t="shared" si="75"/>
        <v>54.842022714570859</v>
      </c>
      <c r="AD168" s="1">
        <f t="shared" si="76"/>
        <v>0</v>
      </c>
      <c r="AF168" s="1">
        <f t="shared" si="77"/>
        <v>0</v>
      </c>
      <c r="AH168" s="1">
        <f t="shared" si="81"/>
        <v>0</v>
      </c>
    </row>
    <row r="169" spans="1:34" ht="15">
      <c r="A169" s="1">
        <v>168</v>
      </c>
      <c r="B169" s="1">
        <f t="shared" si="82"/>
        <v>0</v>
      </c>
      <c r="C169" s="1">
        <f t="shared" si="72"/>
        <v>-0.29596899224806206</v>
      </c>
      <c r="D169" s="1">
        <f t="shared" si="78"/>
        <v>36.675252531977669</v>
      </c>
      <c r="E169">
        <v>363.15</v>
      </c>
      <c r="K169" s="1">
        <f>'Solar Availability and Gener GR'!F169</f>
        <v>0</v>
      </c>
      <c r="L169" s="1">
        <v>0.29596899224806206</v>
      </c>
      <c r="M169" s="1">
        <f t="shared" si="73"/>
        <v>-0.29596899224806206</v>
      </c>
      <c r="N169" s="1" t="str">
        <f t="shared" si="74"/>
        <v>Buy from Grid</v>
      </c>
      <c r="V169" s="1" t="str">
        <f t="shared" si="90"/>
        <v>discharge</v>
      </c>
      <c r="Y169" s="1">
        <f t="shared" si="71"/>
        <v>0.10748113953488372</v>
      </c>
      <c r="AA169" s="1">
        <f t="shared" si="75"/>
        <v>54.546053722322796</v>
      </c>
      <c r="AD169" s="1">
        <f t="shared" si="76"/>
        <v>0</v>
      </c>
      <c r="AF169" s="1">
        <f t="shared" si="77"/>
        <v>0</v>
      </c>
      <c r="AH169" s="1">
        <f t="shared" si="81"/>
        <v>0</v>
      </c>
    </row>
    <row r="170" spans="1:34" ht="15">
      <c r="A170" s="1">
        <v>169</v>
      </c>
      <c r="B170" s="1">
        <f t="shared" si="82"/>
        <v>0</v>
      </c>
      <c r="C170" s="1">
        <f t="shared" si="72"/>
        <v>-0.29596899224806206</v>
      </c>
      <c r="D170" s="1">
        <f t="shared" si="78"/>
        <v>36.305291291667594</v>
      </c>
      <c r="E170">
        <v>363.15</v>
      </c>
      <c r="K170" s="1">
        <f>'Solar Availability and Gener GR'!F170</f>
        <v>0</v>
      </c>
      <c r="L170" s="1">
        <v>0.29596899224806206</v>
      </c>
      <c r="M170" s="1">
        <f t="shared" si="73"/>
        <v>-0.29596899224806206</v>
      </c>
      <c r="N170" s="1" t="str">
        <f t="shared" si="74"/>
        <v>Buy from Grid</v>
      </c>
      <c r="V170" s="1" t="str">
        <f t="shared" si="90"/>
        <v>discharge</v>
      </c>
      <c r="Y170" s="1">
        <f t="shared" si="71"/>
        <v>0.10748113953488372</v>
      </c>
      <c r="AA170" s="1">
        <f t="shared" si="75"/>
        <v>54.250084730074732</v>
      </c>
      <c r="AD170" s="1">
        <f t="shared" si="76"/>
        <v>0</v>
      </c>
      <c r="AF170" s="1">
        <f t="shared" si="77"/>
        <v>0</v>
      </c>
      <c r="AH170" s="1">
        <f t="shared" si="81"/>
        <v>0</v>
      </c>
    </row>
    <row r="171" spans="1:34" ht="15">
      <c r="A171" s="1">
        <v>170</v>
      </c>
      <c r="B171" s="1">
        <f t="shared" si="82"/>
        <v>0</v>
      </c>
      <c r="C171" s="1">
        <f t="shared" si="72"/>
        <v>-0.29596899224806206</v>
      </c>
      <c r="D171" s="1">
        <f t="shared" si="78"/>
        <v>35.935330051357518</v>
      </c>
      <c r="E171">
        <v>363.15</v>
      </c>
      <c r="K171" s="1">
        <f>'Solar Availability and Gener GR'!F171</f>
        <v>0</v>
      </c>
      <c r="L171" s="1">
        <v>0.29596899224806206</v>
      </c>
      <c r="M171" s="1">
        <f t="shared" si="73"/>
        <v>-0.29596899224806206</v>
      </c>
      <c r="N171" s="1" t="str">
        <f t="shared" si="74"/>
        <v>Buy from Grid</v>
      </c>
      <c r="V171" s="1" t="str">
        <f t="shared" si="90"/>
        <v>discharge</v>
      </c>
      <c r="Y171" s="1">
        <f t="shared" si="71"/>
        <v>0.10748113953488372</v>
      </c>
      <c r="AA171" s="1">
        <f t="shared" si="75"/>
        <v>53.954115737826669</v>
      </c>
      <c r="AD171" s="1">
        <f t="shared" si="76"/>
        <v>0</v>
      </c>
      <c r="AF171" s="1">
        <f t="shared" si="77"/>
        <v>0</v>
      </c>
      <c r="AH171" s="1">
        <f t="shared" si="81"/>
        <v>0</v>
      </c>
    </row>
    <row r="172" spans="1:34" ht="15">
      <c r="A172" s="1">
        <v>171</v>
      </c>
      <c r="B172" s="1">
        <f t="shared" si="82"/>
        <v>0</v>
      </c>
      <c r="C172" s="1">
        <f t="shared" si="72"/>
        <v>-0.39891472868217059</v>
      </c>
      <c r="D172" s="1">
        <f t="shared" si="78"/>
        <v>35.436686640504803</v>
      </c>
      <c r="E172">
        <v>363.15</v>
      </c>
      <c r="K172" s="1">
        <f>'Solar Availability and Gener GR'!F172</f>
        <v>0</v>
      </c>
      <c r="L172" s="1">
        <v>0.39891472868217059</v>
      </c>
      <c r="M172" s="1">
        <f t="shared" si="73"/>
        <v>-0.39891472868217059</v>
      </c>
      <c r="N172" s="1" t="str">
        <f t="shared" si="74"/>
        <v>Buy from Grid</v>
      </c>
      <c r="V172" s="1" t="str">
        <f t="shared" si="90"/>
        <v>discharge</v>
      </c>
      <c r="Y172" s="1">
        <f t="shared" si="71"/>
        <v>0.14486588372093023</v>
      </c>
      <c r="AA172" s="1">
        <f t="shared" si="75"/>
        <v>53.555201009144497</v>
      </c>
      <c r="AD172" s="1">
        <f t="shared" si="76"/>
        <v>0</v>
      </c>
      <c r="AF172" s="1">
        <f t="shared" si="77"/>
        <v>0</v>
      </c>
      <c r="AH172" s="1">
        <f t="shared" si="81"/>
        <v>0</v>
      </c>
    </row>
    <row r="173" spans="1:34" ht="15">
      <c r="A173" s="1">
        <v>172</v>
      </c>
      <c r="B173" s="1">
        <f t="shared" si="82"/>
        <v>0</v>
      </c>
      <c r="C173" s="1">
        <f t="shared" si="72"/>
        <v>-0.66914728682170543</v>
      </c>
      <c r="D173" s="1">
        <f t="shared" si="78"/>
        <v>34.600252531977674</v>
      </c>
      <c r="E173">
        <v>363.15</v>
      </c>
      <c r="K173" s="1">
        <f>'Solar Availability and Gener GR'!F173</f>
        <v>0</v>
      </c>
      <c r="L173" s="1">
        <v>0.66914728682170543</v>
      </c>
      <c r="M173" s="1">
        <f t="shared" si="73"/>
        <v>-0.66914728682170543</v>
      </c>
      <c r="N173" s="1" t="str">
        <f t="shared" si="74"/>
        <v>Buy from Grid</v>
      </c>
      <c r="V173" s="1" t="str">
        <f t="shared" si="90"/>
        <v>discharge</v>
      </c>
      <c r="Y173" s="1">
        <f t="shared" si="71"/>
        <v>0.24300083720930232</v>
      </c>
      <c r="AA173" s="1">
        <f t="shared" si="75"/>
        <v>52.886053722322792</v>
      </c>
      <c r="AD173" s="1">
        <f t="shared" si="76"/>
        <v>0</v>
      </c>
      <c r="AF173" s="1">
        <f t="shared" si="77"/>
        <v>0</v>
      </c>
      <c r="AH173" s="1">
        <f t="shared" si="81"/>
        <v>0</v>
      </c>
    </row>
    <row r="174" spans="1:34" ht="15">
      <c r="A174" s="1">
        <v>173</v>
      </c>
      <c r="B174" s="1">
        <f t="shared" si="82"/>
        <v>0</v>
      </c>
      <c r="C174" s="1">
        <f t="shared" si="72"/>
        <v>-0.66914728682170543</v>
      </c>
      <c r="D174" s="1">
        <f t="shared" si="78"/>
        <v>33.763818423450545</v>
      </c>
      <c r="E174">
        <v>363.15</v>
      </c>
      <c r="K174" s="1">
        <f>'Solar Availability and Gener GR'!F174</f>
        <v>0</v>
      </c>
      <c r="L174" s="1">
        <v>0.66914728682170543</v>
      </c>
      <c r="M174" s="1">
        <f t="shared" si="73"/>
        <v>-0.66914728682170543</v>
      </c>
      <c r="N174" s="1" t="str">
        <f t="shared" si="74"/>
        <v>Buy from Grid</v>
      </c>
      <c r="V174" s="1" t="str">
        <f t="shared" si="90"/>
        <v>discharge</v>
      </c>
      <c r="Y174" s="1">
        <f t="shared" si="71"/>
        <v>0.24300083720930232</v>
      </c>
      <c r="AA174" s="1">
        <f t="shared" si="75"/>
        <v>52.216906435501087</v>
      </c>
      <c r="AD174" s="1">
        <f t="shared" si="76"/>
        <v>0</v>
      </c>
      <c r="AF174" s="1">
        <f t="shared" si="77"/>
        <v>0</v>
      </c>
      <c r="AH174" s="1">
        <f t="shared" si="81"/>
        <v>0</v>
      </c>
    </row>
    <row r="175" spans="1:34" ht="15">
      <c r="A175" s="1">
        <v>174</v>
      </c>
      <c r="B175" s="1">
        <f t="shared" si="82"/>
        <v>0</v>
      </c>
      <c r="C175" s="1">
        <f t="shared" si="72"/>
        <v>-0.65627906976744199</v>
      </c>
      <c r="D175" s="1">
        <f t="shared" si="78"/>
        <v>32.943469586241243</v>
      </c>
      <c r="E175">
        <v>363.15</v>
      </c>
      <c r="K175" s="1">
        <f>'Solar Availability and Gener GR'!F175</f>
        <v>0</v>
      </c>
      <c r="L175" s="1">
        <v>0.65627906976744199</v>
      </c>
      <c r="M175" s="1">
        <f t="shared" si="73"/>
        <v>-0.65627906976744199</v>
      </c>
      <c r="N175" s="1" t="str">
        <f t="shared" si="74"/>
        <v>Buy from Grid</v>
      </c>
      <c r="V175" s="1" t="str">
        <f t="shared" si="90"/>
        <v>discharge</v>
      </c>
      <c r="Y175" s="1">
        <f t="shared" si="71"/>
        <v>0.23832774418604655</v>
      </c>
      <c r="AA175" s="1">
        <f t="shared" si="75"/>
        <v>51.560627365733644</v>
      </c>
      <c r="AD175" s="1">
        <f t="shared" si="76"/>
        <v>0</v>
      </c>
      <c r="AF175" s="1">
        <f t="shared" si="77"/>
        <v>0</v>
      </c>
      <c r="AH175" s="1">
        <f t="shared" si="81"/>
        <v>0</v>
      </c>
    </row>
    <row r="176" spans="1:34" ht="15">
      <c r="A176" s="1">
        <v>175</v>
      </c>
      <c r="B176" s="1">
        <f t="shared" si="82"/>
        <v>0</v>
      </c>
      <c r="C176" s="1">
        <f t="shared" si="72"/>
        <v>-0.38230295978695067</v>
      </c>
      <c r="D176" s="1">
        <f t="shared" si="78"/>
        <v>32.465590886507556</v>
      </c>
      <c r="E176">
        <v>363.15</v>
      </c>
      <c r="K176" s="1">
        <f>'Solar Availability and Gener GR'!F176</f>
        <v>1.6611768895219918E-2</v>
      </c>
      <c r="L176" s="1">
        <v>0.39891472868217059</v>
      </c>
      <c r="M176" s="1">
        <f t="shared" si="73"/>
        <v>-0.38230295978695067</v>
      </c>
      <c r="N176" s="1" t="str">
        <f t="shared" si="74"/>
        <v>Buy from Grid</v>
      </c>
      <c r="V176" s="1" t="str">
        <f t="shared" si="90"/>
        <v>discharge</v>
      </c>
      <c r="Y176" s="1">
        <f t="shared" si="71"/>
        <v>0.14486588372093023</v>
      </c>
      <c r="AA176" s="1">
        <f t="shared" si="75"/>
        <v>51.178324405946697</v>
      </c>
      <c r="AD176" s="1">
        <f t="shared" si="76"/>
        <v>0</v>
      </c>
      <c r="AF176" s="1">
        <f t="shared" si="77"/>
        <v>0</v>
      </c>
      <c r="AH176" s="1">
        <f t="shared" si="81"/>
        <v>0</v>
      </c>
    </row>
    <row r="177" spans="1:34" ht="15">
      <c r="A177" s="1">
        <v>176</v>
      </c>
      <c r="B177" s="1">
        <f t="shared" si="82"/>
        <v>0</v>
      </c>
      <c r="C177" s="1">
        <f t="shared" si="72"/>
        <v>-0.21033643259029858</v>
      </c>
      <c r="D177" s="1">
        <f t="shared" si="78"/>
        <v>32.202670345769683</v>
      </c>
      <c r="E177">
        <v>363.15</v>
      </c>
      <c r="K177" s="1">
        <f>'Solar Availability and Gener GR'!F177</f>
        <v>0.18857829609187202</v>
      </c>
      <c r="L177" s="1">
        <v>0.39891472868217059</v>
      </c>
      <c r="M177" s="1">
        <f t="shared" si="73"/>
        <v>-0.21033643259029858</v>
      </c>
      <c r="N177" s="1" t="str">
        <f t="shared" si="74"/>
        <v>Buy from Grid</v>
      </c>
      <c r="V177" s="1" t="str">
        <f t="shared" si="90"/>
        <v>discharge</v>
      </c>
      <c r="Y177" s="1">
        <f t="shared" si="71"/>
        <v>0.14486588372093023</v>
      </c>
      <c r="AA177" s="1">
        <f t="shared" si="75"/>
        <v>50.967987973356401</v>
      </c>
      <c r="AD177" s="1">
        <f t="shared" si="76"/>
        <v>0</v>
      </c>
      <c r="AF177" s="1">
        <f t="shared" si="77"/>
        <v>0</v>
      </c>
      <c r="AH177" s="1">
        <f t="shared" si="81"/>
        <v>0</v>
      </c>
    </row>
    <row r="178" spans="1:34" ht="15">
      <c r="A178" s="1">
        <v>177</v>
      </c>
      <c r="B178" s="1">
        <f t="shared" si="82"/>
        <v>0</v>
      </c>
      <c r="C178" s="1">
        <f t="shared" si="72"/>
        <v>7.6483651091707794E-2</v>
      </c>
      <c r="D178" s="1">
        <f t="shared" si="78"/>
        <v>32.298274909634316</v>
      </c>
      <c r="E178">
        <v>363.15</v>
      </c>
      <c r="K178" s="1">
        <f>'Solar Availability and Gener GR'!F178</f>
        <v>0.47539837977387839</v>
      </c>
      <c r="L178" s="1">
        <v>0.39891472868217059</v>
      </c>
      <c r="M178" s="1">
        <f t="shared" si="73"/>
        <v>7.6483651091707794E-2</v>
      </c>
      <c r="N178" s="1" t="str">
        <f t="shared" si="74"/>
        <v>sell the surplus or charge</v>
      </c>
      <c r="O178" s="1">
        <v>0.25</v>
      </c>
      <c r="P178" s="1">
        <f t="shared" ref="P178:P189" si="91">0.25/L178</f>
        <v>0.62670034978624167</v>
      </c>
      <c r="Q178" s="1">
        <f t="shared" ref="Q178:Q189" si="92">K178-P178*L178</f>
        <v>0.22539837977387839</v>
      </c>
      <c r="R178" s="1">
        <f t="shared" ref="R178:R189" si="93">((1/(E178+0.01))*LN(0.25))+(E178*(K178-0.25))</f>
        <v>81.849604304714532</v>
      </c>
      <c r="S178" s="1">
        <f t="shared" ref="S178:S189" si="94">((1/(E178+0.01))*LN(L178))+(E178*(K178-L178))</f>
        <v>27.772507307992928</v>
      </c>
      <c r="T178" s="1">
        <f t="shared" ref="T178:T189" si="95">(S178+((S178^2)-4*(K178-L178*P178)*LN(L178*P178))^(0.5))/(2*(K178-L178*P178))</f>
        <v>123.26509969798178</v>
      </c>
      <c r="U178" s="1" t="str">
        <f t="shared" ref="U178:U189" si="96">IF(E178&gt;=T178*1.2,"sell to the Grid","charge")</f>
        <v>sell to the Grid</v>
      </c>
      <c r="W178" s="1">
        <f>(Q178*E178)/1000</f>
        <v>8.1853421614883931E-2</v>
      </c>
      <c r="Y178" s="1">
        <f t="shared" si="71"/>
        <v>0.14486588372093023</v>
      </c>
      <c r="AA178" s="1">
        <f t="shared" si="75"/>
        <v>51.044471624448107</v>
      </c>
      <c r="AD178" s="1">
        <f t="shared" si="76"/>
        <v>0.25</v>
      </c>
      <c r="AF178" s="1">
        <f t="shared" si="77"/>
        <v>147.91811963757814</v>
      </c>
      <c r="AG178" s="1">
        <f>E178</f>
        <v>363.15</v>
      </c>
      <c r="AH178" s="1">
        <f t="shared" si="81"/>
        <v>81.853421614883928</v>
      </c>
    </row>
    <row r="179" spans="1:34" ht="15">
      <c r="A179" s="1">
        <v>178</v>
      </c>
      <c r="B179" s="1">
        <f t="shared" si="82"/>
        <v>0</v>
      </c>
      <c r="C179" s="1">
        <f t="shared" si="72"/>
        <v>0</v>
      </c>
      <c r="D179" s="1">
        <f t="shared" si="78"/>
        <v>32.298274909634316</v>
      </c>
      <c r="E179">
        <v>363.15</v>
      </c>
      <c r="K179" s="1">
        <f>'Solar Availability and Gener GR'!F179</f>
        <v>0.86753761239205807</v>
      </c>
      <c r="L179" s="1">
        <v>0.39891472868217059</v>
      </c>
      <c r="M179" s="1">
        <f t="shared" si="73"/>
        <v>0.46862288370988747</v>
      </c>
      <c r="N179" s="1" t="str">
        <f t="shared" si="74"/>
        <v>sell the surplus or charge</v>
      </c>
      <c r="O179" s="1">
        <v>0.25</v>
      </c>
      <c r="P179" s="1">
        <f t="shared" si="91"/>
        <v>0.62670034978624167</v>
      </c>
      <c r="Q179" s="1">
        <f t="shared" si="92"/>
        <v>0.61753761239205807</v>
      </c>
      <c r="R179" s="1">
        <f t="shared" si="93"/>
        <v>224.25496663000646</v>
      </c>
      <c r="S179" s="1">
        <f t="shared" si="94"/>
        <v>170.17786963328487</v>
      </c>
      <c r="T179" s="1">
        <f t="shared" si="95"/>
        <v>275.58305214651756</v>
      </c>
      <c r="U179" s="1" t="str">
        <f t="shared" si="96"/>
        <v>sell to the Grid</v>
      </c>
      <c r="W179" s="1">
        <f>(Q179*E179)/1000</f>
        <v>0.22425878394017587</v>
      </c>
      <c r="Y179" s="1">
        <f t="shared" si="71"/>
        <v>0.14486588372093023</v>
      </c>
      <c r="AA179" s="1">
        <f t="shared" si="75"/>
        <v>51.513094508157998</v>
      </c>
      <c r="AD179" s="1">
        <f t="shared" si="76"/>
        <v>0.25</v>
      </c>
      <c r="AF179" s="1">
        <f t="shared" si="77"/>
        <v>330.69966257582104</v>
      </c>
      <c r="AG179" s="1">
        <f>AF178</f>
        <v>147.91811963757814</v>
      </c>
      <c r="AH179" s="1">
        <f t="shared" si="81"/>
        <v>91.345002430512807</v>
      </c>
    </row>
    <row r="180" spans="1:34" ht="15">
      <c r="A180" s="1">
        <v>179</v>
      </c>
      <c r="B180" s="1">
        <f t="shared" si="82"/>
        <v>1.5937193982017253</v>
      </c>
      <c r="C180" s="1">
        <f t="shared" si="72"/>
        <v>0</v>
      </c>
      <c r="D180" s="1">
        <f t="shared" si="78"/>
        <v>33.573250428195699</v>
      </c>
      <c r="E180">
        <v>363.15</v>
      </c>
      <c r="K180" s="1">
        <f>'Solar Availability and Gener GR'!F180</f>
        <v>1.8437193982017253</v>
      </c>
      <c r="L180" s="1">
        <v>0.39891472868217059</v>
      </c>
      <c r="M180" s="1">
        <f t="shared" si="73"/>
        <v>1.4448046695195547</v>
      </c>
      <c r="N180" s="1" t="str">
        <f t="shared" si="74"/>
        <v>sell the surplus or charge</v>
      </c>
      <c r="O180" s="1">
        <v>0.25</v>
      </c>
      <c r="P180" s="1">
        <f t="shared" si="91"/>
        <v>0.62670034978624167</v>
      </c>
      <c r="Q180" s="1">
        <f t="shared" si="92"/>
        <v>1.5937193982017253</v>
      </c>
      <c r="R180" s="1">
        <f t="shared" si="93"/>
        <v>578.75538214678704</v>
      </c>
      <c r="S180" s="1">
        <f t="shared" si="94"/>
        <v>524.67828515006545</v>
      </c>
      <c r="T180" s="1">
        <f t="shared" si="95"/>
        <v>329.21886788946739</v>
      </c>
      <c r="U180" s="1" t="str">
        <f t="shared" si="96"/>
        <v>charge</v>
      </c>
      <c r="Y180" s="1">
        <f t="shared" si="71"/>
        <v>0.14486588372093023</v>
      </c>
      <c r="AA180" s="1">
        <f t="shared" si="75"/>
        <v>52.957899177677554</v>
      </c>
      <c r="AD180" s="1">
        <f t="shared" si="76"/>
        <v>0.25</v>
      </c>
      <c r="AF180" s="1">
        <f t="shared" si="77"/>
        <v>395.06264146736083</v>
      </c>
      <c r="AH180" s="1">
        <f t="shared" si="81"/>
        <v>0</v>
      </c>
    </row>
    <row r="181" spans="1:34" ht="15">
      <c r="A181" s="1">
        <v>180</v>
      </c>
      <c r="B181" s="1">
        <f t="shared" si="82"/>
        <v>2.4645820350752228</v>
      </c>
      <c r="C181" s="1">
        <f t="shared" si="72"/>
        <v>0</v>
      </c>
      <c r="D181" s="1">
        <f t="shared" si="78"/>
        <v>35.544916056255879</v>
      </c>
      <c r="E181">
        <v>363.15</v>
      </c>
      <c r="K181" s="1">
        <f>'Solar Availability and Gener GR'!F181</f>
        <v>2.7145820350752228</v>
      </c>
      <c r="L181" s="1">
        <v>0.39891472868217059</v>
      </c>
      <c r="M181" s="1">
        <f t="shared" si="73"/>
        <v>2.3156673063930522</v>
      </c>
      <c r="N181" s="1" t="str">
        <f t="shared" si="74"/>
        <v>sell the surplus or charge</v>
      </c>
      <c r="O181" s="1">
        <v>0.25</v>
      </c>
      <c r="P181" s="1">
        <f t="shared" si="91"/>
        <v>0.62670034978624167</v>
      </c>
      <c r="Q181" s="1">
        <f t="shared" si="92"/>
        <v>2.4645820350752228</v>
      </c>
      <c r="R181" s="1">
        <f t="shared" si="93"/>
        <v>895.0091487273977</v>
      </c>
      <c r="S181" s="1">
        <f t="shared" si="94"/>
        <v>840.93205173067599</v>
      </c>
      <c r="T181" s="1">
        <f t="shared" si="95"/>
        <v>341.20840883320358</v>
      </c>
      <c r="U181" s="1" t="str">
        <f t="shared" si="96"/>
        <v>charge</v>
      </c>
      <c r="Y181" s="1">
        <f t="shared" si="71"/>
        <v>0.14486588372093023</v>
      </c>
      <c r="AA181" s="1">
        <f t="shared" si="75"/>
        <v>55.273566484070606</v>
      </c>
      <c r="AD181" s="1">
        <f t="shared" si="76"/>
        <v>0.25</v>
      </c>
      <c r="AF181" s="1">
        <f t="shared" si="77"/>
        <v>409.45009059984426</v>
      </c>
      <c r="AH181" s="1">
        <f t="shared" si="81"/>
        <v>0</v>
      </c>
    </row>
    <row r="182" spans="1:34" ht="15">
      <c r="A182" s="1">
        <v>181</v>
      </c>
      <c r="B182" s="1">
        <f t="shared" si="82"/>
        <v>2.7705377014154697</v>
      </c>
      <c r="C182" s="1">
        <f t="shared" si="72"/>
        <v>0</v>
      </c>
      <c r="D182" s="1">
        <f t="shared" si="78"/>
        <v>37.761346217388251</v>
      </c>
      <c r="E182">
        <v>363.15</v>
      </c>
      <c r="K182" s="1">
        <f>'Solar Availability and Gener GR'!F182</f>
        <v>3.0205377014154697</v>
      </c>
      <c r="L182" s="1">
        <v>0.39891472868217059</v>
      </c>
      <c r="M182" s="1">
        <f t="shared" si="73"/>
        <v>2.6216229727332991</v>
      </c>
      <c r="N182" s="1" t="str">
        <f t="shared" si="74"/>
        <v>sell the surplus or charge</v>
      </c>
      <c r="O182" s="1">
        <v>0.25</v>
      </c>
      <c r="P182" s="1">
        <f t="shared" si="91"/>
        <v>0.62670034978624167</v>
      </c>
      <c r="Q182" s="1">
        <f t="shared" si="92"/>
        <v>2.7705377014154697</v>
      </c>
      <c r="R182" s="1">
        <f t="shared" si="93"/>
        <v>1006.1169489588583</v>
      </c>
      <c r="S182" s="1">
        <f t="shared" si="94"/>
        <v>952.03985196213671</v>
      </c>
      <c r="T182" s="1">
        <f t="shared" si="95"/>
        <v>343.63144949204911</v>
      </c>
      <c r="U182" s="1" t="str">
        <f t="shared" si="96"/>
        <v>charge</v>
      </c>
      <c r="Y182" s="1">
        <f t="shared" si="71"/>
        <v>0.14486588372093023</v>
      </c>
      <c r="AA182" s="1">
        <f t="shared" si="75"/>
        <v>57.895189456803905</v>
      </c>
      <c r="AD182" s="1">
        <f t="shared" si="76"/>
        <v>0.25</v>
      </c>
      <c r="AF182" s="1">
        <f t="shared" si="77"/>
        <v>412.3577393904589</v>
      </c>
      <c r="AH182" s="1">
        <f t="shared" si="81"/>
        <v>0</v>
      </c>
    </row>
    <row r="183" spans="1:34" ht="15">
      <c r="A183" s="1">
        <v>182</v>
      </c>
      <c r="B183" s="1">
        <f t="shared" si="82"/>
        <v>2.8658417163714054</v>
      </c>
      <c r="C183" s="1">
        <f t="shared" si="72"/>
        <v>0</v>
      </c>
      <c r="D183" s="1">
        <f t="shared" si="78"/>
        <v>40.054019590485375</v>
      </c>
      <c r="E183">
        <v>363.15</v>
      </c>
      <c r="K183" s="1">
        <f>'Solar Availability and Gener GR'!F183</f>
        <v>3.1158417163714054</v>
      </c>
      <c r="L183" s="1">
        <v>0.39891472868217059</v>
      </c>
      <c r="M183" s="1">
        <f t="shared" si="73"/>
        <v>2.7169269876892348</v>
      </c>
      <c r="N183" s="1" t="str">
        <f t="shared" si="74"/>
        <v>sell the surplus or charge</v>
      </c>
      <c r="O183" s="1">
        <v>0.25</v>
      </c>
      <c r="P183" s="1">
        <f t="shared" si="91"/>
        <v>0.62670034978624167</v>
      </c>
      <c r="Q183" s="1">
        <f t="shared" si="92"/>
        <v>2.8658417163714054</v>
      </c>
      <c r="R183" s="1">
        <f t="shared" si="93"/>
        <v>1040.7266019901065</v>
      </c>
      <c r="S183" s="1">
        <f t="shared" si="94"/>
        <v>986.64950499338477</v>
      </c>
      <c r="T183" s="1">
        <f t="shared" si="95"/>
        <v>344.28053929101708</v>
      </c>
      <c r="U183" s="1" t="str">
        <f t="shared" si="96"/>
        <v>charge</v>
      </c>
      <c r="Y183" s="1">
        <f t="shared" si="71"/>
        <v>0.14486588372093023</v>
      </c>
      <c r="AA183" s="1">
        <f t="shared" si="75"/>
        <v>60.61211644449314</v>
      </c>
      <c r="AD183" s="1">
        <f t="shared" si="76"/>
        <v>0.25</v>
      </c>
      <c r="AF183" s="1">
        <f t="shared" si="77"/>
        <v>413.13664714922049</v>
      </c>
      <c r="AH183" s="1">
        <f t="shared" si="81"/>
        <v>0</v>
      </c>
    </row>
    <row r="184" spans="1:34" ht="15">
      <c r="A184" s="1">
        <v>183</v>
      </c>
      <c r="B184" s="1">
        <f t="shared" si="82"/>
        <v>2.7601086085640518</v>
      </c>
      <c r="C184" s="1">
        <f t="shared" si="72"/>
        <v>0</v>
      </c>
      <c r="D184" s="1">
        <f t="shared" si="78"/>
        <v>42.262106477336616</v>
      </c>
      <c r="E184">
        <v>363.15</v>
      </c>
      <c r="K184" s="1">
        <f>'Solar Availability and Gener GR'!F184</f>
        <v>3.0101086085640518</v>
      </c>
      <c r="L184" s="1">
        <v>0.39891472868217059</v>
      </c>
      <c r="M184" s="1">
        <f t="shared" si="73"/>
        <v>2.6111938798818812</v>
      </c>
      <c r="N184" s="1" t="str">
        <f t="shared" si="74"/>
        <v>sell the surplus or charge</v>
      </c>
      <c r="O184" s="1">
        <v>0.25</v>
      </c>
      <c r="P184" s="1">
        <f t="shared" si="91"/>
        <v>0.62670034978624167</v>
      </c>
      <c r="Q184" s="1">
        <f t="shared" si="92"/>
        <v>2.7601086085640518</v>
      </c>
      <c r="R184" s="1">
        <f t="shared" si="93"/>
        <v>1002.329623889866</v>
      </c>
      <c r="S184" s="1">
        <f t="shared" si="94"/>
        <v>948.25252689314425</v>
      </c>
      <c r="T184" s="1">
        <f t="shared" si="95"/>
        <v>343.5576988037904</v>
      </c>
      <c r="U184" s="1" t="str">
        <f t="shared" si="96"/>
        <v>charge</v>
      </c>
      <c r="Y184" s="1">
        <f t="shared" si="71"/>
        <v>0.14486588372093023</v>
      </c>
      <c r="AA184" s="1">
        <f t="shared" si="75"/>
        <v>63.223310324375021</v>
      </c>
      <c r="AD184" s="1">
        <f t="shared" si="76"/>
        <v>0.25</v>
      </c>
      <c r="AF184" s="1">
        <f t="shared" si="77"/>
        <v>412.26923856454846</v>
      </c>
      <c r="AH184" s="1">
        <f t="shared" si="81"/>
        <v>0</v>
      </c>
    </row>
    <row r="185" spans="1:34" ht="15">
      <c r="A185" s="1">
        <v>184</v>
      </c>
      <c r="B185" s="1">
        <f t="shared" si="82"/>
        <v>2.482048428736757</v>
      </c>
      <c r="C185" s="1">
        <f t="shared" si="72"/>
        <v>0</v>
      </c>
      <c r="D185" s="1">
        <f t="shared" si="78"/>
        <v>44.247745220326024</v>
      </c>
      <c r="E185">
        <v>363.15</v>
      </c>
      <c r="K185" s="1">
        <f>'Solar Availability and Gener GR'!F185</f>
        <v>2.732048428736757</v>
      </c>
      <c r="L185" s="1">
        <v>0.65627906976744199</v>
      </c>
      <c r="M185" s="1">
        <f t="shared" si="73"/>
        <v>2.0757693589693149</v>
      </c>
      <c r="N185" s="1" t="str">
        <f t="shared" si="74"/>
        <v>sell the surplus or charge</v>
      </c>
      <c r="O185" s="1">
        <v>0.25</v>
      </c>
      <c r="P185" s="1">
        <f t="shared" si="91"/>
        <v>0.38093550673281351</v>
      </c>
      <c r="Q185" s="1">
        <f t="shared" si="92"/>
        <v>2.482048428736757</v>
      </c>
      <c r="R185" s="1">
        <f t="shared" si="93"/>
        <v>901.35206958558376</v>
      </c>
      <c r="S185" s="1">
        <f t="shared" si="94"/>
        <v>753.81448297523912</v>
      </c>
      <c r="T185" s="1">
        <f t="shared" si="95"/>
        <v>303.708436468961</v>
      </c>
      <c r="U185" s="1" t="str">
        <f t="shared" si="96"/>
        <v>charge</v>
      </c>
      <c r="Y185" s="1">
        <f t="shared" si="71"/>
        <v>0.23832774418604655</v>
      </c>
      <c r="AA185" s="1">
        <f t="shared" si="75"/>
        <v>65.299079683344331</v>
      </c>
      <c r="AD185" s="1">
        <f t="shared" si="76"/>
        <v>0.25</v>
      </c>
      <c r="AF185" s="1">
        <f t="shared" si="77"/>
        <v>364.45012376275321</v>
      </c>
      <c r="AH185" s="1">
        <f t="shared" si="81"/>
        <v>0</v>
      </c>
    </row>
    <row r="186" spans="1:34" ht="15">
      <c r="A186" s="1">
        <v>185</v>
      </c>
      <c r="B186" s="1">
        <f t="shared" si="82"/>
        <v>0</v>
      </c>
      <c r="C186" s="1">
        <f t="shared" si="72"/>
        <v>0</v>
      </c>
      <c r="D186" s="1">
        <f t="shared" si="78"/>
        <v>44.247745220326024</v>
      </c>
      <c r="E186">
        <v>363.15</v>
      </c>
      <c r="K186" s="1">
        <f>'Solar Availability and Gener GR'!F186</f>
        <v>2.2528977120982803</v>
      </c>
      <c r="L186" s="1">
        <v>0.66914728682170543</v>
      </c>
      <c r="M186" s="1">
        <f t="shared" si="73"/>
        <v>1.5837504252765748</v>
      </c>
      <c r="N186" s="1" t="str">
        <f t="shared" si="74"/>
        <v>sell the surplus or charge</v>
      </c>
      <c r="O186" s="1">
        <v>0.25</v>
      </c>
      <c r="P186" s="1">
        <f t="shared" si="91"/>
        <v>0.3736098239110287</v>
      </c>
      <c r="Q186" s="1">
        <f t="shared" si="92"/>
        <v>2.0028977120982803</v>
      </c>
      <c r="R186" s="1">
        <f t="shared" si="93"/>
        <v>727.34848683832104</v>
      </c>
      <c r="S186" s="1">
        <f t="shared" si="94"/>
        <v>575.13786067450201</v>
      </c>
      <c r="T186" s="1">
        <f t="shared" si="95"/>
        <v>287.15529748826879</v>
      </c>
      <c r="U186" s="1" t="str">
        <f t="shared" si="96"/>
        <v>sell to the Grid</v>
      </c>
      <c r="W186" s="1">
        <f>(Q186*E186)/1000</f>
        <v>0.7273523041484905</v>
      </c>
      <c r="Y186" s="1">
        <f t="shared" si="71"/>
        <v>0.24300083720930232</v>
      </c>
      <c r="AA186" s="1">
        <f t="shared" si="75"/>
        <v>66.882830108620908</v>
      </c>
      <c r="AD186" s="1">
        <f t="shared" si="76"/>
        <v>0.25</v>
      </c>
      <c r="AF186" s="1">
        <f t="shared" si="77"/>
        <v>344.58635698592252</v>
      </c>
      <c r="AG186" s="1">
        <f>AF185</f>
        <v>364.45012376275321</v>
      </c>
      <c r="AH186" s="1">
        <f t="shared" si="81"/>
        <v>729.95631905835353</v>
      </c>
    </row>
    <row r="187" spans="1:34" ht="15">
      <c r="A187" s="1">
        <v>186</v>
      </c>
      <c r="B187" s="1">
        <f t="shared" si="82"/>
        <v>0</v>
      </c>
      <c r="C187" s="1">
        <f t="shared" si="72"/>
        <v>0</v>
      </c>
      <c r="D187" s="1">
        <f t="shared" si="78"/>
        <v>44.247745220326024</v>
      </c>
      <c r="E187">
        <v>363.15</v>
      </c>
      <c r="K187" s="1">
        <f>'Solar Availability and Gener GR'!F187</f>
        <v>1.6588800854624735</v>
      </c>
      <c r="L187" s="1">
        <v>0.65627906976744199</v>
      </c>
      <c r="M187" s="1">
        <f t="shared" si="73"/>
        <v>1.0026010156950314</v>
      </c>
      <c r="N187" s="1" t="str">
        <f t="shared" si="74"/>
        <v>sell the surplus or charge</v>
      </c>
      <c r="O187" s="1">
        <v>0.25</v>
      </c>
      <c r="P187" s="1">
        <f t="shared" si="91"/>
        <v>0.38093550673281351</v>
      </c>
      <c r="Q187" s="1">
        <f t="shared" si="92"/>
        <v>1.4088800854624735</v>
      </c>
      <c r="R187" s="1">
        <f t="shared" si="93"/>
        <v>511.63098572552781</v>
      </c>
      <c r="S187" s="1">
        <f t="shared" si="94"/>
        <v>364.09339911518299</v>
      </c>
      <c r="T187" s="1">
        <f t="shared" si="95"/>
        <v>258.43133644790873</v>
      </c>
      <c r="U187" s="1" t="str">
        <f t="shared" si="96"/>
        <v>sell to the Grid</v>
      </c>
      <c r="W187" s="1">
        <f>(Q187*E187)/1000</f>
        <v>0.51163480303569719</v>
      </c>
      <c r="Y187" s="1">
        <f t="shared" si="71"/>
        <v>0.23832774418604655</v>
      </c>
      <c r="AA187" s="1">
        <f t="shared" si="75"/>
        <v>67.885431124315943</v>
      </c>
      <c r="AD187" s="1">
        <f t="shared" si="76"/>
        <v>0.25</v>
      </c>
      <c r="AF187" s="1">
        <f t="shared" si="77"/>
        <v>310.11760373749047</v>
      </c>
      <c r="AG187" s="1">
        <f t="shared" ref="AG187:AG189" si="97">AF186</f>
        <v>344.58635698592252</v>
      </c>
      <c r="AH187" s="1">
        <f t="shared" si="81"/>
        <v>485.48085607952891</v>
      </c>
    </row>
    <row r="188" spans="1:34" ht="15">
      <c r="A188" s="1">
        <v>187</v>
      </c>
      <c r="B188" s="1">
        <f t="shared" si="82"/>
        <v>0</v>
      </c>
      <c r="C188" s="1">
        <f t="shared" si="72"/>
        <v>0</v>
      </c>
      <c r="D188" s="1">
        <f t="shared" si="78"/>
        <v>44.247745220326024</v>
      </c>
      <c r="E188">
        <v>363.15</v>
      </c>
      <c r="K188" s="1">
        <f>'Solar Availability and Gener GR'!F188</f>
        <v>1.6588800854624735</v>
      </c>
      <c r="L188" s="1">
        <v>0.66914728682170543</v>
      </c>
      <c r="M188" s="1">
        <f t="shared" si="73"/>
        <v>0.98973279864076802</v>
      </c>
      <c r="N188" s="1" t="str">
        <f t="shared" si="74"/>
        <v>sell the surplus or charge</v>
      </c>
      <c r="O188" s="1">
        <v>0.25</v>
      </c>
      <c r="P188" s="1">
        <f t="shared" si="91"/>
        <v>0.3736098239110287</v>
      </c>
      <c r="Q188" s="1">
        <f t="shared" si="92"/>
        <v>1.4088800854624735</v>
      </c>
      <c r="R188" s="1">
        <f t="shared" si="93"/>
        <v>511.63098572552781</v>
      </c>
      <c r="S188" s="1">
        <f t="shared" si="94"/>
        <v>359.42035956170872</v>
      </c>
      <c r="T188" s="1">
        <f t="shared" si="95"/>
        <v>255.11453904282567</v>
      </c>
      <c r="U188" s="1" t="str">
        <f t="shared" si="96"/>
        <v>sell to the Grid</v>
      </c>
      <c r="W188" s="1">
        <f>(Q188*E188)/1000</f>
        <v>0.51163480303569719</v>
      </c>
      <c r="Y188" s="1">
        <f t="shared" si="71"/>
        <v>0.24300083720930232</v>
      </c>
      <c r="AA188" s="1">
        <f t="shared" si="75"/>
        <v>68.875163922956716</v>
      </c>
      <c r="AD188" s="1">
        <f t="shared" si="76"/>
        <v>0.25</v>
      </c>
      <c r="AF188" s="1">
        <f t="shared" si="77"/>
        <v>306.13744685139079</v>
      </c>
      <c r="AG188" s="1">
        <f t="shared" si="97"/>
        <v>310.11760373749047</v>
      </c>
      <c r="AH188" s="1">
        <f t="shared" si="81"/>
        <v>436.91851605709303</v>
      </c>
    </row>
    <row r="189" spans="1:34" ht="15">
      <c r="A189" s="1">
        <v>188</v>
      </c>
      <c r="B189" s="1">
        <f t="shared" si="82"/>
        <v>0</v>
      </c>
      <c r="C189" s="1">
        <f t="shared" si="72"/>
        <v>0</v>
      </c>
      <c r="D189" s="1">
        <f t="shared" si="78"/>
        <v>44.247745220326024</v>
      </c>
      <c r="E189">
        <v>363.15</v>
      </c>
      <c r="K189" s="1">
        <f>'Solar Availability and Gener GR'!F189</f>
        <v>0.89248197275883356</v>
      </c>
      <c r="L189" s="1">
        <v>0.39891472868217059</v>
      </c>
      <c r="M189" s="1">
        <f t="shared" si="73"/>
        <v>0.49356724407666297</v>
      </c>
      <c r="N189" s="1" t="str">
        <f t="shared" si="74"/>
        <v>sell the surplus or charge</v>
      </c>
      <c r="O189" s="1">
        <v>0.25</v>
      </c>
      <c r="P189" s="1">
        <f t="shared" si="91"/>
        <v>0.62670034978624167</v>
      </c>
      <c r="Q189" s="1">
        <f t="shared" si="92"/>
        <v>0.64248197275883356</v>
      </c>
      <c r="R189" s="1">
        <f t="shared" si="93"/>
        <v>233.31351109720097</v>
      </c>
      <c r="S189" s="1">
        <f t="shared" si="94"/>
        <v>179.23641410047938</v>
      </c>
      <c r="T189" s="1">
        <f t="shared" si="95"/>
        <v>278.98274318134827</v>
      </c>
      <c r="U189" s="1" t="str">
        <f t="shared" si="96"/>
        <v>sell to the Grid</v>
      </c>
      <c r="W189" s="1">
        <f>(Q189*E189)/1000</f>
        <v>0.23331732840737038</v>
      </c>
      <c r="Y189" s="1">
        <f t="shared" si="71"/>
        <v>0.14486588372093023</v>
      </c>
      <c r="AA189" s="1">
        <f t="shared" si="75"/>
        <v>69.368731167033374</v>
      </c>
      <c r="AD189" s="1">
        <f t="shared" si="76"/>
        <v>0.25</v>
      </c>
      <c r="AF189" s="1">
        <f t="shared" si="77"/>
        <v>334.77929181761789</v>
      </c>
      <c r="AG189" s="1">
        <f t="shared" si="97"/>
        <v>306.13744685139079</v>
      </c>
      <c r="AH189" s="1">
        <f t="shared" si="81"/>
        <v>196.68779078843411</v>
      </c>
    </row>
    <row r="190" spans="1:34" ht="15">
      <c r="A190" s="1">
        <v>189</v>
      </c>
      <c r="B190" s="1">
        <f t="shared" si="82"/>
        <v>0</v>
      </c>
      <c r="C190" s="1">
        <f t="shared" si="72"/>
        <v>0</v>
      </c>
      <c r="D190" s="1">
        <f t="shared" si="78"/>
        <v>44.247745220326024</v>
      </c>
      <c r="E190">
        <v>363.15</v>
      </c>
      <c r="K190" s="1">
        <f>'Solar Availability and Gener GR'!F190</f>
        <v>0.26016647378260532</v>
      </c>
      <c r="L190" s="1">
        <v>0.39891472868217059</v>
      </c>
      <c r="M190" s="1">
        <f t="shared" si="73"/>
        <v>-0.13874825489956527</v>
      </c>
      <c r="N190" s="1" t="str">
        <f t="shared" si="74"/>
        <v>Buy from Grid</v>
      </c>
      <c r="V190" s="1" t="str">
        <f t="shared" ref="V190:V202" si="98">IF(D190+M190&gt;0,"discharge","buy from the Grid")</f>
        <v>discharge</v>
      </c>
      <c r="Y190" s="1">
        <f t="shared" si="71"/>
        <v>0.14486588372093023</v>
      </c>
      <c r="AA190" s="1">
        <f t="shared" si="75"/>
        <v>69.229982912133806</v>
      </c>
      <c r="AD190" s="1">
        <f t="shared" si="76"/>
        <v>0</v>
      </c>
      <c r="AF190" s="1">
        <f t="shared" si="77"/>
        <v>0</v>
      </c>
      <c r="AH190" s="1">
        <f t="shared" si="81"/>
        <v>0</v>
      </c>
    </row>
    <row r="191" spans="1:34" ht="15">
      <c r="A191" s="1">
        <v>190</v>
      </c>
      <c r="B191" s="1">
        <f t="shared" si="82"/>
        <v>0</v>
      </c>
      <c r="C191" s="1">
        <f t="shared" si="72"/>
        <v>-0.38805832344759345</v>
      </c>
      <c r="D191" s="1">
        <f t="shared" si="78"/>
        <v>43.762672316016534</v>
      </c>
      <c r="E191">
        <v>363.15</v>
      </c>
      <c r="K191" s="1">
        <f>'Solar Availability and Gener GR'!F191</f>
        <v>1.0856405234577132E-2</v>
      </c>
      <c r="L191" s="1">
        <v>0.39891472868217059</v>
      </c>
      <c r="M191" s="1">
        <f t="shared" si="73"/>
        <v>-0.38805832344759345</v>
      </c>
      <c r="N191" s="1" t="str">
        <f t="shared" si="74"/>
        <v>Buy from Grid</v>
      </c>
      <c r="V191" s="1" t="str">
        <f t="shared" si="98"/>
        <v>discharge</v>
      </c>
      <c r="Y191" s="1">
        <f t="shared" si="71"/>
        <v>0.14486588372093023</v>
      </c>
      <c r="AA191" s="1">
        <f t="shared" si="75"/>
        <v>68.841924588686211</v>
      </c>
      <c r="AD191" s="1">
        <f t="shared" si="76"/>
        <v>0</v>
      </c>
      <c r="AF191" s="1">
        <f t="shared" si="77"/>
        <v>0</v>
      </c>
      <c r="AH191" s="1">
        <f t="shared" si="81"/>
        <v>0</v>
      </c>
    </row>
    <row r="192" spans="1:34" ht="15">
      <c r="A192" s="1">
        <v>191</v>
      </c>
      <c r="B192" s="1">
        <f t="shared" si="82"/>
        <v>0</v>
      </c>
      <c r="C192" s="1">
        <f t="shared" si="72"/>
        <v>-0.29596899224806206</v>
      </c>
      <c r="D192" s="1">
        <f t="shared" si="78"/>
        <v>43.392711075706458</v>
      </c>
      <c r="E192">
        <v>363.15</v>
      </c>
      <c r="K192" s="1">
        <f>'Solar Availability and Gener GR'!F192</f>
        <v>0</v>
      </c>
      <c r="L192" s="1">
        <v>0.29596899224806206</v>
      </c>
      <c r="M192" s="1">
        <f t="shared" si="73"/>
        <v>-0.29596899224806206</v>
      </c>
      <c r="N192" s="1" t="str">
        <f t="shared" si="74"/>
        <v>Buy from Grid</v>
      </c>
      <c r="V192" s="1" t="str">
        <f t="shared" si="98"/>
        <v>discharge</v>
      </c>
      <c r="Y192" s="1">
        <f t="shared" si="71"/>
        <v>0.10748113953488372</v>
      </c>
      <c r="AA192" s="1">
        <f t="shared" si="75"/>
        <v>68.545955596438148</v>
      </c>
      <c r="AD192" s="1">
        <f t="shared" si="76"/>
        <v>0</v>
      </c>
      <c r="AF192" s="1">
        <f t="shared" si="77"/>
        <v>0</v>
      </c>
      <c r="AH192" s="1">
        <f t="shared" si="81"/>
        <v>0</v>
      </c>
    </row>
    <row r="193" spans="1:34" ht="15">
      <c r="A193" s="1">
        <v>192</v>
      </c>
      <c r="B193" s="1">
        <f t="shared" si="82"/>
        <v>0</v>
      </c>
      <c r="C193" s="1">
        <f t="shared" si="72"/>
        <v>-0.30883720930232561</v>
      </c>
      <c r="D193" s="1">
        <f t="shared" si="78"/>
        <v>43.006664564078548</v>
      </c>
      <c r="E193">
        <v>363.15</v>
      </c>
      <c r="K193" s="1">
        <f>'Solar Availability and Gener GR'!F193</f>
        <v>0</v>
      </c>
      <c r="L193" s="1">
        <v>0.30883720930232561</v>
      </c>
      <c r="M193" s="1">
        <f t="shared" si="73"/>
        <v>-0.30883720930232561</v>
      </c>
      <c r="N193" s="1" t="str">
        <f t="shared" si="74"/>
        <v>Buy from Grid</v>
      </c>
      <c r="V193" s="1" t="str">
        <f t="shared" si="98"/>
        <v>discharge</v>
      </c>
      <c r="Y193" s="1">
        <f t="shared" si="71"/>
        <v>0.11215423255813954</v>
      </c>
      <c r="AA193" s="1">
        <f t="shared" si="75"/>
        <v>68.237118387135823</v>
      </c>
      <c r="AD193" s="1">
        <f t="shared" si="76"/>
        <v>0</v>
      </c>
      <c r="AF193" s="1">
        <f t="shared" si="77"/>
        <v>0</v>
      </c>
      <c r="AH193" s="1">
        <f t="shared" si="81"/>
        <v>0</v>
      </c>
    </row>
    <row r="194" spans="1:34" ht="15">
      <c r="A194" s="1">
        <v>193</v>
      </c>
      <c r="B194" s="1">
        <f t="shared" si="82"/>
        <v>0</v>
      </c>
      <c r="C194" s="1">
        <f t="shared" si="72"/>
        <v>-0.29596899224806206</v>
      </c>
      <c r="D194" s="1">
        <f t="shared" si="78"/>
        <v>42.636703323768472</v>
      </c>
      <c r="E194">
        <v>363.15</v>
      </c>
      <c r="K194" s="1">
        <f>'Solar Availability and Gener GR'!F194</f>
        <v>0</v>
      </c>
      <c r="L194" s="1">
        <v>0.29596899224806206</v>
      </c>
      <c r="M194" s="1">
        <f t="shared" si="73"/>
        <v>-0.29596899224806206</v>
      </c>
      <c r="N194" s="1" t="str">
        <f t="shared" si="74"/>
        <v>Buy from Grid</v>
      </c>
      <c r="V194" s="1" t="str">
        <f t="shared" si="98"/>
        <v>discharge</v>
      </c>
      <c r="Y194" s="1">
        <f t="shared" ref="Y194:Y257" si="99">(L194*E194)/1000</f>
        <v>0.10748113953488372</v>
      </c>
      <c r="AA194" s="1">
        <f t="shared" si="75"/>
        <v>67.941149394887759</v>
      </c>
      <c r="AD194" s="1">
        <f t="shared" si="76"/>
        <v>0</v>
      </c>
      <c r="AF194" s="1">
        <f t="shared" si="77"/>
        <v>0</v>
      </c>
      <c r="AH194" s="1">
        <f t="shared" si="81"/>
        <v>0</v>
      </c>
    </row>
    <row r="195" spans="1:34" ht="15">
      <c r="A195" s="1">
        <v>194</v>
      </c>
      <c r="B195" s="1">
        <f t="shared" si="82"/>
        <v>0</v>
      </c>
      <c r="C195" s="1">
        <f t="shared" ref="C195:C258" si="100">IF(V194="discharge",M195,0)</f>
        <v>-0.29596899224806206</v>
      </c>
      <c r="D195" s="1">
        <f t="shared" si="78"/>
        <v>42.266742083458396</v>
      </c>
      <c r="E195">
        <v>363.15</v>
      </c>
      <c r="K195" s="1">
        <f>'Solar Availability and Gener GR'!F195</f>
        <v>0</v>
      </c>
      <c r="L195" s="1">
        <v>0.29596899224806206</v>
      </c>
      <c r="M195" s="1">
        <f t="shared" ref="M195:M258" si="101">K195-L195</f>
        <v>-0.29596899224806206</v>
      </c>
      <c r="N195" s="1" t="str">
        <f t="shared" ref="N195:N258" si="102">IF(M195&lt;0,"Buy from Grid","sell the surplus or charge")</f>
        <v>Buy from Grid</v>
      </c>
      <c r="V195" s="1" t="str">
        <f t="shared" si="98"/>
        <v>discharge</v>
      </c>
      <c r="Y195" s="1">
        <f t="shared" si="99"/>
        <v>0.10748113953488372</v>
      </c>
      <c r="AA195" s="1">
        <f t="shared" ref="AA195:AA258" si="103">M195+AA194</f>
        <v>67.645180402639696</v>
      </c>
      <c r="AD195" s="1">
        <f t="shared" ref="AD195:AD258" si="104">AC195+O195</f>
        <v>0</v>
      </c>
      <c r="AF195" s="1">
        <f t="shared" ref="AF195:AF258" si="105">T195*1.2</f>
        <v>0</v>
      </c>
      <c r="AH195" s="1">
        <f t="shared" si="81"/>
        <v>0</v>
      </c>
    </row>
    <row r="196" spans="1:34" ht="15">
      <c r="A196" s="1">
        <v>195</v>
      </c>
      <c r="B196" s="1">
        <f t="shared" si="82"/>
        <v>0</v>
      </c>
      <c r="C196" s="1">
        <f t="shared" si="100"/>
        <v>-0.29596899224806206</v>
      </c>
      <c r="D196" s="1">
        <f t="shared" ref="D196:D259" si="106">(D195)+(B196*0.8)+(C196/0.8)</f>
        <v>41.896780843148321</v>
      </c>
      <c r="E196">
        <v>363.15</v>
      </c>
      <c r="K196" s="1">
        <f>'Solar Availability and Gener GR'!F196</f>
        <v>0</v>
      </c>
      <c r="L196" s="1">
        <v>0.29596899224806206</v>
      </c>
      <c r="M196" s="1">
        <f t="shared" si="101"/>
        <v>-0.29596899224806206</v>
      </c>
      <c r="N196" s="1" t="str">
        <f t="shared" si="102"/>
        <v>Buy from Grid</v>
      </c>
      <c r="V196" s="1" t="str">
        <f t="shared" si="98"/>
        <v>discharge</v>
      </c>
      <c r="Y196" s="1">
        <f t="shared" si="99"/>
        <v>0.10748113953488372</v>
      </c>
      <c r="AA196" s="1">
        <f t="shared" si="103"/>
        <v>67.349211410391632</v>
      </c>
      <c r="AD196" s="1">
        <f t="shared" si="104"/>
        <v>0</v>
      </c>
      <c r="AF196" s="1">
        <f t="shared" si="105"/>
        <v>0</v>
      </c>
      <c r="AH196" s="1">
        <f t="shared" si="81"/>
        <v>0</v>
      </c>
    </row>
    <row r="197" spans="1:34" ht="15">
      <c r="A197" s="1">
        <v>196</v>
      </c>
      <c r="B197" s="1">
        <f t="shared" si="82"/>
        <v>0</v>
      </c>
      <c r="C197" s="1">
        <f t="shared" si="100"/>
        <v>-0.39891472868217059</v>
      </c>
      <c r="D197" s="1">
        <f t="shared" si="106"/>
        <v>41.398137432295606</v>
      </c>
      <c r="E197">
        <v>363.15</v>
      </c>
      <c r="K197" s="1">
        <f>'Solar Availability and Gener GR'!F197</f>
        <v>0</v>
      </c>
      <c r="L197" s="1">
        <v>0.39891472868217059</v>
      </c>
      <c r="M197" s="1">
        <f t="shared" si="101"/>
        <v>-0.39891472868217059</v>
      </c>
      <c r="N197" s="1" t="str">
        <f t="shared" si="102"/>
        <v>Buy from Grid</v>
      </c>
      <c r="V197" s="1" t="str">
        <f t="shared" si="98"/>
        <v>discharge</v>
      </c>
      <c r="Y197" s="1">
        <f t="shared" si="99"/>
        <v>0.14486588372093023</v>
      </c>
      <c r="AA197" s="1">
        <f t="shared" si="103"/>
        <v>66.95029668170946</v>
      </c>
      <c r="AD197" s="1">
        <f t="shared" si="104"/>
        <v>0</v>
      </c>
      <c r="AF197" s="1">
        <f t="shared" si="105"/>
        <v>0</v>
      </c>
      <c r="AH197" s="1">
        <f t="shared" si="81"/>
        <v>0</v>
      </c>
    </row>
    <row r="198" spans="1:34" ht="15">
      <c r="A198" s="1">
        <v>197</v>
      </c>
      <c r="B198" s="1">
        <f t="shared" si="82"/>
        <v>0</v>
      </c>
      <c r="C198" s="1">
        <f t="shared" si="100"/>
        <v>-0.66914728682170543</v>
      </c>
      <c r="D198" s="1">
        <f t="shared" si="106"/>
        <v>40.561703323768477</v>
      </c>
      <c r="E198">
        <v>363.15</v>
      </c>
      <c r="K198" s="1">
        <f>'Solar Availability and Gener GR'!F198</f>
        <v>0</v>
      </c>
      <c r="L198" s="1">
        <v>0.66914728682170543</v>
      </c>
      <c r="M198" s="1">
        <f t="shared" si="101"/>
        <v>-0.66914728682170543</v>
      </c>
      <c r="N198" s="1" t="str">
        <f t="shared" si="102"/>
        <v>Buy from Grid</v>
      </c>
      <c r="V198" s="1" t="str">
        <f t="shared" si="98"/>
        <v>discharge</v>
      </c>
      <c r="Y198" s="1">
        <f t="shared" si="99"/>
        <v>0.24300083720930232</v>
      </c>
      <c r="AA198" s="1">
        <f t="shared" si="103"/>
        <v>66.281149394887748</v>
      </c>
      <c r="AD198" s="1">
        <f t="shared" si="104"/>
        <v>0</v>
      </c>
      <c r="AF198" s="1">
        <f t="shared" si="105"/>
        <v>0</v>
      </c>
      <c r="AH198" s="1">
        <f t="shared" si="81"/>
        <v>0</v>
      </c>
    </row>
    <row r="199" spans="1:34" ht="15">
      <c r="A199" s="1">
        <v>198</v>
      </c>
      <c r="B199" s="1">
        <f t="shared" si="82"/>
        <v>0</v>
      </c>
      <c r="C199" s="1">
        <f t="shared" si="100"/>
        <v>-0.65627906976744199</v>
      </c>
      <c r="D199" s="1">
        <f t="shared" si="106"/>
        <v>39.741354486559175</v>
      </c>
      <c r="E199">
        <v>363.15</v>
      </c>
      <c r="K199" s="1">
        <f>'Solar Availability and Gener GR'!F199</f>
        <v>0</v>
      </c>
      <c r="L199" s="1">
        <v>0.65627906976744199</v>
      </c>
      <c r="M199" s="1">
        <f t="shared" si="101"/>
        <v>-0.65627906976744199</v>
      </c>
      <c r="N199" s="1" t="str">
        <f t="shared" si="102"/>
        <v>Buy from Grid</v>
      </c>
      <c r="V199" s="1" t="str">
        <f t="shared" si="98"/>
        <v>discharge</v>
      </c>
      <c r="Y199" s="1">
        <f t="shared" si="99"/>
        <v>0.23832774418604655</v>
      </c>
      <c r="AA199" s="1">
        <f t="shared" si="103"/>
        <v>65.624870325120312</v>
      </c>
      <c r="AD199" s="1">
        <f t="shared" si="104"/>
        <v>0</v>
      </c>
      <c r="AF199" s="1">
        <f t="shared" si="105"/>
        <v>0</v>
      </c>
      <c r="AH199" s="1">
        <f t="shared" si="81"/>
        <v>0</v>
      </c>
    </row>
    <row r="200" spans="1:34" ht="15">
      <c r="A200" s="1">
        <v>199</v>
      </c>
      <c r="B200" s="1">
        <f t="shared" si="82"/>
        <v>0</v>
      </c>
      <c r="C200" s="1">
        <f t="shared" si="100"/>
        <v>-0.63966730087222212</v>
      </c>
      <c r="D200" s="1">
        <f t="shared" si="106"/>
        <v>38.941770360468894</v>
      </c>
      <c r="E200">
        <v>363.15</v>
      </c>
      <c r="K200" s="1">
        <f>'Solar Availability and Gener GR'!F200</f>
        <v>1.6611768895219918E-2</v>
      </c>
      <c r="L200" s="1">
        <v>0.65627906976744199</v>
      </c>
      <c r="M200" s="1">
        <f t="shared" si="101"/>
        <v>-0.63966730087222212</v>
      </c>
      <c r="N200" s="1" t="str">
        <f t="shared" si="102"/>
        <v>Buy from Grid</v>
      </c>
      <c r="V200" s="1" t="str">
        <f t="shared" si="98"/>
        <v>discharge</v>
      </c>
      <c r="Y200" s="1">
        <f t="shared" si="99"/>
        <v>0.23832774418604655</v>
      </c>
      <c r="AA200" s="1">
        <f t="shared" si="103"/>
        <v>64.985203024248094</v>
      </c>
      <c r="AD200" s="1">
        <f t="shared" si="104"/>
        <v>0</v>
      </c>
      <c r="AF200" s="1">
        <f t="shared" si="105"/>
        <v>0</v>
      </c>
      <c r="AH200" s="1">
        <f t="shared" si="81"/>
        <v>0</v>
      </c>
    </row>
    <row r="201" spans="1:34" ht="15">
      <c r="A201" s="1">
        <v>200</v>
      </c>
      <c r="B201" s="1">
        <f t="shared" si="82"/>
        <v>0</v>
      </c>
      <c r="C201" s="1">
        <f t="shared" si="100"/>
        <v>-0.32523004961157526</v>
      </c>
      <c r="D201" s="1">
        <f t="shared" si="106"/>
        <v>38.535232798454423</v>
      </c>
      <c r="E201">
        <v>363.15</v>
      </c>
      <c r="K201" s="1">
        <f>'Solar Availability and Gener GR'!F201</f>
        <v>7.3684679070595324E-2</v>
      </c>
      <c r="L201" s="1">
        <v>0.39891472868217059</v>
      </c>
      <c r="M201" s="1">
        <f t="shared" si="101"/>
        <v>-0.32523004961157526</v>
      </c>
      <c r="N201" s="1" t="str">
        <f t="shared" si="102"/>
        <v>Buy from Grid</v>
      </c>
      <c r="V201" s="1" t="str">
        <f t="shared" si="98"/>
        <v>discharge</v>
      </c>
      <c r="Y201" s="1">
        <f t="shared" si="99"/>
        <v>0.14486588372093023</v>
      </c>
      <c r="AA201" s="1">
        <f t="shared" si="103"/>
        <v>64.659972974636517</v>
      </c>
      <c r="AD201" s="1">
        <f t="shared" si="104"/>
        <v>0</v>
      </c>
      <c r="AF201" s="1">
        <f t="shared" si="105"/>
        <v>0</v>
      </c>
      <c r="AH201" s="1">
        <f t="shared" si="81"/>
        <v>0</v>
      </c>
    </row>
    <row r="202" spans="1:34" ht="15">
      <c r="A202" s="1">
        <v>201</v>
      </c>
      <c r="B202" s="1">
        <f t="shared" si="82"/>
        <v>0</v>
      </c>
      <c r="C202" s="1">
        <f t="shared" si="100"/>
        <v>-0.10544459603728495</v>
      </c>
      <c r="D202" s="1">
        <f t="shared" si="106"/>
        <v>38.403427053407817</v>
      </c>
      <c r="E202">
        <v>363.15</v>
      </c>
      <c r="K202" s="1">
        <f>'Solar Availability and Gener GR'!F202</f>
        <v>0.29347013264488564</v>
      </c>
      <c r="L202" s="1">
        <v>0.39891472868217059</v>
      </c>
      <c r="M202" s="1">
        <f t="shared" si="101"/>
        <v>-0.10544459603728495</v>
      </c>
      <c r="N202" s="1" t="str">
        <f t="shared" si="102"/>
        <v>Buy from Grid</v>
      </c>
      <c r="V202" s="1" t="str">
        <f t="shared" si="98"/>
        <v>discharge</v>
      </c>
      <c r="Y202" s="1">
        <f t="shared" si="99"/>
        <v>0.14486588372093023</v>
      </c>
      <c r="AA202" s="1">
        <f t="shared" si="103"/>
        <v>64.55452837859923</v>
      </c>
      <c r="AD202" s="1">
        <f t="shared" si="104"/>
        <v>0</v>
      </c>
      <c r="AF202" s="1">
        <f t="shared" si="105"/>
        <v>0</v>
      </c>
      <c r="AH202" s="1">
        <f t="shared" si="81"/>
        <v>0</v>
      </c>
    </row>
    <row r="203" spans="1:34" ht="15">
      <c r="A203" s="1">
        <v>202</v>
      </c>
      <c r="B203" s="1">
        <f t="shared" si="82"/>
        <v>0</v>
      </c>
      <c r="C203" s="1">
        <f t="shared" si="100"/>
        <v>0.34412809157955548</v>
      </c>
      <c r="D203" s="1">
        <f t="shared" si="106"/>
        <v>38.833587167882264</v>
      </c>
      <c r="E203">
        <v>363.15</v>
      </c>
      <c r="K203" s="1">
        <f>'Solar Availability and Gener GR'!F203</f>
        <v>0.74304282026172608</v>
      </c>
      <c r="L203" s="1">
        <v>0.39891472868217059</v>
      </c>
      <c r="M203" s="1">
        <f t="shared" si="101"/>
        <v>0.34412809157955548</v>
      </c>
      <c r="N203" s="1" t="str">
        <f t="shared" si="102"/>
        <v>sell the surplus or charge</v>
      </c>
      <c r="O203" s="1">
        <v>0.25</v>
      </c>
      <c r="P203" s="1">
        <f t="shared" ref="P203:P211" si="107">0.25/L203</f>
        <v>0.62670034978624167</v>
      </c>
      <c r="Q203" s="1">
        <f t="shared" ref="Q203:Q211" si="108">K203-P203*L203</f>
        <v>0.49304282026172608</v>
      </c>
      <c r="R203" s="1">
        <f t="shared" ref="R203:R211" si="109">((1/(E203+0.01))*LN(0.25))+(E203*(K203-0.25))</f>
        <v>179.04468286787642</v>
      </c>
      <c r="S203" s="1">
        <f t="shared" ref="S203:S211" si="110">((1/(E203+0.01))*LN(L203))+(E203*(K203-L203))</f>
        <v>124.96758587115481</v>
      </c>
      <c r="T203" s="1">
        <f t="shared" ref="T203:T211" si="111">(S203+((S203^2)-4*(K203-L203*P203)*LN(L203*P203))^(0.5))/(2*(K203-L203*P203))</f>
        <v>253.47302492632159</v>
      </c>
      <c r="U203" s="1" t="str">
        <f t="shared" ref="U203:U211" si="112">IF(E203&gt;=T203*1.2,"sell to the Grid","charge")</f>
        <v>sell to the Grid</v>
      </c>
      <c r="W203" s="1">
        <f>(Q203*E203)/1000</f>
        <v>0.17904850017804583</v>
      </c>
      <c r="Y203" s="1">
        <f t="shared" si="99"/>
        <v>0.14486588372093023</v>
      </c>
      <c r="AA203" s="1">
        <f t="shared" si="103"/>
        <v>64.898656470178778</v>
      </c>
      <c r="AD203" s="1">
        <f t="shared" si="104"/>
        <v>0.25</v>
      </c>
      <c r="AF203" s="1">
        <f t="shared" si="105"/>
        <v>304.16762991158589</v>
      </c>
      <c r="AG203" s="1">
        <f>E203</f>
        <v>363.15</v>
      </c>
      <c r="AH203" s="1">
        <f t="shared" si="81"/>
        <v>179.04850017804583</v>
      </c>
    </row>
    <row r="204" spans="1:34" ht="15">
      <c r="A204" s="1">
        <v>203</v>
      </c>
      <c r="B204" s="1">
        <f t="shared" si="82"/>
        <v>1.4500890234131563</v>
      </c>
      <c r="C204" s="1">
        <f t="shared" si="100"/>
        <v>0</v>
      </c>
      <c r="D204" s="1">
        <f t="shared" si="106"/>
        <v>39.993658386612786</v>
      </c>
      <c r="E204">
        <v>363.15</v>
      </c>
      <c r="K204" s="1">
        <f>'Solar Availability and Gener GR'!F204</f>
        <v>1.7000890234131563</v>
      </c>
      <c r="L204" s="1">
        <v>0.39891472868217059</v>
      </c>
      <c r="M204" s="1">
        <f t="shared" si="101"/>
        <v>1.3011742947309857</v>
      </c>
      <c r="N204" s="1" t="str">
        <f t="shared" si="102"/>
        <v>sell the surplus or charge</v>
      </c>
      <c r="O204" s="1">
        <v>0.25</v>
      </c>
      <c r="P204" s="1">
        <f t="shared" si="107"/>
        <v>0.62670034978624167</v>
      </c>
      <c r="Q204" s="1">
        <f t="shared" si="108"/>
        <v>1.4500890234131563</v>
      </c>
      <c r="R204" s="1">
        <f t="shared" si="109"/>
        <v>526.59601154231825</v>
      </c>
      <c r="S204" s="1">
        <f t="shared" si="110"/>
        <v>472.51891454559666</v>
      </c>
      <c r="T204" s="1">
        <f t="shared" si="111"/>
        <v>325.85804126883158</v>
      </c>
      <c r="U204" s="1" t="str">
        <f t="shared" si="112"/>
        <v>charge</v>
      </c>
      <c r="Y204" s="1">
        <f t="shared" si="99"/>
        <v>0.14486588372093023</v>
      </c>
      <c r="AA204" s="1">
        <f t="shared" si="103"/>
        <v>66.199830764909763</v>
      </c>
      <c r="AD204" s="1">
        <f t="shared" si="104"/>
        <v>0.25</v>
      </c>
      <c r="AF204" s="1">
        <f t="shared" si="105"/>
        <v>391.02964952259788</v>
      </c>
      <c r="AH204" s="1">
        <f t="shared" si="81"/>
        <v>0</v>
      </c>
    </row>
    <row r="205" spans="1:34" ht="15">
      <c r="A205" s="1">
        <v>204</v>
      </c>
      <c r="B205" s="1">
        <f t="shared" si="82"/>
        <v>2.0815899581589932</v>
      </c>
      <c r="C205" s="1">
        <f t="shared" si="100"/>
        <v>0</v>
      </c>
      <c r="D205" s="1">
        <f t="shared" si="106"/>
        <v>41.658930353139979</v>
      </c>
      <c r="E205">
        <v>363.15</v>
      </c>
      <c r="K205" s="1">
        <f>'Solar Availability and Gener GR'!F205</f>
        <v>2.3315899581589932</v>
      </c>
      <c r="L205" s="1">
        <v>0.39891472868217059</v>
      </c>
      <c r="M205" s="1">
        <f t="shared" si="101"/>
        <v>1.9326752294768226</v>
      </c>
      <c r="N205" s="1" t="str">
        <f t="shared" si="102"/>
        <v>sell the surplus or charge</v>
      </c>
      <c r="O205" s="1">
        <v>0.25</v>
      </c>
      <c r="P205" s="1">
        <f t="shared" si="107"/>
        <v>0.62670034978624167</v>
      </c>
      <c r="Q205" s="1">
        <f t="shared" si="108"/>
        <v>2.0815899581589932</v>
      </c>
      <c r="R205" s="1">
        <f t="shared" si="109"/>
        <v>755.9255759952689</v>
      </c>
      <c r="S205" s="1">
        <f t="shared" si="110"/>
        <v>701.84847899854731</v>
      </c>
      <c r="T205" s="1">
        <f t="shared" si="111"/>
        <v>337.17139525466717</v>
      </c>
      <c r="U205" s="1" t="str">
        <f t="shared" si="112"/>
        <v>charge</v>
      </c>
      <c r="Y205" s="1">
        <f t="shared" si="99"/>
        <v>0.14486588372093023</v>
      </c>
      <c r="AA205" s="1">
        <f t="shared" si="103"/>
        <v>68.132505994386591</v>
      </c>
      <c r="AD205" s="1">
        <f t="shared" si="104"/>
        <v>0.25</v>
      </c>
      <c r="AF205" s="1">
        <f t="shared" si="105"/>
        <v>404.60567430560059</v>
      </c>
      <c r="AH205" s="1">
        <f t="shared" ref="AH205:AH268" si="113">AG205*Q205</f>
        <v>0</v>
      </c>
    </row>
    <row r="206" spans="1:34" ht="15">
      <c r="A206" s="1">
        <v>205</v>
      </c>
      <c r="B206" s="1">
        <f t="shared" si="82"/>
        <v>2.3013754117332827</v>
      </c>
      <c r="C206" s="1">
        <f t="shared" si="100"/>
        <v>0</v>
      </c>
      <c r="D206" s="1">
        <f t="shared" si="106"/>
        <v>43.500030682526607</v>
      </c>
      <c r="E206">
        <v>363.15</v>
      </c>
      <c r="K206" s="1">
        <f>'Solar Availability and Gener GR'!F206</f>
        <v>2.5513754117332827</v>
      </c>
      <c r="L206" s="1">
        <v>0.39891472868217059</v>
      </c>
      <c r="M206" s="1">
        <f t="shared" si="101"/>
        <v>2.1524606830511122</v>
      </c>
      <c r="N206" s="1" t="str">
        <f t="shared" si="102"/>
        <v>sell the surplus or charge</v>
      </c>
      <c r="O206" s="1">
        <v>0.25</v>
      </c>
      <c r="P206" s="1">
        <f t="shared" si="107"/>
        <v>0.62670034978624167</v>
      </c>
      <c r="Q206" s="1">
        <f t="shared" si="108"/>
        <v>2.3013754117332827</v>
      </c>
      <c r="R206" s="1">
        <f t="shared" si="109"/>
        <v>835.74066346077211</v>
      </c>
      <c r="S206" s="1">
        <f t="shared" si="110"/>
        <v>781.66356646405052</v>
      </c>
      <c r="T206" s="1">
        <f t="shared" si="111"/>
        <v>339.65238525974041</v>
      </c>
      <c r="U206" s="1" t="str">
        <f t="shared" si="112"/>
        <v>charge</v>
      </c>
      <c r="Y206" s="1">
        <f t="shared" si="99"/>
        <v>0.14486588372093023</v>
      </c>
      <c r="AA206" s="1">
        <f t="shared" si="103"/>
        <v>70.284966677437708</v>
      </c>
      <c r="AD206" s="1">
        <f t="shared" si="104"/>
        <v>0.25</v>
      </c>
      <c r="AF206" s="1">
        <f t="shared" si="105"/>
        <v>407.58286231168847</v>
      </c>
      <c r="AH206" s="1">
        <f t="shared" si="113"/>
        <v>0</v>
      </c>
    </row>
    <row r="207" spans="1:34" ht="15">
      <c r="A207" s="1">
        <v>206</v>
      </c>
      <c r="B207" s="1">
        <f t="shared" si="82"/>
        <v>2.348833793287632</v>
      </c>
      <c r="C207" s="1">
        <f t="shared" si="100"/>
        <v>0</v>
      </c>
      <c r="D207" s="1">
        <f t="shared" si="106"/>
        <v>45.379097717156711</v>
      </c>
      <c r="E207">
        <v>363.15</v>
      </c>
      <c r="K207" s="1">
        <f>'Solar Availability and Gener GR'!F207</f>
        <v>2.598833793287632</v>
      </c>
      <c r="L207" s="1">
        <v>0.39891472868217059</v>
      </c>
      <c r="M207" s="1">
        <f t="shared" si="101"/>
        <v>2.1999190646054614</v>
      </c>
      <c r="N207" s="1" t="str">
        <f t="shared" si="102"/>
        <v>sell the surplus or charge</v>
      </c>
      <c r="O207" s="1">
        <v>0.25</v>
      </c>
      <c r="P207" s="1">
        <f t="shared" si="107"/>
        <v>0.62670034978624167</v>
      </c>
      <c r="Q207" s="1">
        <f t="shared" si="108"/>
        <v>2.348833793287632</v>
      </c>
      <c r="R207" s="1">
        <f t="shared" si="109"/>
        <v>852.9751747222341</v>
      </c>
      <c r="S207" s="1">
        <f t="shared" si="110"/>
        <v>798.89807772551239</v>
      </c>
      <c r="T207" s="1">
        <f t="shared" si="111"/>
        <v>340.12715408840097</v>
      </c>
      <c r="U207" s="1" t="str">
        <f t="shared" si="112"/>
        <v>charge</v>
      </c>
      <c r="Y207" s="1">
        <f t="shared" si="99"/>
        <v>0.14486588372093023</v>
      </c>
      <c r="AA207" s="1">
        <f t="shared" si="103"/>
        <v>72.484885742043176</v>
      </c>
      <c r="AD207" s="1">
        <f t="shared" si="104"/>
        <v>0.25</v>
      </c>
      <c r="AF207" s="1">
        <f t="shared" si="105"/>
        <v>408.15258490608113</v>
      </c>
      <c r="AH207" s="1">
        <f t="shared" si="113"/>
        <v>0</v>
      </c>
    </row>
    <row r="208" spans="1:34" ht="15">
      <c r="A208" s="1">
        <v>207</v>
      </c>
      <c r="B208" s="1">
        <f t="shared" ref="B208:B271" si="114">IF(U208="charge",Q208,0)</f>
        <v>2.2718374432475708</v>
      </c>
      <c r="C208" s="1">
        <f t="shared" si="100"/>
        <v>0</v>
      </c>
      <c r="D208" s="1">
        <f t="shared" si="106"/>
        <v>47.196567671754764</v>
      </c>
      <c r="E208">
        <v>363.15</v>
      </c>
      <c r="K208" s="1">
        <f>'Solar Availability and Gener GR'!F208</f>
        <v>2.5218374432475708</v>
      </c>
      <c r="L208" s="1">
        <v>0.39891472868217059</v>
      </c>
      <c r="M208" s="1">
        <f t="shared" si="101"/>
        <v>2.1229227145654002</v>
      </c>
      <c r="N208" s="1" t="str">
        <f t="shared" si="102"/>
        <v>sell the surplus or charge</v>
      </c>
      <c r="O208" s="1">
        <v>0.25</v>
      </c>
      <c r="P208" s="1">
        <f t="shared" si="107"/>
        <v>0.62670034978624167</v>
      </c>
      <c r="Q208" s="1">
        <f t="shared" si="108"/>
        <v>2.2718374432475708</v>
      </c>
      <c r="R208" s="1">
        <f t="shared" si="109"/>
        <v>825.01395020518578</v>
      </c>
      <c r="S208" s="1">
        <f t="shared" si="110"/>
        <v>770.93685320846419</v>
      </c>
      <c r="T208" s="1">
        <f t="shared" si="111"/>
        <v>339.34687566827722</v>
      </c>
      <c r="U208" s="1" t="str">
        <f t="shared" si="112"/>
        <v>charge</v>
      </c>
      <c r="Y208" s="1">
        <f t="shared" si="99"/>
        <v>0.14486588372093023</v>
      </c>
      <c r="AA208" s="1">
        <f t="shared" si="103"/>
        <v>74.607808456608581</v>
      </c>
      <c r="AD208" s="1">
        <f t="shared" si="104"/>
        <v>0.25</v>
      </c>
      <c r="AF208" s="1">
        <f t="shared" si="105"/>
        <v>407.21625080193263</v>
      </c>
      <c r="AH208" s="1">
        <f t="shared" si="113"/>
        <v>0</v>
      </c>
    </row>
    <row r="209" spans="1:34" ht="15">
      <c r="A209" s="1">
        <v>208</v>
      </c>
      <c r="B209" s="1">
        <f t="shared" si="114"/>
        <v>0</v>
      </c>
      <c r="C209" s="1">
        <f t="shared" si="100"/>
        <v>0</v>
      </c>
      <c r="D209" s="1">
        <f t="shared" si="106"/>
        <v>47.196567671754764</v>
      </c>
      <c r="E209">
        <v>363.15</v>
      </c>
      <c r="K209" s="1">
        <f>'Solar Availability and Gener GR'!F209</f>
        <v>2.13843140746016</v>
      </c>
      <c r="L209" s="1">
        <v>0.65627906976744199</v>
      </c>
      <c r="M209" s="1">
        <f t="shared" si="101"/>
        <v>1.4821523376927179</v>
      </c>
      <c r="N209" s="1" t="str">
        <f t="shared" si="102"/>
        <v>sell the surplus or charge</v>
      </c>
      <c r="O209" s="1">
        <v>0.25</v>
      </c>
      <c r="P209" s="1">
        <f t="shared" si="107"/>
        <v>0.38093550673281351</v>
      </c>
      <c r="Q209" s="1">
        <f t="shared" si="108"/>
        <v>1.88843140746016</v>
      </c>
      <c r="R209" s="1">
        <f t="shared" si="109"/>
        <v>685.7800483089876</v>
      </c>
      <c r="S209" s="1">
        <f t="shared" si="110"/>
        <v>538.24246169864284</v>
      </c>
      <c r="T209" s="1">
        <f t="shared" si="111"/>
        <v>285.02349800053503</v>
      </c>
      <c r="U209" s="1" t="str">
        <f t="shared" si="112"/>
        <v>sell to the Grid</v>
      </c>
      <c r="W209" s="1">
        <f>(Q209*E209)/1000</f>
        <v>0.68578386561915705</v>
      </c>
      <c r="Y209" s="1">
        <f t="shared" si="99"/>
        <v>0.23832774418604655</v>
      </c>
      <c r="AA209" s="1">
        <f t="shared" si="103"/>
        <v>76.089960794301305</v>
      </c>
      <c r="AD209" s="1">
        <f t="shared" si="104"/>
        <v>0.25</v>
      </c>
      <c r="AF209" s="1">
        <f t="shared" si="105"/>
        <v>342.02819760064205</v>
      </c>
      <c r="AG209" s="1">
        <f>AF208</f>
        <v>407.21625080193263</v>
      </c>
      <c r="AH209" s="1">
        <f t="shared" si="113"/>
        <v>768.99995764254311</v>
      </c>
    </row>
    <row r="210" spans="1:34" ht="15">
      <c r="A210" s="1">
        <v>209</v>
      </c>
      <c r="B210" s="1">
        <f t="shared" si="114"/>
        <v>0</v>
      </c>
      <c r="C210" s="1">
        <f t="shared" si="100"/>
        <v>0</v>
      </c>
      <c r="D210" s="1">
        <f t="shared" si="106"/>
        <v>47.196567671754764</v>
      </c>
      <c r="E210">
        <v>363.15</v>
      </c>
      <c r="K210" s="1">
        <f>'Solar Availability and Gener GR'!F210</f>
        <v>1.6784563340158452</v>
      </c>
      <c r="L210" s="1">
        <v>0.66914728682170543</v>
      </c>
      <c r="M210" s="1">
        <f t="shared" si="101"/>
        <v>1.0093090471941397</v>
      </c>
      <c r="N210" s="1" t="str">
        <f t="shared" si="102"/>
        <v>sell the surplus or charge</v>
      </c>
      <c r="O210" s="1">
        <v>0.25</v>
      </c>
      <c r="P210" s="1">
        <f t="shared" si="107"/>
        <v>0.3736098239110287</v>
      </c>
      <c r="Q210" s="1">
        <f t="shared" si="108"/>
        <v>1.4284563340158452</v>
      </c>
      <c r="R210" s="1">
        <f t="shared" si="109"/>
        <v>518.74010038768472</v>
      </c>
      <c r="S210" s="1">
        <f t="shared" si="110"/>
        <v>366.52947422386569</v>
      </c>
      <c r="T210" s="1">
        <f t="shared" si="111"/>
        <v>256.59508670243292</v>
      </c>
      <c r="U210" s="1" t="str">
        <f t="shared" si="112"/>
        <v>sell to the Grid</v>
      </c>
      <c r="W210" s="1">
        <f>(Q210*E210)/1000</f>
        <v>0.51874391769785411</v>
      </c>
      <c r="Y210" s="1">
        <f t="shared" si="99"/>
        <v>0.24300083720930232</v>
      </c>
      <c r="AA210" s="1">
        <f t="shared" si="103"/>
        <v>77.099269841495442</v>
      </c>
      <c r="AD210" s="1">
        <f t="shared" si="104"/>
        <v>0.25</v>
      </c>
      <c r="AF210" s="1">
        <f t="shared" si="105"/>
        <v>307.91410404291952</v>
      </c>
      <c r="AG210" s="1">
        <f t="shared" ref="AG210:AG211" si="115">AF209</f>
        <v>342.02819760064205</v>
      </c>
      <c r="AH210" s="1">
        <f t="shared" si="113"/>
        <v>488.57234527466022</v>
      </c>
    </row>
    <row r="211" spans="1:34" ht="15">
      <c r="A211" s="1">
        <v>210</v>
      </c>
      <c r="B211" s="1">
        <f t="shared" si="114"/>
        <v>0</v>
      </c>
      <c r="C211" s="1">
        <f t="shared" si="100"/>
        <v>0</v>
      </c>
      <c r="D211" s="1">
        <f t="shared" si="106"/>
        <v>47.196567671754764</v>
      </c>
      <c r="E211">
        <v>363.15</v>
      </c>
      <c r="K211" s="1">
        <f>'Solar Availability and Gener GR'!F211</f>
        <v>1.0269518383334808</v>
      </c>
      <c r="L211" s="1">
        <v>0.65627906976744199</v>
      </c>
      <c r="M211" s="1">
        <f t="shared" si="101"/>
        <v>0.37067276856603881</v>
      </c>
      <c r="N211" s="1" t="str">
        <f t="shared" si="102"/>
        <v>sell the surplus or charge</v>
      </c>
      <c r="O211" s="1">
        <v>0.25</v>
      </c>
      <c r="P211" s="1">
        <f t="shared" si="107"/>
        <v>0.38093550673281351</v>
      </c>
      <c r="Q211" s="1">
        <f t="shared" si="108"/>
        <v>0.7769518383334808</v>
      </c>
      <c r="R211" s="1">
        <f t="shared" si="109"/>
        <v>282.14624278063417</v>
      </c>
      <c r="S211" s="1">
        <f t="shared" si="110"/>
        <v>134.60865617028935</v>
      </c>
      <c r="T211" s="1">
        <f t="shared" si="111"/>
        <v>173.26255071159295</v>
      </c>
      <c r="U211" s="1" t="str">
        <f t="shared" si="112"/>
        <v>sell to the Grid</v>
      </c>
      <c r="W211" s="1">
        <f>(Q211*E211)/1000</f>
        <v>0.28215006009080357</v>
      </c>
      <c r="Y211" s="1">
        <f t="shared" si="99"/>
        <v>0.23832774418604655</v>
      </c>
      <c r="AA211" s="1">
        <f t="shared" si="103"/>
        <v>77.46994261006148</v>
      </c>
      <c r="AD211" s="1">
        <f t="shared" si="104"/>
        <v>0.25</v>
      </c>
      <c r="AF211" s="1">
        <f t="shared" si="105"/>
        <v>207.91506085391154</v>
      </c>
      <c r="AG211" s="1">
        <f t="shared" si="115"/>
        <v>307.91410404291952</v>
      </c>
      <c r="AH211" s="1">
        <f t="shared" si="113"/>
        <v>239.234429184953</v>
      </c>
    </row>
    <row r="212" spans="1:34" ht="15">
      <c r="A212" s="1">
        <v>211</v>
      </c>
      <c r="B212" s="1">
        <f t="shared" si="114"/>
        <v>0</v>
      </c>
      <c r="C212" s="1">
        <f t="shared" si="100"/>
        <v>0</v>
      </c>
      <c r="D212" s="1">
        <f t="shared" si="106"/>
        <v>47.196567671754764</v>
      </c>
      <c r="E212">
        <v>363.15</v>
      </c>
      <c r="K212" s="1">
        <f>'Solar Availability and Gener GR'!F212</f>
        <v>0.35632511350485152</v>
      </c>
      <c r="L212" s="1">
        <v>0.66914728682170543</v>
      </c>
      <c r="M212" s="1">
        <f t="shared" si="101"/>
        <v>-0.31282217331685391</v>
      </c>
      <c r="N212" s="1" t="str">
        <f t="shared" si="102"/>
        <v>Buy from Grid</v>
      </c>
      <c r="V212" s="1" t="str">
        <f t="shared" ref="V212:V226" si="116">IF(D212+M212&gt;0,"discharge","buy from the Grid")</f>
        <v>discharge</v>
      </c>
      <c r="Y212" s="1">
        <f t="shared" si="99"/>
        <v>0.24300083720930232</v>
      </c>
      <c r="AA212" s="1">
        <f t="shared" si="103"/>
        <v>77.15712043674462</v>
      </c>
      <c r="AD212" s="1">
        <f t="shared" si="104"/>
        <v>0</v>
      </c>
      <c r="AF212" s="1">
        <f t="shared" si="105"/>
        <v>0</v>
      </c>
      <c r="AH212" s="1">
        <f t="shared" si="113"/>
        <v>0</v>
      </c>
    </row>
    <row r="213" spans="1:34" ht="15">
      <c r="A213" s="1">
        <v>212</v>
      </c>
      <c r="B213" s="1">
        <f t="shared" si="114"/>
        <v>0</v>
      </c>
      <c r="C213" s="1">
        <f t="shared" si="100"/>
        <v>-0.35896102085701259</v>
      </c>
      <c r="D213" s="1">
        <f t="shared" si="106"/>
        <v>46.747866395683495</v>
      </c>
      <c r="E213">
        <v>363.15</v>
      </c>
      <c r="K213" s="1">
        <f>'Solar Availability and Gener GR'!F213</f>
        <v>3.9953707825157996E-2</v>
      </c>
      <c r="L213" s="1">
        <v>0.39891472868217059</v>
      </c>
      <c r="M213" s="1">
        <f t="shared" si="101"/>
        <v>-0.35896102085701259</v>
      </c>
      <c r="N213" s="1" t="str">
        <f t="shared" si="102"/>
        <v>Buy from Grid</v>
      </c>
      <c r="V213" s="1" t="str">
        <f t="shared" si="116"/>
        <v>discharge</v>
      </c>
      <c r="Y213" s="1">
        <f t="shared" si="99"/>
        <v>0.14486588372093023</v>
      </c>
      <c r="AA213" s="1">
        <f t="shared" si="103"/>
        <v>76.798159415887611</v>
      </c>
      <c r="AD213" s="1">
        <f t="shared" si="104"/>
        <v>0</v>
      </c>
      <c r="AF213" s="1">
        <f t="shared" si="105"/>
        <v>0</v>
      </c>
      <c r="AH213" s="1">
        <f t="shared" si="113"/>
        <v>0</v>
      </c>
    </row>
    <row r="214" spans="1:34" ht="15">
      <c r="A214" s="1">
        <v>213</v>
      </c>
      <c r="B214" s="1">
        <f t="shared" si="114"/>
        <v>0</v>
      </c>
      <c r="C214" s="1">
        <f t="shared" si="100"/>
        <v>-0.39891472868217059</v>
      </c>
      <c r="D214" s="1">
        <f t="shared" si="106"/>
        <v>46.24922298483078</v>
      </c>
      <c r="E214">
        <v>363.15</v>
      </c>
      <c r="K214" s="1">
        <f>'Solar Availability and Gener GR'!F214</f>
        <v>0</v>
      </c>
      <c r="L214" s="1">
        <v>0.39891472868217059</v>
      </c>
      <c r="M214" s="1">
        <f t="shared" si="101"/>
        <v>-0.39891472868217059</v>
      </c>
      <c r="N214" s="1" t="str">
        <f t="shared" si="102"/>
        <v>Buy from Grid</v>
      </c>
      <c r="V214" s="1" t="str">
        <f t="shared" si="116"/>
        <v>discharge</v>
      </c>
      <c r="Y214" s="1">
        <f t="shared" si="99"/>
        <v>0.14486588372093023</v>
      </c>
      <c r="AA214" s="1">
        <f t="shared" si="103"/>
        <v>76.399244687205439</v>
      </c>
      <c r="AD214" s="1">
        <f t="shared" si="104"/>
        <v>0</v>
      </c>
      <c r="AF214" s="1">
        <f t="shared" si="105"/>
        <v>0</v>
      </c>
      <c r="AH214" s="1">
        <f t="shared" si="113"/>
        <v>0</v>
      </c>
    </row>
    <row r="215" spans="1:34" ht="15">
      <c r="A215" s="1">
        <v>214</v>
      </c>
      <c r="B215" s="1">
        <f t="shared" si="114"/>
        <v>0</v>
      </c>
      <c r="C215" s="1">
        <f t="shared" si="100"/>
        <v>-0.39891472868217059</v>
      </c>
      <c r="D215" s="1">
        <f t="shared" si="106"/>
        <v>45.750579573978065</v>
      </c>
      <c r="E215">
        <v>363.15</v>
      </c>
      <c r="K215" s="1">
        <f>'Solar Availability and Gener GR'!F215</f>
        <v>0</v>
      </c>
      <c r="L215" s="1">
        <v>0.39891472868217059</v>
      </c>
      <c r="M215" s="1">
        <f t="shared" si="101"/>
        <v>-0.39891472868217059</v>
      </c>
      <c r="N215" s="1" t="str">
        <f t="shared" si="102"/>
        <v>Buy from Grid</v>
      </c>
      <c r="V215" s="1" t="str">
        <f t="shared" si="116"/>
        <v>discharge</v>
      </c>
      <c r="Y215" s="1">
        <f t="shared" si="99"/>
        <v>0.14486588372093023</v>
      </c>
      <c r="AA215" s="1">
        <f t="shared" si="103"/>
        <v>76.000329958523267</v>
      </c>
      <c r="AD215" s="1">
        <f t="shared" si="104"/>
        <v>0</v>
      </c>
      <c r="AF215" s="1">
        <f t="shared" si="105"/>
        <v>0</v>
      </c>
      <c r="AH215" s="1">
        <f t="shared" si="113"/>
        <v>0</v>
      </c>
    </row>
    <row r="216" spans="1:34" ht="15">
      <c r="A216" s="1">
        <v>215</v>
      </c>
      <c r="B216" s="1">
        <f t="shared" si="114"/>
        <v>0</v>
      </c>
      <c r="C216" s="1">
        <f t="shared" si="100"/>
        <v>-0.29596899224806206</v>
      </c>
      <c r="D216" s="1">
        <f t="shared" si="106"/>
        <v>45.380618333667989</v>
      </c>
      <c r="E216">
        <v>363.15</v>
      </c>
      <c r="K216" s="1">
        <f>'Solar Availability and Gener GR'!F216</f>
        <v>0</v>
      </c>
      <c r="L216" s="1">
        <v>0.29596899224806206</v>
      </c>
      <c r="M216" s="1">
        <f t="shared" si="101"/>
        <v>-0.29596899224806206</v>
      </c>
      <c r="N216" s="1" t="str">
        <f t="shared" si="102"/>
        <v>Buy from Grid</v>
      </c>
      <c r="V216" s="1" t="str">
        <f t="shared" si="116"/>
        <v>discharge</v>
      </c>
      <c r="Y216" s="1">
        <f t="shared" si="99"/>
        <v>0.10748113953488372</v>
      </c>
      <c r="AA216" s="1">
        <f t="shared" si="103"/>
        <v>75.704360966275203</v>
      </c>
      <c r="AD216" s="1">
        <f t="shared" si="104"/>
        <v>0</v>
      </c>
      <c r="AF216" s="1">
        <f t="shared" si="105"/>
        <v>0</v>
      </c>
      <c r="AH216" s="1">
        <f t="shared" si="113"/>
        <v>0</v>
      </c>
    </row>
    <row r="217" spans="1:34" ht="15">
      <c r="A217" s="1">
        <v>216</v>
      </c>
      <c r="B217" s="1">
        <f t="shared" si="114"/>
        <v>0</v>
      </c>
      <c r="C217" s="1">
        <f t="shared" si="100"/>
        <v>-0.29596899224806206</v>
      </c>
      <c r="D217" s="1">
        <f t="shared" si="106"/>
        <v>45.010657093357914</v>
      </c>
      <c r="E217">
        <v>363.15</v>
      </c>
      <c r="K217" s="1">
        <f>'Solar Availability and Gener GR'!F217</f>
        <v>0</v>
      </c>
      <c r="L217" s="1">
        <v>0.29596899224806206</v>
      </c>
      <c r="M217" s="1">
        <f t="shared" si="101"/>
        <v>-0.29596899224806206</v>
      </c>
      <c r="N217" s="1" t="str">
        <f t="shared" si="102"/>
        <v>Buy from Grid</v>
      </c>
      <c r="V217" s="1" t="str">
        <f t="shared" si="116"/>
        <v>discharge</v>
      </c>
      <c r="Y217" s="1">
        <f t="shared" si="99"/>
        <v>0.10748113953488372</v>
      </c>
      <c r="AA217" s="1">
        <f t="shared" si="103"/>
        <v>75.40839197402714</v>
      </c>
      <c r="AD217" s="1">
        <f t="shared" si="104"/>
        <v>0</v>
      </c>
      <c r="AF217" s="1">
        <f t="shared" si="105"/>
        <v>0</v>
      </c>
      <c r="AH217" s="1">
        <f t="shared" si="113"/>
        <v>0</v>
      </c>
    </row>
    <row r="218" spans="1:34" ht="15">
      <c r="A218" s="1">
        <v>217</v>
      </c>
      <c r="B218" s="1">
        <f t="shared" si="114"/>
        <v>0</v>
      </c>
      <c r="C218" s="1">
        <f t="shared" si="100"/>
        <v>-0.29596899224806206</v>
      </c>
      <c r="D218" s="1">
        <f t="shared" si="106"/>
        <v>44.640695853047838</v>
      </c>
      <c r="E218">
        <v>363.15</v>
      </c>
      <c r="K218" s="1">
        <f>'Solar Availability and Gener GR'!F218</f>
        <v>0</v>
      </c>
      <c r="L218" s="1">
        <v>0.29596899224806206</v>
      </c>
      <c r="M218" s="1">
        <f t="shared" si="101"/>
        <v>-0.29596899224806206</v>
      </c>
      <c r="N218" s="1" t="str">
        <f t="shared" si="102"/>
        <v>Buy from Grid</v>
      </c>
      <c r="V218" s="1" t="str">
        <f t="shared" si="116"/>
        <v>discharge</v>
      </c>
      <c r="Y218" s="1">
        <f t="shared" si="99"/>
        <v>0.10748113953488372</v>
      </c>
      <c r="AA218" s="1">
        <f t="shared" si="103"/>
        <v>75.112422981779076</v>
      </c>
      <c r="AD218" s="1">
        <f t="shared" si="104"/>
        <v>0</v>
      </c>
      <c r="AF218" s="1">
        <f t="shared" si="105"/>
        <v>0</v>
      </c>
      <c r="AH218" s="1">
        <f t="shared" si="113"/>
        <v>0</v>
      </c>
    </row>
    <row r="219" spans="1:34" ht="15">
      <c r="A219" s="1">
        <v>218</v>
      </c>
      <c r="B219" s="1">
        <f t="shared" si="114"/>
        <v>0</v>
      </c>
      <c r="C219" s="1">
        <f t="shared" si="100"/>
        <v>-0.29596899224806206</v>
      </c>
      <c r="D219" s="1">
        <f t="shared" si="106"/>
        <v>44.270734612737762</v>
      </c>
      <c r="E219">
        <v>363.15</v>
      </c>
      <c r="K219" s="1">
        <f>'Solar Availability and Gener GR'!F219</f>
        <v>0</v>
      </c>
      <c r="L219" s="1">
        <v>0.29596899224806206</v>
      </c>
      <c r="M219" s="1">
        <f t="shared" si="101"/>
        <v>-0.29596899224806206</v>
      </c>
      <c r="N219" s="1" t="str">
        <f t="shared" si="102"/>
        <v>Buy from Grid</v>
      </c>
      <c r="V219" s="1" t="str">
        <f t="shared" si="116"/>
        <v>discharge</v>
      </c>
      <c r="Y219" s="1">
        <f t="shared" si="99"/>
        <v>0.10748113953488372</v>
      </c>
      <c r="AA219" s="1">
        <f t="shared" si="103"/>
        <v>74.816453989531013</v>
      </c>
      <c r="AD219" s="1">
        <f t="shared" si="104"/>
        <v>0</v>
      </c>
      <c r="AF219" s="1">
        <f t="shared" si="105"/>
        <v>0</v>
      </c>
      <c r="AH219" s="1">
        <f t="shared" si="113"/>
        <v>0</v>
      </c>
    </row>
    <row r="220" spans="1:34" ht="15">
      <c r="A220" s="1">
        <v>219</v>
      </c>
      <c r="B220" s="1">
        <f t="shared" si="114"/>
        <v>0</v>
      </c>
      <c r="C220" s="1">
        <f t="shared" si="100"/>
        <v>-0.29596899224806206</v>
      </c>
      <c r="D220" s="1">
        <f t="shared" si="106"/>
        <v>43.900773372427686</v>
      </c>
      <c r="E220">
        <v>363.15</v>
      </c>
      <c r="K220" s="1">
        <f>'Solar Availability and Gener GR'!F220</f>
        <v>0</v>
      </c>
      <c r="L220" s="1">
        <v>0.29596899224806206</v>
      </c>
      <c r="M220" s="1">
        <f t="shared" si="101"/>
        <v>-0.29596899224806206</v>
      </c>
      <c r="N220" s="1" t="str">
        <f t="shared" si="102"/>
        <v>Buy from Grid</v>
      </c>
      <c r="V220" s="1" t="str">
        <f t="shared" si="116"/>
        <v>discharge</v>
      </c>
      <c r="Y220" s="1">
        <f t="shared" si="99"/>
        <v>0.10748113953488372</v>
      </c>
      <c r="AA220" s="1">
        <f t="shared" si="103"/>
        <v>74.520484997282949</v>
      </c>
      <c r="AD220" s="1">
        <f t="shared" si="104"/>
        <v>0</v>
      </c>
      <c r="AF220" s="1">
        <f t="shared" si="105"/>
        <v>0</v>
      </c>
      <c r="AH220" s="1">
        <f t="shared" si="113"/>
        <v>0</v>
      </c>
    </row>
    <row r="221" spans="1:34" ht="15">
      <c r="A221" s="1">
        <v>220</v>
      </c>
      <c r="B221" s="1">
        <f t="shared" si="114"/>
        <v>0</v>
      </c>
      <c r="C221" s="1">
        <f t="shared" si="100"/>
        <v>-0.39891472868217059</v>
      </c>
      <c r="D221" s="1">
        <f t="shared" si="106"/>
        <v>43.402129961574971</v>
      </c>
      <c r="E221">
        <v>363.15</v>
      </c>
      <c r="K221" s="1">
        <f>'Solar Availability and Gener GR'!F221</f>
        <v>0</v>
      </c>
      <c r="L221" s="1">
        <v>0.39891472868217059</v>
      </c>
      <c r="M221" s="1">
        <f t="shared" si="101"/>
        <v>-0.39891472868217059</v>
      </c>
      <c r="N221" s="1" t="str">
        <f t="shared" si="102"/>
        <v>Buy from Grid</v>
      </c>
      <c r="V221" s="1" t="str">
        <f t="shared" si="116"/>
        <v>discharge</v>
      </c>
      <c r="Y221" s="1">
        <f t="shared" si="99"/>
        <v>0.14486588372093023</v>
      </c>
      <c r="AA221" s="1">
        <f t="shared" si="103"/>
        <v>74.121570268600777</v>
      </c>
      <c r="AD221" s="1">
        <f t="shared" si="104"/>
        <v>0</v>
      </c>
      <c r="AF221" s="1">
        <f t="shared" si="105"/>
        <v>0</v>
      </c>
      <c r="AH221" s="1">
        <f t="shared" si="113"/>
        <v>0</v>
      </c>
    </row>
    <row r="222" spans="1:34" ht="15">
      <c r="A222" s="1">
        <v>221</v>
      </c>
      <c r="B222" s="1">
        <f t="shared" si="114"/>
        <v>0</v>
      </c>
      <c r="C222" s="1">
        <f t="shared" si="100"/>
        <v>-0.51472868217054268</v>
      </c>
      <c r="D222" s="1">
        <f t="shared" si="106"/>
        <v>42.75871910886179</v>
      </c>
      <c r="E222">
        <v>363.15</v>
      </c>
      <c r="K222" s="1">
        <f>'Solar Availability and Gener GR'!F222</f>
        <v>0</v>
      </c>
      <c r="L222" s="1">
        <v>0.51472868217054268</v>
      </c>
      <c r="M222" s="1">
        <f t="shared" si="101"/>
        <v>-0.51472868217054268</v>
      </c>
      <c r="N222" s="1" t="str">
        <f t="shared" si="102"/>
        <v>Buy from Grid</v>
      </c>
      <c r="V222" s="1" t="str">
        <f t="shared" si="116"/>
        <v>discharge</v>
      </c>
      <c r="Y222" s="1">
        <f t="shared" si="99"/>
        <v>0.18692372093023257</v>
      </c>
      <c r="AA222" s="1">
        <f t="shared" si="103"/>
        <v>73.606841586430235</v>
      </c>
      <c r="AD222" s="1">
        <f t="shared" si="104"/>
        <v>0</v>
      </c>
      <c r="AF222" s="1">
        <f t="shared" si="105"/>
        <v>0</v>
      </c>
      <c r="AH222" s="1">
        <f t="shared" si="113"/>
        <v>0</v>
      </c>
    </row>
    <row r="223" spans="1:34" ht="15">
      <c r="A223" s="1">
        <v>222</v>
      </c>
      <c r="B223" s="1">
        <f t="shared" si="114"/>
        <v>0</v>
      </c>
      <c r="C223" s="1">
        <f t="shared" si="100"/>
        <v>-0.65627906976744199</v>
      </c>
      <c r="D223" s="1">
        <f t="shared" si="106"/>
        <v>41.938370271652488</v>
      </c>
      <c r="E223">
        <v>363.15</v>
      </c>
      <c r="K223" s="1">
        <f>'Solar Availability and Gener GR'!F223</f>
        <v>0</v>
      </c>
      <c r="L223" s="1">
        <v>0.65627906976744199</v>
      </c>
      <c r="M223" s="1">
        <f t="shared" si="101"/>
        <v>-0.65627906976744199</v>
      </c>
      <c r="N223" s="1" t="str">
        <f t="shared" si="102"/>
        <v>Buy from Grid</v>
      </c>
      <c r="V223" s="1" t="str">
        <f t="shared" si="116"/>
        <v>discharge</v>
      </c>
      <c r="Y223" s="1">
        <f t="shared" si="99"/>
        <v>0.23832774418604655</v>
      </c>
      <c r="AA223" s="1">
        <f t="shared" si="103"/>
        <v>72.950562516662799</v>
      </c>
      <c r="AD223" s="1">
        <f t="shared" si="104"/>
        <v>0</v>
      </c>
      <c r="AF223" s="1">
        <f t="shared" si="105"/>
        <v>0</v>
      </c>
      <c r="AH223" s="1">
        <f t="shared" si="113"/>
        <v>0</v>
      </c>
    </row>
    <row r="224" spans="1:34" ht="15">
      <c r="A224" s="1">
        <v>223</v>
      </c>
      <c r="B224" s="1">
        <f t="shared" si="114"/>
        <v>0</v>
      </c>
      <c r="C224" s="1">
        <f t="shared" si="100"/>
        <v>-0.63966730087222212</v>
      </c>
      <c r="D224" s="1">
        <f t="shared" si="106"/>
        <v>41.138786145562207</v>
      </c>
      <c r="E224">
        <v>363.15</v>
      </c>
      <c r="K224" s="1">
        <f>'Solar Availability and Gener GR'!F224</f>
        <v>1.6611768895219918E-2</v>
      </c>
      <c r="L224" s="1">
        <v>0.65627906976744199</v>
      </c>
      <c r="M224" s="1">
        <f t="shared" si="101"/>
        <v>-0.63966730087222212</v>
      </c>
      <c r="N224" s="1" t="str">
        <f t="shared" si="102"/>
        <v>Buy from Grid</v>
      </c>
      <c r="V224" s="1" t="str">
        <f t="shared" si="116"/>
        <v>discharge</v>
      </c>
      <c r="Y224" s="1">
        <f t="shared" si="99"/>
        <v>0.23832774418604655</v>
      </c>
      <c r="AA224" s="1">
        <f t="shared" si="103"/>
        <v>72.31089521579058</v>
      </c>
      <c r="AD224" s="1">
        <f t="shared" si="104"/>
        <v>0</v>
      </c>
      <c r="AF224" s="1">
        <f t="shared" si="105"/>
        <v>0</v>
      </c>
      <c r="AH224" s="1">
        <f t="shared" si="113"/>
        <v>0</v>
      </c>
    </row>
    <row r="225" spans="1:34" ht="15">
      <c r="A225" s="1">
        <v>224</v>
      </c>
      <c r="B225" s="1">
        <f t="shared" si="114"/>
        <v>0</v>
      </c>
      <c r="C225" s="1">
        <f t="shared" si="100"/>
        <v>-0.37312909706105396</v>
      </c>
      <c r="D225" s="1">
        <f t="shared" si="106"/>
        <v>40.672374774235891</v>
      </c>
      <c r="E225">
        <v>363.15</v>
      </c>
      <c r="K225" s="1">
        <f>'Solar Availability and Gener GR'!F225</f>
        <v>2.5785631621116648E-2</v>
      </c>
      <c r="L225" s="1">
        <v>0.39891472868217059</v>
      </c>
      <c r="M225" s="1">
        <f t="shared" si="101"/>
        <v>-0.37312909706105396</v>
      </c>
      <c r="N225" s="1" t="str">
        <f t="shared" si="102"/>
        <v>Buy from Grid</v>
      </c>
      <c r="V225" s="1" t="str">
        <f t="shared" si="116"/>
        <v>discharge</v>
      </c>
      <c r="Y225" s="1">
        <f t="shared" si="99"/>
        <v>0.14486588372093023</v>
      </c>
      <c r="AA225" s="1">
        <f t="shared" si="103"/>
        <v>71.937766118729527</v>
      </c>
      <c r="AD225" s="1">
        <f t="shared" si="104"/>
        <v>0</v>
      </c>
      <c r="AF225" s="1">
        <f t="shared" si="105"/>
        <v>0</v>
      </c>
      <c r="AH225" s="1">
        <f t="shared" si="113"/>
        <v>0</v>
      </c>
    </row>
    <row r="226" spans="1:34" ht="15">
      <c r="A226" s="1">
        <v>225</v>
      </c>
      <c r="B226" s="1">
        <f t="shared" si="114"/>
        <v>0</v>
      </c>
      <c r="C226" s="1">
        <f t="shared" si="100"/>
        <v>-0.21075039146148189</v>
      </c>
      <c r="D226" s="1">
        <f t="shared" si="106"/>
        <v>40.408936784909038</v>
      </c>
      <c r="E226">
        <v>363.15</v>
      </c>
      <c r="K226" s="1">
        <f>'Solar Availability and Gener GR'!F226</f>
        <v>0.1881643372206887</v>
      </c>
      <c r="L226" s="1">
        <v>0.39891472868217059</v>
      </c>
      <c r="M226" s="1">
        <f t="shared" si="101"/>
        <v>-0.21075039146148189</v>
      </c>
      <c r="N226" s="1" t="str">
        <f t="shared" si="102"/>
        <v>Buy from Grid</v>
      </c>
      <c r="V226" s="1" t="str">
        <f t="shared" si="116"/>
        <v>discharge</v>
      </c>
      <c r="Y226" s="1">
        <f t="shared" si="99"/>
        <v>0.14486588372093023</v>
      </c>
      <c r="AA226" s="1">
        <f t="shared" si="103"/>
        <v>71.727015727268039</v>
      </c>
      <c r="AD226" s="1">
        <f t="shared" si="104"/>
        <v>0</v>
      </c>
      <c r="AF226" s="1">
        <f t="shared" si="105"/>
        <v>0</v>
      </c>
      <c r="AH226" s="1">
        <f t="shared" si="113"/>
        <v>0</v>
      </c>
    </row>
    <row r="227" spans="1:34" ht="15">
      <c r="A227" s="1">
        <v>226</v>
      </c>
      <c r="B227" s="1">
        <f t="shared" si="114"/>
        <v>0</v>
      </c>
      <c r="C227" s="1">
        <f t="shared" si="100"/>
        <v>0.286694636580891</v>
      </c>
      <c r="D227" s="1">
        <f t="shared" si="106"/>
        <v>40.767305080635154</v>
      </c>
      <c r="E227">
        <v>363.15</v>
      </c>
      <c r="K227" s="1">
        <f>'Solar Availability and Gener GR'!F227</f>
        <v>0.6856093652630616</v>
      </c>
      <c r="L227" s="1">
        <v>0.39891472868217059</v>
      </c>
      <c r="M227" s="1">
        <f t="shared" si="101"/>
        <v>0.286694636580891</v>
      </c>
      <c r="N227" s="1" t="str">
        <f t="shared" si="102"/>
        <v>sell the surplus or charge</v>
      </c>
      <c r="O227" s="1">
        <v>0.25</v>
      </c>
      <c r="P227" s="1">
        <f t="shared" ref="P227:P234" si="117">0.25/L227</f>
        <v>0.62670034978624167</v>
      </c>
      <c r="Q227" s="1">
        <f t="shared" ref="Q227:Q234" si="118">K227-P227*L227</f>
        <v>0.4356093652630616</v>
      </c>
      <c r="R227" s="1">
        <f t="shared" ref="R227:R234" si="119">((1/(E227+0.01))*LN(0.25))+(E227*(K227-0.25))</f>
        <v>158.18772368511139</v>
      </c>
      <c r="S227" s="1">
        <f t="shared" ref="S227:S234" si="120">((1/(E227+0.01))*LN(L227))+(E227*(K227-L227))</f>
        <v>104.1106266883898</v>
      </c>
      <c r="T227" s="1">
        <f t="shared" ref="T227:T234" si="121">(S227+((S227^2)-4*(K227-L227*P227)*LN(L227*P227))^(0.5))/(2*(K227-L227*P227))</f>
        <v>239.0132881965288</v>
      </c>
      <c r="U227" s="1" t="str">
        <f t="shared" ref="U227:U234" si="122">IF(E227&gt;=T227*1.2,"sell to the Grid","charge")</f>
        <v>sell to the Grid</v>
      </c>
      <c r="W227" s="1">
        <f>(Q227*E227)/1000</f>
        <v>0.15819154099528079</v>
      </c>
      <c r="Y227" s="1">
        <f t="shared" si="99"/>
        <v>0.14486588372093023</v>
      </c>
      <c r="AA227" s="1">
        <f t="shared" si="103"/>
        <v>72.013710363848929</v>
      </c>
      <c r="AD227" s="1">
        <f t="shared" si="104"/>
        <v>0.25</v>
      </c>
      <c r="AF227" s="1">
        <f t="shared" si="105"/>
        <v>286.81594583583455</v>
      </c>
      <c r="AG227" s="1">
        <f>E227</f>
        <v>363.15</v>
      </c>
      <c r="AH227" s="1">
        <f t="shared" si="113"/>
        <v>158.1915409952808</v>
      </c>
    </row>
    <row r="228" spans="1:34" ht="15">
      <c r="A228" s="1">
        <v>227</v>
      </c>
      <c r="B228" s="1">
        <f t="shared" si="114"/>
        <v>1.1245571085195381</v>
      </c>
      <c r="C228" s="1">
        <f t="shared" si="100"/>
        <v>0</v>
      </c>
      <c r="D228" s="1">
        <f t="shared" si="106"/>
        <v>41.666950767450786</v>
      </c>
      <c r="E228">
        <v>363.15</v>
      </c>
      <c r="K228" s="1">
        <f>'Solar Availability and Gener GR'!F228</f>
        <v>1.3745571085195381</v>
      </c>
      <c r="L228" s="1">
        <v>0.39891472868217059</v>
      </c>
      <c r="M228" s="1">
        <f t="shared" si="101"/>
        <v>0.97564237983736746</v>
      </c>
      <c r="N228" s="1" t="str">
        <f t="shared" si="102"/>
        <v>sell the surplus or charge</v>
      </c>
      <c r="O228" s="1">
        <v>0.25</v>
      </c>
      <c r="P228" s="1">
        <f t="shared" si="117"/>
        <v>0.62670034978624167</v>
      </c>
      <c r="Q228" s="1">
        <f t="shared" si="118"/>
        <v>1.1245571085195381</v>
      </c>
      <c r="R228" s="1">
        <f t="shared" si="119"/>
        <v>408.37909664870085</v>
      </c>
      <c r="S228" s="1">
        <f t="shared" si="120"/>
        <v>354.3019996519792</v>
      </c>
      <c r="T228" s="1">
        <f t="shared" si="121"/>
        <v>315.06305639924261</v>
      </c>
      <c r="U228" s="1" t="str">
        <f t="shared" si="122"/>
        <v>charge</v>
      </c>
      <c r="Y228" s="1">
        <f t="shared" si="99"/>
        <v>0.14486588372093023</v>
      </c>
      <c r="AA228" s="1">
        <f t="shared" si="103"/>
        <v>72.989352743686297</v>
      </c>
      <c r="AD228" s="1">
        <f t="shared" si="104"/>
        <v>0.25</v>
      </c>
      <c r="AF228" s="1">
        <f t="shared" si="105"/>
        <v>378.07566767909111</v>
      </c>
      <c r="AH228" s="1">
        <f t="shared" si="113"/>
        <v>0</v>
      </c>
    </row>
    <row r="229" spans="1:34" ht="15">
      <c r="A229" s="1">
        <v>228</v>
      </c>
      <c r="B229" s="1">
        <f t="shared" si="114"/>
        <v>1.5453930383690888</v>
      </c>
      <c r="C229" s="1">
        <f t="shared" si="100"/>
        <v>0</v>
      </c>
      <c r="D229" s="1">
        <f t="shared" si="106"/>
        <v>42.903265198146059</v>
      </c>
      <c r="E229">
        <v>363.15</v>
      </c>
      <c r="K229" s="1">
        <f>'Solar Availability and Gener GR'!F229</f>
        <v>1.7953930383690888</v>
      </c>
      <c r="L229" s="1">
        <v>0.39891472868217059</v>
      </c>
      <c r="M229" s="1">
        <f t="shared" si="101"/>
        <v>1.3964783096869182</v>
      </c>
      <c r="N229" s="1" t="str">
        <f t="shared" si="102"/>
        <v>sell the surplus or charge</v>
      </c>
      <c r="O229" s="1">
        <v>0.25</v>
      </c>
      <c r="P229" s="1">
        <f t="shared" si="117"/>
        <v>0.62670034978624167</v>
      </c>
      <c r="Q229" s="1">
        <f t="shared" si="118"/>
        <v>1.5453930383690888</v>
      </c>
      <c r="R229" s="1">
        <f t="shared" si="119"/>
        <v>561.20566457356517</v>
      </c>
      <c r="S229" s="1">
        <f t="shared" si="120"/>
        <v>507.12856757684358</v>
      </c>
      <c r="T229" s="1">
        <f t="shared" si="121"/>
        <v>328.15780805299221</v>
      </c>
      <c r="U229" s="1" t="str">
        <f t="shared" si="122"/>
        <v>charge</v>
      </c>
      <c r="Y229" s="1">
        <f t="shared" si="99"/>
        <v>0.14486588372093023</v>
      </c>
      <c r="AA229" s="1">
        <f t="shared" si="103"/>
        <v>74.385831053373209</v>
      </c>
      <c r="AD229" s="1">
        <f t="shared" si="104"/>
        <v>0.25</v>
      </c>
      <c r="AF229" s="1">
        <f t="shared" si="105"/>
        <v>393.78936966359066</v>
      </c>
      <c r="AH229" s="1">
        <f t="shared" si="113"/>
        <v>0</v>
      </c>
    </row>
    <row r="230" spans="1:34" ht="15">
      <c r="A230" s="1">
        <v>229</v>
      </c>
      <c r="B230" s="1">
        <f t="shared" si="114"/>
        <v>1.7268939731149291</v>
      </c>
      <c r="C230" s="1">
        <f t="shared" si="100"/>
        <v>0</v>
      </c>
      <c r="D230" s="1">
        <f t="shared" si="106"/>
        <v>44.284780376638004</v>
      </c>
      <c r="E230">
        <v>363.15</v>
      </c>
      <c r="K230" s="1">
        <f>'Solar Availability and Gener GR'!F230</f>
        <v>1.9768939731149291</v>
      </c>
      <c r="L230" s="1">
        <v>0.39891472868217059</v>
      </c>
      <c r="M230" s="1">
        <f t="shared" si="101"/>
        <v>1.5779792444327585</v>
      </c>
      <c r="N230" s="1" t="str">
        <f t="shared" si="102"/>
        <v>sell the surplus or charge</v>
      </c>
      <c r="O230" s="1">
        <v>0.25</v>
      </c>
      <c r="P230" s="1">
        <f t="shared" si="117"/>
        <v>0.62670034978624167</v>
      </c>
      <c r="Q230" s="1">
        <f t="shared" si="118"/>
        <v>1.7268939731149291</v>
      </c>
      <c r="R230" s="1">
        <f t="shared" si="119"/>
        <v>627.11772902651705</v>
      </c>
      <c r="S230" s="1">
        <f t="shared" si="120"/>
        <v>573.04063202979535</v>
      </c>
      <c r="T230" s="1">
        <f t="shared" si="121"/>
        <v>331.83554902963255</v>
      </c>
      <c r="U230" s="1" t="str">
        <f t="shared" si="122"/>
        <v>charge</v>
      </c>
      <c r="Y230" s="1">
        <f t="shared" si="99"/>
        <v>0.14486588372093023</v>
      </c>
      <c r="AA230" s="1">
        <f t="shared" si="103"/>
        <v>75.963810297805964</v>
      </c>
      <c r="AD230" s="1">
        <f t="shared" si="104"/>
        <v>0.25</v>
      </c>
      <c r="AF230" s="1">
        <f t="shared" si="105"/>
        <v>398.20265883555902</v>
      </c>
      <c r="AH230" s="1">
        <f t="shared" si="113"/>
        <v>0</v>
      </c>
    </row>
    <row r="231" spans="1:34" ht="15">
      <c r="A231" s="1">
        <v>230</v>
      </c>
      <c r="B231" s="1">
        <f t="shared" si="114"/>
        <v>1.7456423039259323</v>
      </c>
      <c r="C231" s="1">
        <f t="shared" si="100"/>
        <v>0</v>
      </c>
      <c r="D231" s="1">
        <f t="shared" si="106"/>
        <v>45.681294219778749</v>
      </c>
      <c r="E231">
        <v>363.15</v>
      </c>
      <c r="K231" s="1">
        <f>'Solar Availability and Gener GR'!F231</f>
        <v>1.9956423039259323</v>
      </c>
      <c r="L231" s="1">
        <v>0.39891472868217059</v>
      </c>
      <c r="M231" s="1">
        <f t="shared" si="101"/>
        <v>1.5967275752437617</v>
      </c>
      <c r="N231" s="1" t="str">
        <f t="shared" si="102"/>
        <v>sell the surplus or charge</v>
      </c>
      <c r="O231" s="1">
        <v>0.25</v>
      </c>
      <c r="P231" s="1">
        <f t="shared" si="117"/>
        <v>0.62670034978624167</v>
      </c>
      <c r="Q231" s="1">
        <f t="shared" si="118"/>
        <v>1.7456423039259323</v>
      </c>
      <c r="R231" s="1">
        <f t="shared" si="119"/>
        <v>633.92618536053283</v>
      </c>
      <c r="S231" s="1">
        <f t="shared" si="120"/>
        <v>579.84908836381123</v>
      </c>
      <c r="T231" s="1">
        <f t="shared" si="121"/>
        <v>332.17186618627335</v>
      </c>
      <c r="U231" s="1" t="str">
        <f t="shared" si="122"/>
        <v>charge</v>
      </c>
      <c r="Y231" s="1">
        <f t="shared" si="99"/>
        <v>0.14486588372093023</v>
      </c>
      <c r="AA231" s="1">
        <f t="shared" si="103"/>
        <v>77.560537873049725</v>
      </c>
      <c r="AD231" s="1">
        <f t="shared" si="104"/>
        <v>0.25</v>
      </c>
      <c r="AF231" s="1">
        <f t="shared" si="105"/>
        <v>398.606239423528</v>
      </c>
      <c r="AH231" s="1">
        <f t="shared" si="113"/>
        <v>0</v>
      </c>
    </row>
    <row r="232" spans="1:34" ht="15">
      <c r="A232" s="1">
        <v>231</v>
      </c>
      <c r="B232" s="1">
        <f t="shared" si="114"/>
        <v>1.6111857918632597</v>
      </c>
      <c r="C232" s="1">
        <f t="shared" si="100"/>
        <v>0</v>
      </c>
      <c r="D232" s="1">
        <f t="shared" si="106"/>
        <v>46.970242853269355</v>
      </c>
      <c r="E232">
        <v>363.15</v>
      </c>
      <c r="K232" s="1">
        <f>'Solar Availability and Gener GR'!F232</f>
        <v>1.8611857918632597</v>
      </c>
      <c r="L232" s="1">
        <v>0.4117829457364342</v>
      </c>
      <c r="M232" s="1">
        <f t="shared" si="101"/>
        <v>1.4494028461268256</v>
      </c>
      <c r="N232" s="1" t="str">
        <f t="shared" si="102"/>
        <v>sell the surplus or charge</v>
      </c>
      <c r="O232" s="1">
        <v>0.25</v>
      </c>
      <c r="P232" s="1">
        <f t="shared" si="117"/>
        <v>0.60711596385542155</v>
      </c>
      <c r="Q232" s="1">
        <f t="shared" si="118"/>
        <v>1.6111857918632597</v>
      </c>
      <c r="R232" s="1">
        <f t="shared" si="119"/>
        <v>585.09830300497333</v>
      </c>
      <c r="S232" s="1">
        <f t="shared" si="120"/>
        <v>526.34820040844102</v>
      </c>
      <c r="T232" s="1">
        <f t="shared" si="121"/>
        <v>326.68637383028658</v>
      </c>
      <c r="U232" s="1" t="str">
        <f t="shared" si="122"/>
        <v>charge</v>
      </c>
      <c r="Y232" s="1">
        <f t="shared" si="99"/>
        <v>0.14953897674418606</v>
      </c>
      <c r="AA232" s="1">
        <f t="shared" si="103"/>
        <v>79.009940719176555</v>
      </c>
      <c r="AD232" s="1">
        <f t="shared" si="104"/>
        <v>0.25</v>
      </c>
      <c r="AF232" s="1">
        <f t="shared" si="105"/>
        <v>392.02364859634389</v>
      </c>
      <c r="AH232" s="1">
        <f t="shared" si="113"/>
        <v>0</v>
      </c>
    </row>
    <row r="233" spans="1:34" ht="15">
      <c r="A233" s="1">
        <v>232</v>
      </c>
      <c r="B233" s="1">
        <f t="shared" si="114"/>
        <v>0</v>
      </c>
      <c r="C233" s="1">
        <f t="shared" si="100"/>
        <v>0</v>
      </c>
      <c r="D233" s="1">
        <f t="shared" si="106"/>
        <v>46.970242853269355</v>
      </c>
      <c r="E233">
        <v>363.15</v>
      </c>
      <c r="K233" s="1">
        <f>'Solar Availability and Gener GR'!F233</f>
        <v>1.5639633223537788</v>
      </c>
      <c r="L233" s="1">
        <v>0.66914728682170543</v>
      </c>
      <c r="M233" s="1">
        <f t="shared" si="101"/>
        <v>0.89481603553207334</v>
      </c>
      <c r="N233" s="1" t="str">
        <f t="shared" si="102"/>
        <v>sell the surplus or charge</v>
      </c>
      <c r="O233" s="1">
        <v>0.25</v>
      </c>
      <c r="P233" s="1">
        <f t="shared" si="117"/>
        <v>0.3736098239110287</v>
      </c>
      <c r="Q233" s="1">
        <f t="shared" si="118"/>
        <v>1.3139633223537788</v>
      </c>
      <c r="R233" s="1">
        <f t="shared" si="119"/>
        <v>477.16196320260536</v>
      </c>
      <c r="S233" s="1">
        <f t="shared" si="120"/>
        <v>324.95133703878628</v>
      </c>
      <c r="T233" s="1">
        <f t="shared" si="121"/>
        <v>247.31051239512718</v>
      </c>
      <c r="U233" s="1" t="str">
        <f t="shared" si="122"/>
        <v>sell to the Grid</v>
      </c>
      <c r="W233" s="1">
        <f>(Q233*E233)/1000</f>
        <v>0.47716578051277475</v>
      </c>
      <c r="Y233" s="1">
        <f t="shared" si="99"/>
        <v>0.24300083720930232</v>
      </c>
      <c r="AA233" s="1">
        <f t="shared" si="103"/>
        <v>79.904756754708629</v>
      </c>
      <c r="AD233" s="1">
        <f t="shared" si="104"/>
        <v>0.25</v>
      </c>
      <c r="AF233" s="1">
        <f t="shared" si="105"/>
        <v>296.77261487415262</v>
      </c>
      <c r="AG233" s="1">
        <f>AF232</f>
        <v>392.02364859634389</v>
      </c>
      <c r="AH233" s="1">
        <f t="shared" si="113"/>
        <v>515.10469575090235</v>
      </c>
    </row>
    <row r="234" spans="1:34" ht="15">
      <c r="A234" s="1">
        <v>233</v>
      </c>
      <c r="B234" s="1">
        <f t="shared" si="114"/>
        <v>0</v>
      </c>
      <c r="C234" s="1">
        <f t="shared" si="100"/>
        <v>0</v>
      </c>
      <c r="D234" s="1">
        <f t="shared" si="106"/>
        <v>46.970242853269355</v>
      </c>
      <c r="E234">
        <v>363.15</v>
      </c>
      <c r="K234" s="1">
        <f>'Solar Availability and Gener GR'!F234</f>
        <v>1.065690376569036</v>
      </c>
      <c r="L234" s="1">
        <v>0.65627906976744199</v>
      </c>
      <c r="M234" s="1">
        <f t="shared" si="101"/>
        <v>0.40941130680159399</v>
      </c>
      <c r="N234" s="1" t="str">
        <f t="shared" si="102"/>
        <v>sell the surplus or charge</v>
      </c>
      <c r="O234" s="1">
        <v>0.25</v>
      </c>
      <c r="P234" s="1">
        <f t="shared" si="117"/>
        <v>0.38093550673281351</v>
      </c>
      <c r="Q234" s="1">
        <f t="shared" si="118"/>
        <v>0.81569037656903598</v>
      </c>
      <c r="R234" s="1">
        <f t="shared" si="119"/>
        <v>296.214142940876</v>
      </c>
      <c r="S234" s="1">
        <f t="shared" si="120"/>
        <v>148.67655633053121</v>
      </c>
      <c r="T234" s="1">
        <f t="shared" si="121"/>
        <v>182.28014685096699</v>
      </c>
      <c r="U234" s="1" t="str">
        <f t="shared" si="122"/>
        <v>sell to the Grid</v>
      </c>
      <c r="W234" s="1">
        <f>(Q234*E234)/1000</f>
        <v>0.29621796025104541</v>
      </c>
      <c r="Y234" s="1">
        <f t="shared" si="99"/>
        <v>0.23832774418604655</v>
      </c>
      <c r="AA234" s="1">
        <f t="shared" si="103"/>
        <v>80.314168061510216</v>
      </c>
      <c r="AD234" s="1">
        <f t="shared" si="104"/>
        <v>0.25</v>
      </c>
      <c r="AF234" s="1">
        <f t="shared" si="105"/>
        <v>218.73617622116038</v>
      </c>
      <c r="AG234" s="1">
        <f>AF233</f>
        <v>296.77261487415262</v>
      </c>
      <c r="AH234" s="1">
        <f t="shared" si="113"/>
        <v>242.07456598207503</v>
      </c>
    </row>
    <row r="235" spans="1:34" ht="15">
      <c r="A235" s="1">
        <v>234</v>
      </c>
      <c r="B235" s="1">
        <f t="shared" si="114"/>
        <v>0</v>
      </c>
      <c r="C235" s="1">
        <f t="shared" si="100"/>
        <v>0</v>
      </c>
      <c r="D235" s="1">
        <f t="shared" si="106"/>
        <v>46.970242853269355</v>
      </c>
      <c r="E235">
        <v>363.15</v>
      </c>
      <c r="K235" s="1">
        <f>'Solar Availability and Gener GR'!F235</f>
        <v>0.46207157482417677</v>
      </c>
      <c r="L235" s="1">
        <v>0.66914728682170543</v>
      </c>
      <c r="M235" s="1">
        <f t="shared" si="101"/>
        <v>-0.20707571199752867</v>
      </c>
      <c r="N235" s="1" t="str">
        <f t="shared" si="102"/>
        <v>Buy from Grid</v>
      </c>
      <c r="V235" s="1" t="str">
        <f t="shared" ref="V235:V251" si="123">IF(D235+M235&gt;0,"discharge","buy from the Grid")</f>
        <v>discharge</v>
      </c>
      <c r="Y235" s="1">
        <f t="shared" si="99"/>
        <v>0.24300083720930232</v>
      </c>
      <c r="AA235" s="1">
        <f t="shared" si="103"/>
        <v>80.107092349512683</v>
      </c>
      <c r="AD235" s="1">
        <f t="shared" si="104"/>
        <v>0</v>
      </c>
      <c r="AF235" s="1">
        <f t="shared" si="105"/>
        <v>0</v>
      </c>
      <c r="AH235" s="1">
        <f t="shared" si="113"/>
        <v>0</v>
      </c>
    </row>
    <row r="236" spans="1:34" ht="15">
      <c r="A236" s="1">
        <v>235</v>
      </c>
      <c r="B236" s="1">
        <f t="shared" si="114"/>
        <v>0</v>
      </c>
      <c r="C236" s="1">
        <f t="shared" si="100"/>
        <v>-0.60964403746712481</v>
      </c>
      <c r="D236" s="1">
        <f t="shared" si="106"/>
        <v>46.208187806435447</v>
      </c>
      <c r="E236">
        <v>363.15</v>
      </c>
      <c r="K236" s="1">
        <f>'Solar Availability and Gener GR'!F236</f>
        <v>5.9503249354580651E-2</v>
      </c>
      <c r="L236" s="1">
        <v>0.66914728682170543</v>
      </c>
      <c r="M236" s="1">
        <f t="shared" si="101"/>
        <v>-0.60964403746712481</v>
      </c>
      <c r="N236" s="1" t="str">
        <f t="shared" si="102"/>
        <v>Buy from Grid</v>
      </c>
      <c r="V236" s="1" t="str">
        <f t="shared" si="123"/>
        <v>discharge</v>
      </c>
      <c r="Y236" s="1">
        <f t="shared" si="99"/>
        <v>0.24300083720930232</v>
      </c>
      <c r="AA236" s="1">
        <f t="shared" si="103"/>
        <v>79.497448312045563</v>
      </c>
      <c r="AD236" s="1">
        <f t="shared" si="104"/>
        <v>0</v>
      </c>
      <c r="AF236" s="1">
        <f t="shared" si="105"/>
        <v>0</v>
      </c>
      <c r="AH236" s="1">
        <f t="shared" si="113"/>
        <v>0</v>
      </c>
    </row>
    <row r="237" spans="1:34" ht="15">
      <c r="A237" s="1">
        <v>236</v>
      </c>
      <c r="B237" s="1">
        <f t="shared" si="114"/>
        <v>0</v>
      </c>
      <c r="C237" s="1">
        <f t="shared" si="100"/>
        <v>-0.39891472868217059</v>
      </c>
      <c r="D237" s="1">
        <f t="shared" si="106"/>
        <v>45.709544395582732</v>
      </c>
      <c r="E237">
        <v>363.15</v>
      </c>
      <c r="K237" s="1">
        <f>'Solar Availability and Gener GR'!F237</f>
        <v>0</v>
      </c>
      <c r="L237" s="1">
        <v>0.39891472868217059</v>
      </c>
      <c r="M237" s="1">
        <f t="shared" si="101"/>
        <v>-0.39891472868217059</v>
      </c>
      <c r="N237" s="1" t="str">
        <f t="shared" si="102"/>
        <v>Buy from Grid</v>
      </c>
      <c r="V237" s="1" t="str">
        <f t="shared" si="123"/>
        <v>discharge</v>
      </c>
      <c r="Y237" s="1">
        <f t="shared" si="99"/>
        <v>0.14486588372093023</v>
      </c>
      <c r="AA237" s="1">
        <f t="shared" si="103"/>
        <v>79.098533583363391</v>
      </c>
      <c r="AD237" s="1">
        <f t="shared" si="104"/>
        <v>0</v>
      </c>
      <c r="AF237" s="1">
        <f t="shared" si="105"/>
        <v>0</v>
      </c>
      <c r="AH237" s="1">
        <f t="shared" si="113"/>
        <v>0</v>
      </c>
    </row>
    <row r="238" spans="1:34" ht="15">
      <c r="A238" s="1">
        <v>237</v>
      </c>
      <c r="B238" s="1">
        <f t="shared" si="114"/>
        <v>0</v>
      </c>
      <c r="C238" s="1">
        <f t="shared" si="100"/>
        <v>-0.39891472868217059</v>
      </c>
      <c r="D238" s="1">
        <f t="shared" si="106"/>
        <v>45.210900984730017</v>
      </c>
      <c r="E238">
        <v>363.15</v>
      </c>
      <c r="K238" s="1">
        <f>'Solar Availability and Gener GR'!F238</f>
        <v>0</v>
      </c>
      <c r="L238" s="1">
        <v>0.39891472868217059</v>
      </c>
      <c r="M238" s="1">
        <f t="shared" si="101"/>
        <v>-0.39891472868217059</v>
      </c>
      <c r="N238" s="1" t="str">
        <f t="shared" si="102"/>
        <v>Buy from Grid</v>
      </c>
      <c r="V238" s="1" t="str">
        <f t="shared" si="123"/>
        <v>discharge</v>
      </c>
      <c r="Y238" s="1">
        <f t="shared" si="99"/>
        <v>0.14486588372093023</v>
      </c>
      <c r="AA238" s="1">
        <f t="shared" si="103"/>
        <v>78.699618854681219</v>
      </c>
      <c r="AD238" s="1">
        <f t="shared" si="104"/>
        <v>0</v>
      </c>
      <c r="AF238" s="1">
        <f t="shared" si="105"/>
        <v>0</v>
      </c>
      <c r="AH238" s="1">
        <f t="shared" si="113"/>
        <v>0</v>
      </c>
    </row>
    <row r="239" spans="1:34" ht="15">
      <c r="A239" s="1">
        <v>238</v>
      </c>
      <c r="B239" s="1">
        <f t="shared" si="114"/>
        <v>0</v>
      </c>
      <c r="C239" s="1">
        <f t="shared" si="100"/>
        <v>-0.25736434108527134</v>
      </c>
      <c r="D239" s="1">
        <f t="shared" si="106"/>
        <v>44.88919555837343</v>
      </c>
      <c r="E239">
        <v>363.15</v>
      </c>
      <c r="K239" s="1">
        <f>'Solar Availability and Gener GR'!F239</f>
        <v>0</v>
      </c>
      <c r="L239" s="1">
        <v>0.25736434108527134</v>
      </c>
      <c r="M239" s="1">
        <f t="shared" si="101"/>
        <v>-0.25736434108527134</v>
      </c>
      <c r="N239" s="1" t="str">
        <f t="shared" si="102"/>
        <v>Buy from Grid</v>
      </c>
      <c r="V239" s="1" t="str">
        <f t="shared" si="123"/>
        <v>discharge</v>
      </c>
      <c r="Y239" s="1">
        <f t="shared" si="99"/>
        <v>9.3461860465116287E-2</v>
      </c>
      <c r="AA239" s="1">
        <f t="shared" si="103"/>
        <v>78.442254513595941</v>
      </c>
      <c r="AD239" s="1">
        <f t="shared" si="104"/>
        <v>0</v>
      </c>
      <c r="AF239" s="1">
        <f t="shared" si="105"/>
        <v>0</v>
      </c>
      <c r="AH239" s="1">
        <f t="shared" si="113"/>
        <v>0</v>
      </c>
    </row>
    <row r="240" spans="1:34" ht="15">
      <c r="A240" s="1">
        <v>239</v>
      </c>
      <c r="B240" s="1">
        <f t="shared" si="114"/>
        <v>0</v>
      </c>
      <c r="C240" s="1">
        <f t="shared" si="100"/>
        <v>-0.25736434108527134</v>
      </c>
      <c r="D240" s="1">
        <f t="shared" si="106"/>
        <v>44.567490132016843</v>
      </c>
      <c r="E240">
        <v>363.15</v>
      </c>
      <c r="K240" s="1">
        <f>'Solar Availability and Gener GR'!F240</f>
        <v>0</v>
      </c>
      <c r="L240" s="1">
        <v>0.25736434108527134</v>
      </c>
      <c r="M240" s="1">
        <f t="shared" si="101"/>
        <v>-0.25736434108527134</v>
      </c>
      <c r="N240" s="1" t="str">
        <f t="shared" si="102"/>
        <v>Buy from Grid</v>
      </c>
      <c r="V240" s="1" t="str">
        <f t="shared" si="123"/>
        <v>discharge</v>
      </c>
      <c r="Y240" s="1">
        <f t="shared" si="99"/>
        <v>9.3461860465116287E-2</v>
      </c>
      <c r="AA240" s="1">
        <f t="shared" si="103"/>
        <v>78.184890172510663</v>
      </c>
      <c r="AD240" s="1">
        <f t="shared" si="104"/>
        <v>0</v>
      </c>
      <c r="AF240" s="1">
        <f t="shared" si="105"/>
        <v>0</v>
      </c>
      <c r="AH240" s="1">
        <f t="shared" si="113"/>
        <v>0</v>
      </c>
    </row>
    <row r="241" spans="1:34" ht="15">
      <c r="A241" s="1">
        <v>240</v>
      </c>
      <c r="B241" s="1">
        <f t="shared" si="114"/>
        <v>0</v>
      </c>
      <c r="C241" s="1">
        <f t="shared" si="100"/>
        <v>-0.19302325581395352</v>
      </c>
      <c r="D241" s="1">
        <f t="shared" si="106"/>
        <v>44.326211062249399</v>
      </c>
      <c r="E241">
        <v>363.15</v>
      </c>
      <c r="K241" s="1">
        <f>'Solar Availability and Gener GR'!F241</f>
        <v>0</v>
      </c>
      <c r="L241" s="1">
        <v>0.19302325581395352</v>
      </c>
      <c r="M241" s="1">
        <f t="shared" si="101"/>
        <v>-0.19302325581395352</v>
      </c>
      <c r="N241" s="1" t="str">
        <f t="shared" si="102"/>
        <v>Buy from Grid</v>
      </c>
      <c r="V241" s="1" t="str">
        <f t="shared" si="123"/>
        <v>discharge</v>
      </c>
      <c r="Y241" s="1">
        <f t="shared" si="99"/>
        <v>7.0096395348837215E-2</v>
      </c>
      <c r="AA241" s="1">
        <f t="shared" si="103"/>
        <v>77.991866916696708</v>
      </c>
      <c r="AD241" s="1">
        <f t="shared" si="104"/>
        <v>0</v>
      </c>
      <c r="AF241" s="1">
        <f t="shared" si="105"/>
        <v>0</v>
      </c>
      <c r="AH241" s="1">
        <f t="shared" si="113"/>
        <v>0</v>
      </c>
    </row>
    <row r="242" spans="1:34" ht="15">
      <c r="A242" s="1">
        <v>241</v>
      </c>
      <c r="B242" s="1">
        <f t="shared" si="114"/>
        <v>0</v>
      </c>
      <c r="C242" s="1">
        <f t="shared" si="100"/>
        <v>-0.19302325581395352</v>
      </c>
      <c r="D242" s="1">
        <f t="shared" si="106"/>
        <v>44.084931992481955</v>
      </c>
      <c r="E242">
        <v>363.15</v>
      </c>
      <c r="K242" s="1">
        <f>'Solar Availability and Gener GR'!F242</f>
        <v>0</v>
      </c>
      <c r="L242" s="1">
        <v>0.19302325581395352</v>
      </c>
      <c r="M242" s="1">
        <f t="shared" si="101"/>
        <v>-0.19302325581395352</v>
      </c>
      <c r="N242" s="1" t="str">
        <f t="shared" si="102"/>
        <v>Buy from Grid</v>
      </c>
      <c r="V242" s="1" t="str">
        <f t="shared" si="123"/>
        <v>discharge</v>
      </c>
      <c r="Y242" s="1">
        <f t="shared" si="99"/>
        <v>7.0096395348837215E-2</v>
      </c>
      <c r="AA242" s="1">
        <f t="shared" si="103"/>
        <v>77.798843660882753</v>
      </c>
      <c r="AD242" s="1">
        <f t="shared" si="104"/>
        <v>0</v>
      </c>
      <c r="AF242" s="1">
        <f t="shared" si="105"/>
        <v>0</v>
      </c>
      <c r="AH242" s="1">
        <f t="shared" si="113"/>
        <v>0</v>
      </c>
    </row>
    <row r="243" spans="1:34" ht="15">
      <c r="A243" s="1">
        <v>242</v>
      </c>
      <c r="B243" s="1">
        <f t="shared" si="114"/>
        <v>0</v>
      </c>
      <c r="C243" s="1">
        <f t="shared" si="100"/>
        <v>-0.19302325581395352</v>
      </c>
      <c r="D243" s="1">
        <f t="shared" si="106"/>
        <v>43.843652922714512</v>
      </c>
      <c r="E243">
        <v>363.15</v>
      </c>
      <c r="K243" s="1">
        <f>'Solar Availability and Gener GR'!F243</f>
        <v>0</v>
      </c>
      <c r="L243" s="1">
        <v>0.19302325581395352</v>
      </c>
      <c r="M243" s="1">
        <f t="shared" si="101"/>
        <v>-0.19302325581395352</v>
      </c>
      <c r="N243" s="1" t="str">
        <f t="shared" si="102"/>
        <v>Buy from Grid</v>
      </c>
      <c r="V243" s="1" t="str">
        <f t="shared" si="123"/>
        <v>discharge</v>
      </c>
      <c r="Y243" s="1">
        <f t="shared" si="99"/>
        <v>7.0096395348837215E-2</v>
      </c>
      <c r="AA243" s="1">
        <f t="shared" si="103"/>
        <v>77.605820405068798</v>
      </c>
      <c r="AD243" s="1">
        <f t="shared" si="104"/>
        <v>0</v>
      </c>
      <c r="AF243" s="1">
        <f t="shared" si="105"/>
        <v>0</v>
      </c>
      <c r="AH243" s="1">
        <f t="shared" si="113"/>
        <v>0</v>
      </c>
    </row>
    <row r="244" spans="1:34" ht="15">
      <c r="A244" s="1">
        <v>243</v>
      </c>
      <c r="B244" s="1">
        <f t="shared" si="114"/>
        <v>0</v>
      </c>
      <c r="C244" s="1">
        <f t="shared" si="100"/>
        <v>-0.19302325581395352</v>
      </c>
      <c r="D244" s="1">
        <f t="shared" si="106"/>
        <v>43.602373852947068</v>
      </c>
      <c r="E244">
        <v>363.15</v>
      </c>
      <c r="K244" s="1">
        <f>'Solar Availability and Gener GR'!F244</f>
        <v>0</v>
      </c>
      <c r="L244" s="1">
        <v>0.19302325581395352</v>
      </c>
      <c r="M244" s="1">
        <f t="shared" si="101"/>
        <v>-0.19302325581395352</v>
      </c>
      <c r="N244" s="1" t="str">
        <f t="shared" si="102"/>
        <v>Buy from Grid</v>
      </c>
      <c r="V244" s="1" t="str">
        <f t="shared" si="123"/>
        <v>discharge</v>
      </c>
      <c r="Y244" s="1">
        <f t="shared" si="99"/>
        <v>7.0096395348837215E-2</v>
      </c>
      <c r="AA244" s="1">
        <f t="shared" si="103"/>
        <v>77.412797149254843</v>
      </c>
      <c r="AD244" s="1">
        <f t="shared" si="104"/>
        <v>0</v>
      </c>
      <c r="AF244" s="1">
        <f t="shared" si="105"/>
        <v>0</v>
      </c>
      <c r="AH244" s="1">
        <f t="shared" si="113"/>
        <v>0</v>
      </c>
    </row>
    <row r="245" spans="1:34" ht="15">
      <c r="A245" s="1">
        <v>244</v>
      </c>
      <c r="B245" s="1">
        <f t="shared" si="114"/>
        <v>0</v>
      </c>
      <c r="C245" s="1">
        <f t="shared" si="100"/>
        <v>-0.19302325581395352</v>
      </c>
      <c r="D245" s="1">
        <f t="shared" si="106"/>
        <v>43.361094783179624</v>
      </c>
      <c r="E245">
        <v>363.15</v>
      </c>
      <c r="K245" s="1">
        <f>'Solar Availability and Gener GR'!F245</f>
        <v>0</v>
      </c>
      <c r="L245" s="1">
        <v>0.19302325581395352</v>
      </c>
      <c r="M245" s="1">
        <f t="shared" si="101"/>
        <v>-0.19302325581395352</v>
      </c>
      <c r="N245" s="1" t="str">
        <f t="shared" si="102"/>
        <v>Buy from Grid</v>
      </c>
      <c r="V245" s="1" t="str">
        <f t="shared" si="123"/>
        <v>discharge</v>
      </c>
      <c r="Y245" s="1">
        <f t="shared" si="99"/>
        <v>7.0096395348837215E-2</v>
      </c>
      <c r="AA245" s="1">
        <f t="shared" si="103"/>
        <v>77.219773893440887</v>
      </c>
      <c r="AD245" s="1">
        <f t="shared" si="104"/>
        <v>0</v>
      </c>
      <c r="AF245" s="1">
        <f t="shared" si="105"/>
        <v>0</v>
      </c>
      <c r="AH245" s="1">
        <f t="shared" si="113"/>
        <v>0</v>
      </c>
    </row>
    <row r="246" spans="1:34" ht="15">
      <c r="A246" s="1">
        <v>245</v>
      </c>
      <c r="B246" s="1">
        <f t="shared" si="114"/>
        <v>0</v>
      </c>
      <c r="C246" s="1">
        <f t="shared" si="100"/>
        <v>-0.19302325581395352</v>
      </c>
      <c r="D246" s="1">
        <f t="shared" si="106"/>
        <v>43.11981571341218</v>
      </c>
      <c r="E246">
        <v>363.15</v>
      </c>
      <c r="K246" s="1">
        <f>'Solar Availability and Gener GR'!F246</f>
        <v>0</v>
      </c>
      <c r="L246" s="1">
        <v>0.19302325581395352</v>
      </c>
      <c r="M246" s="1">
        <f t="shared" si="101"/>
        <v>-0.19302325581395352</v>
      </c>
      <c r="N246" s="1" t="str">
        <f t="shared" si="102"/>
        <v>Buy from Grid</v>
      </c>
      <c r="V246" s="1" t="str">
        <f t="shared" si="123"/>
        <v>discharge</v>
      </c>
      <c r="Y246" s="1">
        <f t="shared" si="99"/>
        <v>7.0096395348837215E-2</v>
      </c>
      <c r="AA246" s="1">
        <f t="shared" si="103"/>
        <v>77.026750637626932</v>
      </c>
      <c r="AD246" s="1">
        <f t="shared" si="104"/>
        <v>0</v>
      </c>
      <c r="AF246" s="1">
        <f t="shared" si="105"/>
        <v>0</v>
      </c>
      <c r="AH246" s="1">
        <f t="shared" si="113"/>
        <v>0</v>
      </c>
    </row>
    <row r="247" spans="1:34" ht="15">
      <c r="A247" s="1">
        <v>246</v>
      </c>
      <c r="B247" s="1">
        <f t="shared" si="114"/>
        <v>0</v>
      </c>
      <c r="C247" s="1">
        <f t="shared" si="100"/>
        <v>-0.25736434108527134</v>
      </c>
      <c r="D247" s="1">
        <f t="shared" si="106"/>
        <v>42.798110287055593</v>
      </c>
      <c r="E247">
        <v>363.15</v>
      </c>
      <c r="K247" s="1">
        <f>'Solar Availability and Gener GR'!F247</f>
        <v>0</v>
      </c>
      <c r="L247" s="1">
        <v>0.25736434108527134</v>
      </c>
      <c r="M247" s="1">
        <f t="shared" si="101"/>
        <v>-0.25736434108527134</v>
      </c>
      <c r="N247" s="1" t="str">
        <f t="shared" si="102"/>
        <v>Buy from Grid</v>
      </c>
      <c r="V247" s="1" t="str">
        <f t="shared" si="123"/>
        <v>discharge</v>
      </c>
      <c r="Y247" s="1">
        <f t="shared" si="99"/>
        <v>9.3461860465116287E-2</v>
      </c>
      <c r="AA247" s="1">
        <f t="shared" si="103"/>
        <v>76.769386296541654</v>
      </c>
      <c r="AD247" s="1">
        <f t="shared" si="104"/>
        <v>0</v>
      </c>
      <c r="AF247" s="1">
        <f t="shared" si="105"/>
        <v>0</v>
      </c>
      <c r="AH247" s="1">
        <f t="shared" si="113"/>
        <v>0</v>
      </c>
    </row>
    <row r="248" spans="1:34" ht="15">
      <c r="A248" s="1">
        <v>247</v>
      </c>
      <c r="B248" s="1">
        <f t="shared" si="114"/>
        <v>0</v>
      </c>
      <c r="C248" s="1">
        <f t="shared" si="100"/>
        <v>-0.65253551792648556</v>
      </c>
      <c r="D248" s="1">
        <f t="shared" si="106"/>
        <v>41.982440889647485</v>
      </c>
      <c r="E248">
        <v>363.15</v>
      </c>
      <c r="K248" s="1">
        <f>'Solar Availability and Gener GR'!F248</f>
        <v>1.6611768895219918E-2</v>
      </c>
      <c r="L248" s="1">
        <v>0.66914728682170543</v>
      </c>
      <c r="M248" s="1">
        <f t="shared" si="101"/>
        <v>-0.65253551792648556</v>
      </c>
      <c r="N248" s="1" t="str">
        <f t="shared" si="102"/>
        <v>Buy from Grid</v>
      </c>
      <c r="V248" s="1" t="str">
        <f t="shared" si="123"/>
        <v>discharge</v>
      </c>
      <c r="Y248" s="1">
        <f t="shared" si="99"/>
        <v>0.24300083720930232</v>
      </c>
      <c r="AA248" s="1">
        <f t="shared" si="103"/>
        <v>76.116850778615174</v>
      </c>
      <c r="AD248" s="1">
        <f t="shared" si="104"/>
        <v>0</v>
      </c>
      <c r="AF248" s="1">
        <f t="shared" si="105"/>
        <v>0</v>
      </c>
      <c r="AH248" s="1">
        <f t="shared" si="113"/>
        <v>0</v>
      </c>
    </row>
    <row r="249" spans="1:34" ht="15">
      <c r="A249" s="1">
        <v>248</v>
      </c>
      <c r="B249" s="1">
        <f t="shared" si="114"/>
        <v>0</v>
      </c>
      <c r="C249" s="1">
        <f t="shared" si="100"/>
        <v>-0.37312909706105396</v>
      </c>
      <c r="D249" s="1">
        <f t="shared" si="106"/>
        <v>41.516029518321169</v>
      </c>
      <c r="E249">
        <v>363.15</v>
      </c>
      <c r="K249" s="1">
        <f>'Solar Availability and Gener GR'!F249</f>
        <v>2.5785631621116648E-2</v>
      </c>
      <c r="L249" s="1">
        <v>0.39891472868217059</v>
      </c>
      <c r="M249" s="1">
        <f t="shared" si="101"/>
        <v>-0.37312909706105396</v>
      </c>
      <c r="N249" s="1" t="str">
        <f t="shared" si="102"/>
        <v>Buy from Grid</v>
      </c>
      <c r="V249" s="1" t="str">
        <f t="shared" si="123"/>
        <v>discharge</v>
      </c>
      <c r="Y249" s="1">
        <f t="shared" si="99"/>
        <v>0.14486588372093023</v>
      </c>
      <c r="AA249" s="1">
        <f t="shared" si="103"/>
        <v>75.743721681554121</v>
      </c>
      <c r="AD249" s="1">
        <f t="shared" si="104"/>
        <v>0</v>
      </c>
      <c r="AF249" s="1">
        <f t="shared" si="105"/>
        <v>0</v>
      </c>
      <c r="AH249" s="1">
        <f t="shared" si="113"/>
        <v>0</v>
      </c>
    </row>
    <row r="250" spans="1:34" ht="15">
      <c r="A250" s="1">
        <v>249</v>
      </c>
      <c r="B250" s="1">
        <f t="shared" si="114"/>
        <v>0</v>
      </c>
      <c r="C250" s="1">
        <f t="shared" si="100"/>
        <v>-0.32565736199473161</v>
      </c>
      <c r="D250" s="1">
        <f t="shared" si="106"/>
        <v>41.108957815827758</v>
      </c>
      <c r="E250">
        <v>363.15</v>
      </c>
      <c r="K250" s="1">
        <f>'Solar Availability and Gener GR'!F250</f>
        <v>7.3257366687438957E-2</v>
      </c>
      <c r="L250" s="1">
        <v>0.39891472868217059</v>
      </c>
      <c r="M250" s="1">
        <f t="shared" si="101"/>
        <v>-0.32565736199473161</v>
      </c>
      <c r="N250" s="1" t="str">
        <f t="shared" si="102"/>
        <v>Buy from Grid</v>
      </c>
      <c r="V250" s="1" t="str">
        <f t="shared" si="123"/>
        <v>discharge</v>
      </c>
      <c r="Y250" s="1">
        <f t="shared" si="99"/>
        <v>0.14486588372093023</v>
      </c>
      <c r="AA250" s="1">
        <f t="shared" si="103"/>
        <v>75.418064319559392</v>
      </c>
      <c r="AD250" s="1">
        <f t="shared" si="104"/>
        <v>0</v>
      </c>
      <c r="AF250" s="1">
        <f t="shared" si="105"/>
        <v>0</v>
      </c>
      <c r="AH250" s="1">
        <f t="shared" si="113"/>
        <v>0</v>
      </c>
    </row>
    <row r="251" spans="1:34" ht="15">
      <c r="A251" s="1">
        <v>250</v>
      </c>
      <c r="B251" s="1">
        <f t="shared" si="114"/>
        <v>0</v>
      </c>
      <c r="C251" s="1">
        <f t="shared" si="100"/>
        <v>-2.924945671564616E-2</v>
      </c>
      <c r="D251" s="1">
        <f t="shared" si="106"/>
        <v>41.072395994933203</v>
      </c>
      <c r="E251">
        <v>363.15</v>
      </c>
      <c r="K251" s="1">
        <f>'Solar Availability and Gener GR'!F251</f>
        <v>0.36966527196652443</v>
      </c>
      <c r="L251" s="1">
        <v>0.39891472868217059</v>
      </c>
      <c r="M251" s="1">
        <f t="shared" si="101"/>
        <v>-2.924945671564616E-2</v>
      </c>
      <c r="N251" s="1" t="str">
        <f t="shared" si="102"/>
        <v>Buy from Grid</v>
      </c>
      <c r="V251" s="1" t="str">
        <f t="shared" si="123"/>
        <v>discharge</v>
      </c>
      <c r="Y251" s="1">
        <f t="shared" si="99"/>
        <v>0.14486588372093023</v>
      </c>
      <c r="AA251" s="1">
        <f t="shared" si="103"/>
        <v>75.388814862843745</v>
      </c>
      <c r="AD251" s="1">
        <f t="shared" si="104"/>
        <v>0</v>
      </c>
      <c r="AF251" s="1">
        <f t="shared" si="105"/>
        <v>0</v>
      </c>
      <c r="AH251" s="1">
        <f t="shared" si="113"/>
        <v>0</v>
      </c>
    </row>
    <row r="252" spans="1:34" ht="15">
      <c r="A252" s="1">
        <v>251</v>
      </c>
      <c r="B252" s="1">
        <f t="shared" si="114"/>
        <v>0</v>
      </c>
      <c r="C252" s="1">
        <f t="shared" si="100"/>
        <v>0.39162653366982647</v>
      </c>
      <c r="D252" s="1">
        <f t="shared" si="106"/>
        <v>41.561929162020483</v>
      </c>
      <c r="E252">
        <v>363.15</v>
      </c>
      <c r="K252" s="1">
        <f>'Solar Availability and Gener GR'!F252</f>
        <v>0.79054126235199706</v>
      </c>
      <c r="L252" s="1">
        <v>0.39891472868217059</v>
      </c>
      <c r="M252" s="1">
        <f t="shared" si="101"/>
        <v>0.39162653366982647</v>
      </c>
      <c r="N252" s="1" t="str">
        <f t="shared" si="102"/>
        <v>sell the surplus or charge</v>
      </c>
      <c r="O252" s="1">
        <v>0.25</v>
      </c>
      <c r="P252" s="1">
        <f t="shared" ref="P252:P257" si="124">0.25/L252</f>
        <v>0.62670034978624167</v>
      </c>
      <c r="Q252" s="1">
        <f t="shared" ref="Q252:Q257" si="125">K252-P252*L252</f>
        <v>0.54054126235199706</v>
      </c>
      <c r="R252" s="1">
        <f t="shared" ref="R252:R257" si="126">((1/(E252+0.01))*LN(0.25))+(E252*(K252-0.25))</f>
        <v>196.29374211295831</v>
      </c>
      <c r="S252" s="1">
        <f t="shared" ref="S252:S257" si="127">((1/(E252+0.01))*LN(L252))+(E252*(K252-L252))</f>
        <v>142.21664511623672</v>
      </c>
      <c r="T252" s="1">
        <f t="shared" ref="T252:T257" si="128">(S252+((S252^2)-4*(K252-L252*P252)*LN(L252*P252))^(0.5))/(2*(K252-L252*P252))</f>
        <v>263.11018953690001</v>
      </c>
      <c r="U252" s="1" t="str">
        <f t="shared" ref="U252:U257" si="129">IF(E252&gt;=T252*1.2,"sell to the Grid","charge")</f>
        <v>sell to the Grid</v>
      </c>
      <c r="W252" s="1">
        <f>(Q252*E252)/1000</f>
        <v>0.19629755942312771</v>
      </c>
      <c r="Y252" s="1">
        <f t="shared" si="99"/>
        <v>0.14486588372093023</v>
      </c>
      <c r="AA252" s="1">
        <f t="shared" si="103"/>
        <v>75.780441396513567</v>
      </c>
      <c r="AD252" s="1">
        <f t="shared" si="104"/>
        <v>0.25</v>
      </c>
      <c r="AF252" s="1">
        <f t="shared" si="105"/>
        <v>315.73222744428</v>
      </c>
      <c r="AG252" s="1">
        <f>E252</f>
        <v>363.15</v>
      </c>
      <c r="AH252" s="1">
        <f t="shared" si="113"/>
        <v>196.29755942312772</v>
      </c>
    </row>
    <row r="253" spans="1:34" ht="15">
      <c r="A253" s="1">
        <v>252</v>
      </c>
      <c r="B253" s="1">
        <f t="shared" si="114"/>
        <v>1.1241431496483572</v>
      </c>
      <c r="C253" s="1">
        <f t="shared" si="100"/>
        <v>0</v>
      </c>
      <c r="D253" s="1">
        <f t="shared" si="106"/>
        <v>42.46124368173917</v>
      </c>
      <c r="E253">
        <v>363.15</v>
      </c>
      <c r="K253" s="1">
        <f>'Solar Availability and Gener GR'!F253</f>
        <v>1.3741431496483572</v>
      </c>
      <c r="L253" s="1">
        <v>0.39891472868217059</v>
      </c>
      <c r="M253" s="1">
        <f t="shared" si="101"/>
        <v>0.97522842096618656</v>
      </c>
      <c r="N253" s="1" t="str">
        <f t="shared" si="102"/>
        <v>sell the surplus or charge</v>
      </c>
      <c r="O253" s="1">
        <v>0.25</v>
      </c>
      <c r="P253" s="1">
        <f t="shared" si="124"/>
        <v>0.62670034978624167</v>
      </c>
      <c r="Q253" s="1">
        <f t="shared" si="125"/>
        <v>1.1241431496483572</v>
      </c>
      <c r="R253" s="1">
        <f t="shared" si="126"/>
        <v>408.22876748463148</v>
      </c>
      <c r="S253" s="1">
        <f t="shared" si="127"/>
        <v>354.15167048790988</v>
      </c>
      <c r="T253" s="1">
        <f t="shared" si="128"/>
        <v>315.04534889500934</v>
      </c>
      <c r="U253" s="1" t="str">
        <f t="shared" si="129"/>
        <v>charge</v>
      </c>
      <c r="Y253" s="1">
        <f t="shared" si="99"/>
        <v>0.14486588372093023</v>
      </c>
      <c r="AA253" s="1">
        <f t="shared" si="103"/>
        <v>76.755669817479756</v>
      </c>
      <c r="AD253" s="1">
        <f t="shared" si="104"/>
        <v>0.25</v>
      </c>
      <c r="AF253" s="1">
        <f t="shared" si="105"/>
        <v>378.05441867401117</v>
      </c>
      <c r="AH253" s="1">
        <f t="shared" si="113"/>
        <v>0</v>
      </c>
    </row>
    <row r="254" spans="1:34" ht="15">
      <c r="A254" s="1">
        <v>253</v>
      </c>
      <c r="B254" s="1">
        <f t="shared" si="114"/>
        <v>1.2944</v>
      </c>
      <c r="C254" s="1">
        <f t="shared" si="100"/>
        <v>0</v>
      </c>
      <c r="D254" s="1">
        <f t="shared" si="106"/>
        <v>43.496763681739168</v>
      </c>
      <c r="E254">
        <v>363.15</v>
      </c>
      <c r="K254" s="1">
        <f>'Solar Availability and Gener GR'!F254</f>
        <v>1.5444</v>
      </c>
      <c r="L254" s="1">
        <v>0.39891472868217059</v>
      </c>
      <c r="M254" s="1">
        <f t="shared" si="101"/>
        <v>1.1454852713178294</v>
      </c>
      <c r="N254" s="1" t="str">
        <f t="shared" si="102"/>
        <v>sell the surplus or charge</v>
      </c>
      <c r="O254" s="1">
        <v>0.25</v>
      </c>
      <c r="P254" s="1">
        <f t="shared" si="124"/>
        <v>0.62670034978624167</v>
      </c>
      <c r="Q254" s="1">
        <f t="shared" si="125"/>
        <v>1.2944</v>
      </c>
      <c r="R254" s="1">
        <f t="shared" si="126"/>
        <v>470.0575426898306</v>
      </c>
      <c r="S254" s="1">
        <f t="shared" si="127"/>
        <v>415.98044569310895</v>
      </c>
      <c r="T254" s="1">
        <f t="shared" si="128"/>
        <v>321.37265092658276</v>
      </c>
      <c r="U254" s="1" t="str">
        <f t="shared" si="129"/>
        <v>charge</v>
      </c>
      <c r="Y254" s="1">
        <f t="shared" si="99"/>
        <v>0.14486588372093023</v>
      </c>
      <c r="AA254" s="1">
        <f t="shared" si="103"/>
        <v>77.90115508879758</v>
      </c>
      <c r="AD254" s="1">
        <f t="shared" si="104"/>
        <v>0.25</v>
      </c>
      <c r="AF254" s="1">
        <f t="shared" si="105"/>
        <v>385.64718111189933</v>
      </c>
      <c r="AH254" s="1">
        <f t="shared" si="113"/>
        <v>0</v>
      </c>
    </row>
    <row r="255" spans="1:34" ht="15">
      <c r="A255" s="1">
        <v>254</v>
      </c>
      <c r="B255" s="1">
        <f t="shared" si="114"/>
        <v>1.2956423039259319</v>
      </c>
      <c r="C255" s="1">
        <f t="shared" si="100"/>
        <v>0</v>
      </c>
      <c r="D255" s="1">
        <f t="shared" si="106"/>
        <v>44.533277524879914</v>
      </c>
      <c r="E255">
        <v>363.15</v>
      </c>
      <c r="K255" s="1">
        <f>'Solar Availability and Gener GR'!F255</f>
        <v>1.5456423039259319</v>
      </c>
      <c r="L255" s="1">
        <v>0.39891472868217059</v>
      </c>
      <c r="M255" s="1">
        <f t="shared" si="101"/>
        <v>1.1467275752437613</v>
      </c>
      <c r="N255" s="1" t="str">
        <f t="shared" si="102"/>
        <v>sell the surplus or charge</v>
      </c>
      <c r="O255" s="1">
        <v>0.25</v>
      </c>
      <c r="P255" s="1">
        <f t="shared" si="124"/>
        <v>0.62670034978624167</v>
      </c>
      <c r="Q255" s="1">
        <f t="shared" si="125"/>
        <v>1.2956423039259319</v>
      </c>
      <c r="R255" s="1">
        <f t="shared" si="126"/>
        <v>470.50868536053275</v>
      </c>
      <c r="S255" s="1">
        <f t="shared" si="127"/>
        <v>416.43158836381116</v>
      </c>
      <c r="T255" s="1">
        <f t="shared" si="128"/>
        <v>321.41270799094963</v>
      </c>
      <c r="U255" s="1" t="str">
        <f t="shared" si="129"/>
        <v>charge</v>
      </c>
      <c r="Y255" s="1">
        <f t="shared" si="99"/>
        <v>0.14486588372093023</v>
      </c>
      <c r="AA255" s="1">
        <f t="shared" si="103"/>
        <v>79.047882664041339</v>
      </c>
      <c r="AD255" s="1">
        <f t="shared" si="104"/>
        <v>0.25</v>
      </c>
      <c r="AF255" s="1">
        <f t="shared" si="105"/>
        <v>385.69524958913956</v>
      </c>
      <c r="AH255" s="1">
        <f t="shared" si="113"/>
        <v>0</v>
      </c>
    </row>
    <row r="256" spans="1:34" ht="15">
      <c r="A256" s="1">
        <v>255</v>
      </c>
      <c r="B256" s="1">
        <f t="shared" si="114"/>
        <v>1.1803347280334719</v>
      </c>
      <c r="C256" s="1">
        <f t="shared" si="100"/>
        <v>0</v>
      </c>
      <c r="D256" s="1">
        <f t="shared" si="106"/>
        <v>45.477545307306691</v>
      </c>
      <c r="E256">
        <v>363.15</v>
      </c>
      <c r="K256" s="1">
        <f>'Solar Availability and Gener GR'!F256</f>
        <v>1.4303347280334719</v>
      </c>
      <c r="L256" s="1">
        <v>0.39891472868217059</v>
      </c>
      <c r="M256" s="1">
        <f t="shared" si="101"/>
        <v>1.0314199993513014</v>
      </c>
      <c r="N256" s="1" t="str">
        <f t="shared" si="102"/>
        <v>sell the surplus or charge</v>
      </c>
      <c r="O256" s="1">
        <v>0.25</v>
      </c>
      <c r="P256" s="1">
        <f t="shared" si="124"/>
        <v>0.62670034978624167</v>
      </c>
      <c r="Q256" s="1">
        <f t="shared" si="125"/>
        <v>1.1803347280334719</v>
      </c>
      <c r="R256" s="1">
        <f t="shared" si="126"/>
        <v>428.63473917518593</v>
      </c>
      <c r="S256" s="1">
        <f t="shared" si="127"/>
        <v>374.55764217846433</v>
      </c>
      <c r="T256" s="1">
        <f t="shared" si="128"/>
        <v>317.33541497039914</v>
      </c>
      <c r="U256" s="1" t="str">
        <f t="shared" si="129"/>
        <v>charge</v>
      </c>
      <c r="Y256" s="1">
        <f t="shared" si="99"/>
        <v>0.14486588372093023</v>
      </c>
      <c r="AA256" s="1">
        <f t="shared" si="103"/>
        <v>80.079302663392639</v>
      </c>
      <c r="AD256" s="1">
        <f t="shared" si="104"/>
        <v>0.25</v>
      </c>
      <c r="AF256" s="1">
        <f t="shared" si="105"/>
        <v>380.80249796447896</v>
      </c>
      <c r="AH256" s="1">
        <f t="shared" si="113"/>
        <v>0</v>
      </c>
    </row>
    <row r="257" spans="1:34" ht="15">
      <c r="A257" s="1">
        <v>256</v>
      </c>
      <c r="B257" s="1">
        <f t="shared" si="114"/>
        <v>0</v>
      </c>
      <c r="C257" s="1">
        <f t="shared" si="100"/>
        <v>0</v>
      </c>
      <c r="D257" s="1">
        <f t="shared" si="106"/>
        <v>45.477545307306691</v>
      </c>
      <c r="E257">
        <v>363.15</v>
      </c>
      <c r="K257" s="1">
        <f>'Solar Availability and Gener GR'!F257</f>
        <v>1.1235244369269095</v>
      </c>
      <c r="L257" s="1">
        <v>0.66914728682170543</v>
      </c>
      <c r="M257" s="1">
        <f t="shared" si="101"/>
        <v>0.45437715010520408</v>
      </c>
      <c r="N257" s="1" t="str">
        <f t="shared" si="102"/>
        <v>sell the surplus or charge</v>
      </c>
      <c r="O257" s="1">
        <v>0.25</v>
      </c>
      <c r="P257" s="1">
        <f t="shared" si="124"/>
        <v>0.3736098239110287</v>
      </c>
      <c r="Q257" s="1">
        <f t="shared" si="125"/>
        <v>0.87352443692690951</v>
      </c>
      <c r="R257" s="1">
        <f t="shared" si="126"/>
        <v>317.21658195983781</v>
      </c>
      <c r="S257" s="1">
        <f t="shared" si="127"/>
        <v>165.00595579601872</v>
      </c>
      <c r="T257" s="1">
        <f t="shared" si="128"/>
        <v>188.90518386515004</v>
      </c>
      <c r="U257" s="1" t="str">
        <f t="shared" si="129"/>
        <v>sell to the Grid</v>
      </c>
      <c r="W257" s="1">
        <f>(Q257*E257)/1000</f>
        <v>0.31722039927000717</v>
      </c>
      <c r="Y257" s="1">
        <f t="shared" si="99"/>
        <v>0.24300083720930232</v>
      </c>
      <c r="AA257" s="1">
        <f t="shared" si="103"/>
        <v>80.533679813497841</v>
      </c>
      <c r="AD257" s="1">
        <f t="shared" si="104"/>
        <v>0.25</v>
      </c>
      <c r="AF257" s="1">
        <f t="shared" si="105"/>
        <v>226.68622063818003</v>
      </c>
      <c r="AG257" s="1">
        <f>AF256</f>
        <v>380.80249796447896</v>
      </c>
      <c r="AH257" s="1">
        <f t="shared" si="113"/>
        <v>332.6402876147821</v>
      </c>
    </row>
    <row r="258" spans="1:34" ht="15">
      <c r="A258" s="1">
        <v>257</v>
      </c>
      <c r="B258" s="1">
        <f t="shared" si="114"/>
        <v>0</v>
      </c>
      <c r="C258" s="1">
        <f t="shared" si="100"/>
        <v>0</v>
      </c>
      <c r="D258" s="1">
        <f t="shared" si="106"/>
        <v>45.477545307306691</v>
      </c>
      <c r="E258">
        <v>363.15</v>
      </c>
      <c r="K258" s="1">
        <f>'Solar Availability and Gener GR'!F258</f>
        <v>0.64438707380040716</v>
      </c>
      <c r="L258" s="1">
        <v>0.66914728682170543</v>
      </c>
      <c r="M258" s="1">
        <f t="shared" si="101"/>
        <v>-2.4760213021298272E-2</v>
      </c>
      <c r="N258" s="1" t="str">
        <f t="shared" si="102"/>
        <v>Buy from Grid</v>
      </c>
      <c r="V258" s="1" t="str">
        <f t="shared" ref="V258:V275" si="130">IF(D258+M258&gt;0,"discharge","buy from the Grid")</f>
        <v>discharge</v>
      </c>
      <c r="Y258" s="1">
        <f t="shared" ref="Y258:Y289" si="131">(L258*E258)/1000</f>
        <v>0.24300083720930232</v>
      </c>
      <c r="AA258" s="1">
        <f t="shared" si="103"/>
        <v>80.508919600476545</v>
      </c>
      <c r="AD258" s="1">
        <f t="shared" si="104"/>
        <v>0</v>
      </c>
      <c r="AF258" s="1">
        <f t="shared" si="105"/>
        <v>0</v>
      </c>
      <c r="AH258" s="1">
        <f t="shared" si="113"/>
        <v>0</v>
      </c>
    </row>
    <row r="259" spans="1:34" ht="15">
      <c r="A259" s="1">
        <v>258</v>
      </c>
      <c r="B259" s="1">
        <f t="shared" si="114"/>
        <v>0</v>
      </c>
      <c r="C259" s="1">
        <f t="shared" ref="C259:C289" si="132">IF(V258="discharge",M259,0)</f>
        <v>-0.4655997038073727</v>
      </c>
      <c r="D259" s="1">
        <f t="shared" si="106"/>
        <v>44.895545677547474</v>
      </c>
      <c r="E259">
        <v>363.15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33">K259-L259</f>
        <v>-0.4655997038073727</v>
      </c>
      <c r="N259" s="1" t="str">
        <f t="shared" ref="N259:N289" si="134">IF(M259&lt;0,"Buy from Grid","sell the surplus or charge")</f>
        <v>Buy from Grid</v>
      </c>
      <c r="V259" s="1" t="str">
        <f t="shared" si="130"/>
        <v>discharge</v>
      </c>
      <c r="Y259" s="1">
        <f t="shared" si="131"/>
        <v>0.24300083720930232</v>
      </c>
      <c r="AA259" s="1">
        <f t="shared" ref="AA259:AA289" si="135">M259+AA258</f>
        <v>80.043319896669175</v>
      </c>
      <c r="AD259" s="1">
        <f t="shared" ref="AD259:AD289" si="136">AC259+O259</f>
        <v>0</v>
      </c>
      <c r="AF259" s="1">
        <f t="shared" ref="AF259:AF289" si="137">T259*1.2</f>
        <v>0</v>
      </c>
      <c r="AH259" s="1">
        <f t="shared" si="113"/>
        <v>0</v>
      </c>
    </row>
    <row r="260" spans="1:34" ht="15">
      <c r="A260" s="1">
        <v>259</v>
      </c>
      <c r="B260" s="1">
        <f t="shared" si="114"/>
        <v>0</v>
      </c>
      <c r="C260" s="1">
        <f t="shared" si="132"/>
        <v>-0.6479419098075504</v>
      </c>
      <c r="D260" s="1">
        <f t="shared" ref="D260:D289" si="138">(D259)+(B260*0.8)+(C260/0.8)</f>
        <v>44.085618290288039</v>
      </c>
      <c r="E260">
        <v>363.15</v>
      </c>
      <c r="K260" s="1">
        <f>'Solar Availability and Gener GR'!F260</f>
        <v>2.1205377014155053E-2</v>
      </c>
      <c r="L260" s="1">
        <v>0.66914728682170543</v>
      </c>
      <c r="M260" s="1">
        <f t="shared" si="133"/>
        <v>-0.6479419098075504</v>
      </c>
      <c r="N260" s="1" t="str">
        <f t="shared" si="134"/>
        <v>Buy from Grid</v>
      </c>
      <c r="V260" s="1" t="str">
        <f t="shared" si="130"/>
        <v>discharge</v>
      </c>
      <c r="Y260" s="1">
        <f t="shared" si="131"/>
        <v>0.24300083720930232</v>
      </c>
      <c r="AA260" s="1">
        <f t="shared" si="135"/>
        <v>79.395377986861618</v>
      </c>
      <c r="AD260" s="1">
        <f t="shared" si="136"/>
        <v>0</v>
      </c>
      <c r="AF260" s="1">
        <f t="shared" si="137"/>
        <v>0</v>
      </c>
      <c r="AH260" s="1">
        <f t="shared" si="113"/>
        <v>0</v>
      </c>
    </row>
    <row r="261" spans="1:34" ht="15">
      <c r="A261" s="1">
        <v>260</v>
      </c>
      <c r="B261" s="1">
        <f t="shared" si="114"/>
        <v>0</v>
      </c>
      <c r="C261" s="1">
        <f t="shared" si="132"/>
        <v>-0.39891472868217059</v>
      </c>
      <c r="D261" s="1">
        <f t="shared" si="138"/>
        <v>43.586974879435324</v>
      </c>
      <c r="E261">
        <v>363.15</v>
      </c>
      <c r="K261" s="1">
        <f>'Solar Availability and Gener GR'!F261</f>
        <v>0</v>
      </c>
      <c r="L261" s="1">
        <v>0.39891472868217059</v>
      </c>
      <c r="M261" s="1">
        <f t="shared" si="133"/>
        <v>-0.39891472868217059</v>
      </c>
      <c r="N261" s="1" t="str">
        <f t="shared" si="134"/>
        <v>Buy from Grid</v>
      </c>
      <c r="V261" s="1" t="str">
        <f t="shared" si="130"/>
        <v>discharge</v>
      </c>
      <c r="Y261" s="1">
        <f t="shared" si="131"/>
        <v>0.14486588372093023</v>
      </c>
      <c r="AA261" s="1">
        <f t="shared" si="135"/>
        <v>78.996463258179446</v>
      </c>
      <c r="AD261" s="1">
        <f t="shared" si="136"/>
        <v>0</v>
      </c>
      <c r="AF261" s="1">
        <f t="shared" si="137"/>
        <v>0</v>
      </c>
      <c r="AH261" s="1">
        <f t="shared" si="113"/>
        <v>0</v>
      </c>
    </row>
    <row r="262" spans="1:34" ht="15">
      <c r="A262" s="1">
        <v>261</v>
      </c>
      <c r="B262" s="1">
        <f t="shared" si="114"/>
        <v>0</v>
      </c>
      <c r="C262" s="1">
        <f t="shared" si="132"/>
        <v>-0.39891472868217059</v>
      </c>
      <c r="D262" s="1">
        <f t="shared" si="138"/>
        <v>43.088331468582609</v>
      </c>
      <c r="E262">
        <v>363.15</v>
      </c>
      <c r="K262" s="1">
        <f>'Solar Availability and Gener GR'!F262</f>
        <v>0</v>
      </c>
      <c r="L262" s="1">
        <v>0.39891472868217059</v>
      </c>
      <c r="M262" s="1">
        <f t="shared" si="133"/>
        <v>-0.39891472868217059</v>
      </c>
      <c r="N262" s="1" t="str">
        <f t="shared" si="134"/>
        <v>Buy from Grid</v>
      </c>
      <c r="V262" s="1" t="str">
        <f t="shared" si="130"/>
        <v>discharge</v>
      </c>
      <c r="Y262" s="1">
        <f t="shared" si="131"/>
        <v>0.14486588372093023</v>
      </c>
      <c r="AA262" s="1">
        <f t="shared" si="135"/>
        <v>78.597548529497274</v>
      </c>
      <c r="AD262" s="1">
        <f t="shared" si="136"/>
        <v>0</v>
      </c>
      <c r="AF262" s="1">
        <f t="shared" si="137"/>
        <v>0</v>
      </c>
      <c r="AH262" s="1">
        <f t="shared" si="113"/>
        <v>0</v>
      </c>
    </row>
    <row r="263" spans="1:34" ht="15">
      <c r="A263" s="1">
        <v>262</v>
      </c>
      <c r="B263" s="1">
        <f t="shared" si="114"/>
        <v>0</v>
      </c>
      <c r="C263" s="1">
        <f t="shared" si="132"/>
        <v>-0.39891472868217059</v>
      </c>
      <c r="D263" s="1">
        <f t="shared" si="138"/>
        <v>42.589688057729894</v>
      </c>
      <c r="E263">
        <v>363.15</v>
      </c>
      <c r="K263" s="1">
        <f>'Solar Availability and Gener GR'!F263</f>
        <v>0</v>
      </c>
      <c r="L263" s="1">
        <v>0.39891472868217059</v>
      </c>
      <c r="M263" s="1">
        <f t="shared" si="133"/>
        <v>-0.39891472868217059</v>
      </c>
      <c r="N263" s="1" t="str">
        <f t="shared" si="134"/>
        <v>Buy from Grid</v>
      </c>
      <c r="V263" s="1" t="str">
        <f t="shared" si="130"/>
        <v>discharge</v>
      </c>
      <c r="Y263" s="1">
        <f t="shared" si="131"/>
        <v>0.14486588372093023</v>
      </c>
      <c r="AA263" s="1">
        <f t="shared" si="135"/>
        <v>78.198633800815102</v>
      </c>
      <c r="AD263" s="1">
        <f t="shared" si="136"/>
        <v>0</v>
      </c>
      <c r="AF263" s="1">
        <f t="shared" si="137"/>
        <v>0</v>
      </c>
      <c r="AH263" s="1">
        <f t="shared" si="113"/>
        <v>0</v>
      </c>
    </row>
    <row r="264" spans="1:34" ht="15">
      <c r="A264" s="1">
        <v>263</v>
      </c>
      <c r="B264" s="1">
        <f t="shared" si="114"/>
        <v>0</v>
      </c>
      <c r="C264" s="1">
        <f t="shared" si="132"/>
        <v>-0.2831007751937985</v>
      </c>
      <c r="D264" s="1">
        <f t="shared" si="138"/>
        <v>42.235812088737646</v>
      </c>
      <c r="E264">
        <v>363.15</v>
      </c>
      <c r="K264" s="1">
        <f>'Solar Availability and Gener GR'!F264</f>
        <v>0</v>
      </c>
      <c r="L264" s="1">
        <v>0.2831007751937985</v>
      </c>
      <c r="M264" s="1">
        <f t="shared" si="133"/>
        <v>-0.2831007751937985</v>
      </c>
      <c r="N264" s="1" t="str">
        <f t="shared" si="134"/>
        <v>Buy from Grid</v>
      </c>
      <c r="V264" s="1" t="str">
        <f t="shared" si="130"/>
        <v>discharge</v>
      </c>
      <c r="Y264" s="1">
        <f t="shared" si="131"/>
        <v>0.10280804651162792</v>
      </c>
      <c r="AA264" s="1">
        <f t="shared" si="135"/>
        <v>77.915533025621301</v>
      </c>
      <c r="AD264" s="1">
        <f t="shared" si="136"/>
        <v>0</v>
      </c>
      <c r="AF264" s="1">
        <f t="shared" si="137"/>
        <v>0</v>
      </c>
      <c r="AH264" s="1">
        <f t="shared" si="113"/>
        <v>0</v>
      </c>
    </row>
    <row r="265" spans="1:34" ht="15">
      <c r="A265" s="1">
        <v>264</v>
      </c>
      <c r="B265" s="1">
        <f t="shared" si="114"/>
        <v>0</v>
      </c>
      <c r="C265" s="1">
        <f t="shared" si="132"/>
        <v>-0.29596899224806206</v>
      </c>
      <c r="D265" s="1">
        <f t="shared" si="138"/>
        <v>41.86585084842757</v>
      </c>
      <c r="E265">
        <v>363.15</v>
      </c>
      <c r="K265" s="1">
        <f>'Solar Availability and Gener GR'!F265</f>
        <v>0</v>
      </c>
      <c r="L265" s="1">
        <v>0.29596899224806206</v>
      </c>
      <c r="M265" s="1">
        <f t="shared" si="133"/>
        <v>-0.29596899224806206</v>
      </c>
      <c r="N265" s="1" t="str">
        <f t="shared" si="134"/>
        <v>Buy from Grid</v>
      </c>
      <c r="V265" s="1" t="str">
        <f t="shared" si="130"/>
        <v>discharge</v>
      </c>
      <c r="Y265" s="1">
        <f t="shared" si="131"/>
        <v>0.10748113953488372</v>
      </c>
      <c r="AA265" s="1">
        <f t="shared" si="135"/>
        <v>77.619564033373237</v>
      </c>
      <c r="AD265" s="1">
        <f t="shared" si="136"/>
        <v>0</v>
      </c>
      <c r="AF265" s="1">
        <f t="shared" si="137"/>
        <v>0</v>
      </c>
      <c r="AH265" s="1">
        <f t="shared" si="113"/>
        <v>0</v>
      </c>
    </row>
    <row r="266" spans="1:34" ht="15">
      <c r="A266" s="1">
        <v>265</v>
      </c>
      <c r="B266" s="1">
        <f t="shared" si="114"/>
        <v>0</v>
      </c>
      <c r="C266" s="1">
        <f t="shared" si="132"/>
        <v>-0.2831007751937985</v>
      </c>
      <c r="D266" s="1">
        <f t="shared" si="138"/>
        <v>41.511974879435321</v>
      </c>
      <c r="E266">
        <v>363.15</v>
      </c>
      <c r="K266" s="1">
        <f>'Solar Availability and Gener GR'!F266</f>
        <v>0</v>
      </c>
      <c r="L266" s="1">
        <v>0.2831007751937985</v>
      </c>
      <c r="M266" s="1">
        <f t="shared" si="133"/>
        <v>-0.2831007751937985</v>
      </c>
      <c r="N266" s="1" t="str">
        <f t="shared" si="134"/>
        <v>Buy from Grid</v>
      </c>
      <c r="V266" s="1" t="str">
        <f t="shared" si="130"/>
        <v>discharge</v>
      </c>
      <c r="Y266" s="1">
        <f t="shared" si="131"/>
        <v>0.10280804651162792</v>
      </c>
      <c r="AA266" s="1">
        <f t="shared" si="135"/>
        <v>77.336463258179435</v>
      </c>
      <c r="AD266" s="1">
        <f t="shared" si="136"/>
        <v>0</v>
      </c>
      <c r="AF266" s="1">
        <f t="shared" si="137"/>
        <v>0</v>
      </c>
      <c r="AH266" s="1">
        <f t="shared" si="113"/>
        <v>0</v>
      </c>
    </row>
    <row r="267" spans="1:34" ht="15">
      <c r="A267" s="1">
        <v>266</v>
      </c>
      <c r="B267" s="1">
        <f t="shared" si="114"/>
        <v>0</v>
      </c>
      <c r="C267" s="1">
        <f t="shared" si="132"/>
        <v>-0.19302325581395352</v>
      </c>
      <c r="D267" s="1">
        <f t="shared" si="138"/>
        <v>41.270695809667878</v>
      </c>
      <c r="E267">
        <v>363.15</v>
      </c>
      <c r="K267" s="1">
        <f>'Solar Availability and Gener GR'!F267</f>
        <v>0</v>
      </c>
      <c r="L267" s="1">
        <v>0.19302325581395352</v>
      </c>
      <c r="M267" s="1">
        <f t="shared" si="133"/>
        <v>-0.19302325581395352</v>
      </c>
      <c r="N267" s="1" t="str">
        <f t="shared" si="134"/>
        <v>Buy from Grid</v>
      </c>
      <c r="V267" s="1" t="str">
        <f t="shared" si="130"/>
        <v>discharge</v>
      </c>
      <c r="Y267" s="1">
        <f t="shared" si="131"/>
        <v>7.0096395348837215E-2</v>
      </c>
      <c r="AA267" s="1">
        <f t="shared" si="135"/>
        <v>77.14344000236548</v>
      </c>
      <c r="AD267" s="1">
        <f t="shared" si="136"/>
        <v>0</v>
      </c>
      <c r="AF267" s="1">
        <f t="shared" si="137"/>
        <v>0</v>
      </c>
      <c r="AH267" s="1">
        <f t="shared" si="113"/>
        <v>0</v>
      </c>
    </row>
    <row r="268" spans="1:34" ht="15">
      <c r="A268" s="1">
        <v>267</v>
      </c>
      <c r="B268" s="1">
        <f t="shared" si="114"/>
        <v>0</v>
      </c>
      <c r="C268" s="1">
        <f t="shared" si="132"/>
        <v>-0.19302325581395352</v>
      </c>
      <c r="D268" s="1">
        <f t="shared" si="138"/>
        <v>41.029416739900434</v>
      </c>
      <c r="E268">
        <v>363.15</v>
      </c>
      <c r="K268" s="1">
        <f>'Solar Availability and Gener GR'!F268</f>
        <v>0</v>
      </c>
      <c r="L268" s="1">
        <v>0.19302325581395352</v>
      </c>
      <c r="M268" s="1">
        <f t="shared" si="133"/>
        <v>-0.19302325581395352</v>
      </c>
      <c r="N268" s="1" t="str">
        <f t="shared" si="134"/>
        <v>Buy from Grid</v>
      </c>
      <c r="V268" s="1" t="str">
        <f t="shared" si="130"/>
        <v>discharge</v>
      </c>
      <c r="Y268" s="1">
        <f t="shared" si="131"/>
        <v>7.0096395348837215E-2</v>
      </c>
      <c r="AA268" s="1">
        <f t="shared" si="135"/>
        <v>76.950416746551525</v>
      </c>
      <c r="AD268" s="1">
        <f t="shared" si="136"/>
        <v>0</v>
      </c>
      <c r="AF268" s="1">
        <f t="shared" si="137"/>
        <v>0</v>
      </c>
      <c r="AH268" s="1">
        <f t="shared" si="113"/>
        <v>0</v>
      </c>
    </row>
    <row r="269" spans="1:34" ht="15">
      <c r="A269" s="1">
        <v>268</v>
      </c>
      <c r="B269" s="1">
        <f t="shared" si="114"/>
        <v>0</v>
      </c>
      <c r="C269" s="1">
        <f t="shared" si="132"/>
        <v>-0.19302325581395352</v>
      </c>
      <c r="D269" s="1">
        <f t="shared" si="138"/>
        <v>40.78813767013299</v>
      </c>
      <c r="E269">
        <v>363.15</v>
      </c>
      <c r="K269" s="1">
        <f>'Solar Availability and Gener GR'!F269</f>
        <v>0</v>
      </c>
      <c r="L269" s="1">
        <v>0.19302325581395352</v>
      </c>
      <c r="M269" s="1">
        <f t="shared" si="133"/>
        <v>-0.19302325581395352</v>
      </c>
      <c r="N269" s="1" t="str">
        <f t="shared" si="134"/>
        <v>Buy from Grid</v>
      </c>
      <c r="V269" s="1" t="str">
        <f t="shared" si="130"/>
        <v>discharge</v>
      </c>
      <c r="Y269" s="1">
        <f t="shared" si="131"/>
        <v>7.0096395348837215E-2</v>
      </c>
      <c r="AA269" s="1">
        <f t="shared" si="135"/>
        <v>76.75739349073757</v>
      </c>
      <c r="AD269" s="1">
        <f t="shared" si="136"/>
        <v>0</v>
      </c>
      <c r="AF269" s="1">
        <f t="shared" si="137"/>
        <v>0</v>
      </c>
      <c r="AH269" s="1">
        <f t="shared" ref="AH269:AH289" si="139">AG269*Q269</f>
        <v>0</v>
      </c>
    </row>
    <row r="270" spans="1:34" ht="15">
      <c r="A270" s="1">
        <v>269</v>
      </c>
      <c r="B270" s="1">
        <f t="shared" si="114"/>
        <v>0</v>
      </c>
      <c r="C270" s="1">
        <f t="shared" si="132"/>
        <v>-0.19302325581395352</v>
      </c>
      <c r="D270" s="1">
        <f t="shared" si="138"/>
        <v>40.546858600365546</v>
      </c>
      <c r="E270">
        <v>363.15</v>
      </c>
      <c r="K270" s="1">
        <f>'Solar Availability and Gener GR'!F270</f>
        <v>0</v>
      </c>
      <c r="L270" s="1">
        <v>0.19302325581395352</v>
      </c>
      <c r="M270" s="1">
        <f t="shared" si="133"/>
        <v>-0.19302325581395352</v>
      </c>
      <c r="N270" s="1" t="str">
        <f t="shared" si="134"/>
        <v>Buy from Grid</v>
      </c>
      <c r="V270" s="1" t="str">
        <f t="shared" si="130"/>
        <v>discharge</v>
      </c>
      <c r="Y270" s="1">
        <f t="shared" si="131"/>
        <v>7.0096395348837215E-2</v>
      </c>
      <c r="AA270" s="1">
        <f t="shared" si="135"/>
        <v>76.564370234923615</v>
      </c>
      <c r="AD270" s="1">
        <f t="shared" si="136"/>
        <v>0</v>
      </c>
      <c r="AF270" s="1">
        <f t="shared" si="137"/>
        <v>0</v>
      </c>
      <c r="AH270" s="1">
        <f t="shared" si="139"/>
        <v>0</v>
      </c>
    </row>
    <row r="271" spans="1:34" ht="15">
      <c r="A271" s="1">
        <v>270</v>
      </c>
      <c r="B271" s="1">
        <f t="shared" si="114"/>
        <v>0</v>
      </c>
      <c r="C271" s="1">
        <f t="shared" si="132"/>
        <v>-0.64341085271317833</v>
      </c>
      <c r="D271" s="1">
        <f t="shared" si="138"/>
        <v>39.742595034474071</v>
      </c>
      <c r="E271">
        <v>363.15</v>
      </c>
      <c r="K271" s="1">
        <f>'Solar Availability and Gener GR'!F271</f>
        <v>0</v>
      </c>
      <c r="L271" s="1">
        <v>0.64341085271317833</v>
      </c>
      <c r="M271" s="1">
        <f t="shared" si="133"/>
        <v>-0.64341085271317833</v>
      </c>
      <c r="N271" s="1" t="str">
        <f t="shared" si="134"/>
        <v>Buy from Grid</v>
      </c>
      <c r="V271" s="1" t="str">
        <f t="shared" si="130"/>
        <v>discharge</v>
      </c>
      <c r="Y271" s="1">
        <f t="shared" si="131"/>
        <v>0.23365465116279069</v>
      </c>
      <c r="AA271" s="1">
        <f t="shared" si="135"/>
        <v>75.920959382210441</v>
      </c>
      <c r="AD271" s="1">
        <f t="shared" si="136"/>
        <v>0</v>
      </c>
      <c r="AF271" s="1">
        <f t="shared" si="137"/>
        <v>0</v>
      </c>
      <c r="AH271" s="1">
        <f t="shared" si="139"/>
        <v>0</v>
      </c>
    </row>
    <row r="272" spans="1:34" ht="15">
      <c r="A272" s="1">
        <v>271</v>
      </c>
      <c r="B272" s="1">
        <f t="shared" ref="B272:B288" si="140">IF(U272="charge",Q272,0)</f>
        <v>0</v>
      </c>
      <c r="C272" s="1">
        <f t="shared" si="132"/>
        <v>-0.6074108527131783</v>
      </c>
      <c r="D272" s="1">
        <f t="shared" si="138"/>
        <v>38.983331468582598</v>
      </c>
      <c r="E272">
        <v>363.15</v>
      </c>
      <c r="K272" s="1">
        <f>'Solar Availability and Gener GR'!F272</f>
        <v>3.5999999999999997E-2</v>
      </c>
      <c r="L272" s="1">
        <v>0.64341085271317833</v>
      </c>
      <c r="M272" s="1">
        <f t="shared" si="133"/>
        <v>-0.6074108527131783</v>
      </c>
      <c r="N272" s="1" t="str">
        <f t="shared" si="134"/>
        <v>Buy from Grid</v>
      </c>
      <c r="V272" s="1" t="str">
        <f t="shared" si="130"/>
        <v>discharge</v>
      </c>
      <c r="Y272" s="1">
        <f t="shared" si="131"/>
        <v>0.23365465116279069</v>
      </c>
      <c r="AA272" s="1">
        <f t="shared" si="135"/>
        <v>75.313548529497268</v>
      </c>
      <c r="AD272" s="1">
        <f t="shared" si="136"/>
        <v>0</v>
      </c>
      <c r="AF272" s="1">
        <f t="shared" si="137"/>
        <v>0</v>
      </c>
      <c r="AH272" s="1">
        <f t="shared" si="139"/>
        <v>0</v>
      </c>
    </row>
    <row r="273" spans="1:34" ht="15">
      <c r="A273" s="1">
        <v>272</v>
      </c>
      <c r="B273" s="1">
        <f t="shared" si="140"/>
        <v>0</v>
      </c>
      <c r="C273" s="1">
        <f t="shared" si="132"/>
        <v>-0.31404651162790703</v>
      </c>
      <c r="D273" s="1">
        <f t="shared" si="138"/>
        <v>38.590773329047714</v>
      </c>
      <c r="E273">
        <v>363.15</v>
      </c>
      <c r="K273" s="1">
        <f>'Solar Availability and Gener GR'!F273</f>
        <v>7.1999999999999995E-2</v>
      </c>
      <c r="L273" s="1">
        <v>0.38604651162790704</v>
      </c>
      <c r="M273" s="1">
        <f t="shared" si="133"/>
        <v>-0.31404651162790703</v>
      </c>
      <c r="N273" s="1" t="str">
        <f t="shared" si="134"/>
        <v>Buy from Grid</v>
      </c>
      <c r="V273" s="1" t="str">
        <f t="shared" si="130"/>
        <v>discharge</v>
      </c>
      <c r="Y273" s="1">
        <f t="shared" si="131"/>
        <v>0.14019279069767443</v>
      </c>
      <c r="AA273" s="1">
        <f t="shared" si="135"/>
        <v>74.999502017869361</v>
      </c>
      <c r="AD273" s="1">
        <f t="shared" si="136"/>
        <v>0</v>
      </c>
      <c r="AF273" s="1">
        <f t="shared" si="137"/>
        <v>0</v>
      </c>
      <c r="AH273" s="1">
        <f t="shared" si="139"/>
        <v>0</v>
      </c>
    </row>
    <row r="274" spans="1:34" ht="15">
      <c r="A274" s="1">
        <v>273</v>
      </c>
      <c r="B274" s="1">
        <f t="shared" si="140"/>
        <v>0</v>
      </c>
      <c r="C274" s="1">
        <f t="shared" si="132"/>
        <v>-0.27804651162790706</v>
      </c>
      <c r="D274" s="1">
        <f t="shared" si="138"/>
        <v>38.243215189512831</v>
      </c>
      <c r="E274">
        <v>363.15</v>
      </c>
      <c r="K274" s="1">
        <f>'Solar Availability and Gener GR'!F274</f>
        <v>0.108</v>
      </c>
      <c r="L274" s="1">
        <v>0.38604651162790704</v>
      </c>
      <c r="M274" s="1">
        <f t="shared" si="133"/>
        <v>-0.27804651162790706</v>
      </c>
      <c r="N274" s="1" t="str">
        <f t="shared" si="134"/>
        <v>Buy from Grid</v>
      </c>
      <c r="V274" s="1" t="str">
        <f t="shared" si="130"/>
        <v>discharge</v>
      </c>
      <c r="Y274" s="1">
        <f t="shared" si="131"/>
        <v>0.14019279069767443</v>
      </c>
      <c r="AA274" s="1">
        <f t="shared" si="135"/>
        <v>74.721455506241455</v>
      </c>
      <c r="AD274" s="1">
        <f t="shared" si="136"/>
        <v>0</v>
      </c>
      <c r="AF274" s="1">
        <f t="shared" si="137"/>
        <v>0</v>
      </c>
      <c r="AH274" s="1">
        <f t="shared" si="139"/>
        <v>0</v>
      </c>
    </row>
    <row r="275" spans="1:34" ht="15">
      <c r="A275" s="1">
        <v>274</v>
      </c>
      <c r="B275" s="1">
        <f t="shared" si="140"/>
        <v>0</v>
      </c>
      <c r="C275" s="1">
        <f t="shared" si="132"/>
        <v>-0.20787060136350732</v>
      </c>
      <c r="D275" s="1">
        <f t="shared" si="138"/>
        <v>37.983376937808444</v>
      </c>
      <c r="E275">
        <v>363.15</v>
      </c>
      <c r="K275" s="1">
        <f>'Solar Availability and Gener GR'!F275</f>
        <v>0.17817591026439972</v>
      </c>
      <c r="L275" s="1">
        <v>0.38604651162790704</v>
      </c>
      <c r="M275" s="1">
        <f t="shared" si="133"/>
        <v>-0.20787060136350732</v>
      </c>
      <c r="N275" s="1" t="str">
        <f t="shared" si="134"/>
        <v>Buy from Grid</v>
      </c>
      <c r="V275" s="1" t="str">
        <f t="shared" si="130"/>
        <v>discharge</v>
      </c>
      <c r="Y275" s="1">
        <f t="shared" si="131"/>
        <v>0.14019279069767443</v>
      </c>
      <c r="AA275" s="1">
        <f t="shared" si="135"/>
        <v>74.513584904877945</v>
      </c>
      <c r="AD275" s="1">
        <f t="shared" si="136"/>
        <v>0</v>
      </c>
      <c r="AF275" s="1">
        <f t="shared" si="137"/>
        <v>0</v>
      </c>
      <c r="AH275" s="1">
        <f t="shared" si="139"/>
        <v>0</v>
      </c>
    </row>
    <row r="276" spans="1:34" ht="15">
      <c r="A276" s="1">
        <v>275</v>
      </c>
      <c r="B276" s="1">
        <f t="shared" si="140"/>
        <v>0</v>
      </c>
      <c r="C276" s="1">
        <f t="shared" si="132"/>
        <v>0.22256650359509378</v>
      </c>
      <c r="D276" s="1">
        <f t="shared" si="138"/>
        <v>38.261585067302313</v>
      </c>
      <c r="E276">
        <v>363.15</v>
      </c>
      <c r="K276" s="1">
        <f>'Solar Availability and Gener GR'!F276</f>
        <v>0.60861301522300082</v>
      </c>
      <c r="L276" s="1">
        <v>0.38604651162790704</v>
      </c>
      <c r="M276" s="1">
        <f t="shared" si="133"/>
        <v>0.22256650359509378</v>
      </c>
      <c r="N276" s="1" t="str">
        <f t="shared" si="134"/>
        <v>sell the surplus or charge</v>
      </c>
      <c r="O276" s="1">
        <v>0.25</v>
      </c>
      <c r="P276" s="1">
        <f t="shared" ref="P276:P281" si="141">0.25/L276</f>
        <v>0.64759036144578308</v>
      </c>
      <c r="Q276" s="1">
        <f t="shared" ref="Q276:Q281" si="142">K276-P276*L276</f>
        <v>0.35861301522300082</v>
      </c>
      <c r="R276" s="1">
        <f t="shared" ref="R276:R281" si="143">((1/(E276+0.01))*LN(0.25))+(E276*(K276-0.25))</f>
        <v>130.22649916806333</v>
      </c>
      <c r="S276" s="1">
        <f t="shared" ref="S276:S281" si="144">((1/(E276+0.01))*LN(L276))+(E276*(K276-L276))</f>
        <v>80.822404904304506</v>
      </c>
      <c r="T276" s="1">
        <f t="shared" ref="T276:T281" si="145">(S276+((S276^2)-4*(K276-L276*P276)*LN(L276*P276))^(0.5))/(2*(K276-L276*P276))</f>
        <v>225.39214156170954</v>
      </c>
      <c r="U276" s="1" t="str">
        <f t="shared" ref="U276:U281" si="146">IF(E276&gt;=T276*1.2,"sell to the Grid","charge")</f>
        <v>sell to the Grid</v>
      </c>
      <c r="W276" s="1">
        <f>(Q276*E276)/1000</f>
        <v>0.13023031647823274</v>
      </c>
      <c r="Y276" s="1">
        <f t="shared" si="131"/>
        <v>0.14019279069767443</v>
      </c>
      <c r="AA276" s="1">
        <f t="shared" si="135"/>
        <v>74.736151408473035</v>
      </c>
      <c r="AD276" s="1">
        <f t="shared" si="136"/>
        <v>0.25</v>
      </c>
      <c r="AF276" s="1">
        <f t="shared" si="137"/>
        <v>270.47056987405142</v>
      </c>
      <c r="AG276" s="1">
        <f>E276</f>
        <v>363.15</v>
      </c>
      <c r="AH276" s="1">
        <f t="shared" si="139"/>
        <v>130.23031647823274</v>
      </c>
    </row>
    <row r="277" spans="1:34" ht="15">
      <c r="A277" s="1">
        <v>276</v>
      </c>
      <c r="B277" s="1">
        <f t="shared" si="140"/>
        <v>0</v>
      </c>
      <c r="C277" s="1">
        <f t="shared" si="132"/>
        <v>0</v>
      </c>
      <c r="D277" s="1">
        <f t="shared" si="138"/>
        <v>38.261585067302313</v>
      </c>
      <c r="E277">
        <v>363.15</v>
      </c>
      <c r="K277" s="1">
        <f>'Solar Availability and Gener GR'!F277</f>
        <v>1.0103000089023395</v>
      </c>
      <c r="L277" s="1">
        <v>0.38604651162790704</v>
      </c>
      <c r="M277" s="1">
        <f t="shared" si="133"/>
        <v>0.62425349727443247</v>
      </c>
      <c r="N277" s="1" t="str">
        <f t="shared" si="134"/>
        <v>sell the surplus or charge</v>
      </c>
      <c r="O277" s="1">
        <v>0.25</v>
      </c>
      <c r="P277" s="1">
        <f t="shared" si="141"/>
        <v>0.64759036144578308</v>
      </c>
      <c r="Q277" s="1">
        <f t="shared" si="142"/>
        <v>0.76030000890233951</v>
      </c>
      <c r="R277" s="1">
        <f t="shared" si="143"/>
        <v>276.09913092271518</v>
      </c>
      <c r="S277" s="1">
        <f t="shared" si="144"/>
        <v>226.69503665895633</v>
      </c>
      <c r="T277" s="1">
        <f t="shared" si="145"/>
        <v>298.17135778712742</v>
      </c>
      <c r="U277" s="1" t="str">
        <f t="shared" si="146"/>
        <v>sell to the Grid</v>
      </c>
      <c r="W277" s="1">
        <f>(Q277*E277)/1000</f>
        <v>0.27610294823288456</v>
      </c>
      <c r="Y277" s="1">
        <f t="shared" si="131"/>
        <v>0.14019279069767443</v>
      </c>
      <c r="AA277" s="1">
        <f t="shared" si="135"/>
        <v>75.360404905747473</v>
      </c>
      <c r="AD277" s="1">
        <f t="shared" si="136"/>
        <v>0.25</v>
      </c>
      <c r="AF277" s="1">
        <f t="shared" si="137"/>
        <v>357.80562934455287</v>
      </c>
      <c r="AG277" s="1">
        <f>AF276</f>
        <v>270.47056987405142</v>
      </c>
      <c r="AH277" s="1">
        <f t="shared" si="139"/>
        <v>205.63877668306213</v>
      </c>
    </row>
    <row r="278" spans="1:34" ht="15">
      <c r="A278" s="1">
        <v>277</v>
      </c>
      <c r="B278" s="1">
        <f t="shared" si="140"/>
        <v>1.0088222202439221</v>
      </c>
      <c r="C278" s="1">
        <f t="shared" si="132"/>
        <v>0</v>
      </c>
      <c r="D278" s="1">
        <f t="shared" si="138"/>
        <v>39.06864284349745</v>
      </c>
      <c r="E278">
        <v>363.15</v>
      </c>
      <c r="K278" s="1">
        <f>'Solar Availability and Gener GR'!F278</f>
        <v>1.2588222202439221</v>
      </c>
      <c r="L278" s="1">
        <v>0.38604651162790704</v>
      </c>
      <c r="M278" s="1">
        <f t="shared" si="133"/>
        <v>0.87277570861601506</v>
      </c>
      <c r="N278" s="1" t="str">
        <f t="shared" si="134"/>
        <v>sell the surplus or charge</v>
      </c>
      <c r="O278" s="1">
        <v>0.25</v>
      </c>
      <c r="P278" s="1">
        <f t="shared" si="141"/>
        <v>0.64759036144578308</v>
      </c>
      <c r="Q278" s="1">
        <f t="shared" si="142"/>
        <v>1.0088222202439221</v>
      </c>
      <c r="R278" s="1">
        <f t="shared" si="143"/>
        <v>366.34997197141092</v>
      </c>
      <c r="S278" s="1">
        <f t="shared" si="144"/>
        <v>316.94587770765207</v>
      </c>
      <c r="T278" s="1">
        <f t="shared" si="145"/>
        <v>314.1785378917732</v>
      </c>
      <c r="U278" s="1" t="str">
        <f t="shared" si="146"/>
        <v>charge</v>
      </c>
      <c r="Y278" s="1">
        <f t="shared" si="131"/>
        <v>0.14019279069767443</v>
      </c>
      <c r="AA278" s="1">
        <f t="shared" si="135"/>
        <v>76.233180614363491</v>
      </c>
      <c r="AD278" s="1">
        <f t="shared" si="136"/>
        <v>0.25</v>
      </c>
      <c r="AF278" s="1">
        <f t="shared" si="137"/>
        <v>377.01424547012783</v>
      </c>
      <c r="AH278" s="1">
        <f t="shared" si="139"/>
        <v>0</v>
      </c>
    </row>
    <row r="279" spans="1:34" ht="15">
      <c r="A279" s="1">
        <v>278</v>
      </c>
      <c r="B279" s="1">
        <f t="shared" si="140"/>
        <v>1.0275571975429532</v>
      </c>
      <c r="C279" s="1">
        <f t="shared" si="132"/>
        <v>0</v>
      </c>
      <c r="D279" s="1">
        <f t="shared" si="138"/>
        <v>39.890688601531814</v>
      </c>
      <c r="E279">
        <v>363.15</v>
      </c>
      <c r="K279" s="1">
        <f>'Solar Availability and Gener GR'!F279</f>
        <v>1.2775571975429532</v>
      </c>
      <c r="L279" s="1">
        <v>0.38604651162790704</v>
      </c>
      <c r="M279" s="1">
        <f t="shared" si="133"/>
        <v>0.89151068591504612</v>
      </c>
      <c r="N279" s="1" t="str">
        <f t="shared" si="134"/>
        <v>sell the surplus or charge</v>
      </c>
      <c r="O279" s="1">
        <v>0.25</v>
      </c>
      <c r="P279" s="1">
        <f t="shared" si="141"/>
        <v>0.64759036144578308</v>
      </c>
      <c r="Q279" s="1">
        <f t="shared" si="142"/>
        <v>1.0275571975429532</v>
      </c>
      <c r="R279" s="1">
        <f t="shared" si="143"/>
        <v>373.15357897755405</v>
      </c>
      <c r="S279" s="1">
        <f t="shared" si="144"/>
        <v>323.7494847137952</v>
      </c>
      <c r="T279" s="1">
        <f t="shared" si="145"/>
        <v>315.07139984528669</v>
      </c>
      <c r="U279" s="1" t="str">
        <f t="shared" si="146"/>
        <v>charge</v>
      </c>
      <c r="Y279" s="1">
        <f t="shared" si="131"/>
        <v>0.14019279069767443</v>
      </c>
      <c r="AA279" s="1">
        <f t="shared" si="135"/>
        <v>77.124691300278542</v>
      </c>
      <c r="AD279" s="1">
        <f t="shared" si="136"/>
        <v>0.25</v>
      </c>
      <c r="AF279" s="1">
        <f t="shared" si="137"/>
        <v>378.08567981434402</v>
      </c>
      <c r="AH279" s="1">
        <f t="shared" si="139"/>
        <v>0</v>
      </c>
    </row>
    <row r="280" spans="1:34" ht="15">
      <c r="A280" s="1">
        <v>279</v>
      </c>
      <c r="B280" s="1">
        <f t="shared" si="140"/>
        <v>0.94097302590581111</v>
      </c>
      <c r="C280" s="1">
        <f t="shared" si="132"/>
        <v>0</v>
      </c>
      <c r="D280" s="1">
        <f t="shared" si="138"/>
        <v>40.643467022256459</v>
      </c>
      <c r="E280">
        <v>363.15</v>
      </c>
      <c r="K280" s="1">
        <f>'Solar Availability and Gener GR'!F280</f>
        <v>1.1909730259058111</v>
      </c>
      <c r="L280" s="1">
        <v>0.38604651162790704</v>
      </c>
      <c r="M280" s="1">
        <f t="shared" si="133"/>
        <v>0.80492651427790407</v>
      </c>
      <c r="N280" s="1" t="str">
        <f t="shared" si="134"/>
        <v>sell the surplus or charge</v>
      </c>
      <c r="O280" s="1">
        <v>0.25</v>
      </c>
      <c r="P280" s="1">
        <f t="shared" si="141"/>
        <v>0.64759036144578308</v>
      </c>
      <c r="Q280" s="1">
        <f t="shared" si="142"/>
        <v>0.94097302590581111</v>
      </c>
      <c r="R280" s="1">
        <f t="shared" si="143"/>
        <v>341.71053704752592</v>
      </c>
      <c r="S280" s="1">
        <f t="shared" si="144"/>
        <v>292.30644278376707</v>
      </c>
      <c r="T280" s="1">
        <f t="shared" si="145"/>
        <v>310.64748651939175</v>
      </c>
      <c r="U280" s="1" t="str">
        <f t="shared" si="146"/>
        <v>charge</v>
      </c>
      <c r="Y280" s="1">
        <f t="shared" si="131"/>
        <v>0.14019279069767443</v>
      </c>
      <c r="AA280" s="1">
        <f t="shared" si="135"/>
        <v>77.929617814556451</v>
      </c>
      <c r="AD280" s="1">
        <f t="shared" si="136"/>
        <v>0.25</v>
      </c>
      <c r="AF280" s="1">
        <f t="shared" si="137"/>
        <v>372.77698382327009</v>
      </c>
      <c r="AH280" s="1">
        <f t="shared" si="139"/>
        <v>0</v>
      </c>
    </row>
    <row r="281" spans="1:34" ht="15">
      <c r="A281" s="1">
        <v>280</v>
      </c>
      <c r="B281" s="1">
        <f t="shared" si="140"/>
        <v>0</v>
      </c>
      <c r="C281" s="1">
        <f t="shared" si="132"/>
        <v>0</v>
      </c>
      <c r="D281" s="1">
        <f t="shared" si="138"/>
        <v>40.643467022256459</v>
      </c>
      <c r="E281">
        <v>363.15</v>
      </c>
      <c r="K281" s="1">
        <f>'Solar Availability and Gener GR'!F281</f>
        <v>0.92246060713967637</v>
      </c>
      <c r="L281" s="1">
        <v>0.64341085271317833</v>
      </c>
      <c r="M281" s="1">
        <f t="shared" si="133"/>
        <v>0.27904975442649804</v>
      </c>
      <c r="N281" s="1" t="str">
        <f t="shared" si="134"/>
        <v>sell the surplus or charge</v>
      </c>
      <c r="O281" s="1">
        <v>0.25</v>
      </c>
      <c r="P281" s="1">
        <f t="shared" si="141"/>
        <v>0.38855421686746988</v>
      </c>
      <c r="Q281" s="1">
        <f t="shared" si="142"/>
        <v>0.67246060713967637</v>
      </c>
      <c r="R281" s="1">
        <f t="shared" si="143"/>
        <v>244.20025217260405</v>
      </c>
      <c r="S281" s="1">
        <f t="shared" si="144"/>
        <v>101.33570405685751</v>
      </c>
      <c r="T281" s="1">
        <f t="shared" si="145"/>
        <v>150.70756792665611</v>
      </c>
      <c r="U281" s="1" t="str">
        <f t="shared" si="146"/>
        <v>sell to the Grid</v>
      </c>
      <c r="W281" s="1">
        <f>(Q281*E281)/1000</f>
        <v>0.24420406948277346</v>
      </c>
      <c r="Y281" s="1">
        <f t="shared" si="131"/>
        <v>0.23365465116279069</v>
      </c>
      <c r="AA281" s="1">
        <f t="shared" si="135"/>
        <v>78.208667568982946</v>
      </c>
      <c r="AD281" s="1">
        <f t="shared" si="136"/>
        <v>0.25</v>
      </c>
      <c r="AF281" s="1">
        <f t="shared" si="137"/>
        <v>180.84908151198732</v>
      </c>
      <c r="AG281" s="1">
        <f>AF280</f>
        <v>372.77698382327009</v>
      </c>
      <c r="AH281" s="1">
        <f t="shared" si="139"/>
        <v>250.67783686949352</v>
      </c>
    </row>
    <row r="282" spans="1:34" ht="15">
      <c r="A282" s="1">
        <v>281</v>
      </c>
      <c r="B282" s="1">
        <f t="shared" si="140"/>
        <v>0</v>
      </c>
      <c r="C282" s="1">
        <f t="shared" si="132"/>
        <v>0</v>
      </c>
      <c r="D282" s="1">
        <f t="shared" si="138"/>
        <v>40.643467022256459</v>
      </c>
      <c r="E282">
        <v>363.15</v>
      </c>
      <c r="K282" s="1">
        <f>'Solar Availability and Gener GR'!F282</f>
        <v>0.54864239294934358</v>
      </c>
      <c r="L282" s="1">
        <v>0.64341085271317833</v>
      </c>
      <c r="M282" s="1">
        <f t="shared" si="133"/>
        <v>-9.4768459763834745E-2</v>
      </c>
      <c r="N282" s="1" t="str">
        <f t="shared" si="134"/>
        <v>Buy from Grid</v>
      </c>
      <c r="V282" s="1" t="str">
        <f t="shared" ref="V282:V289" si="147">IF(D282+M282&gt;0,"discharge","buy from the Grid")</f>
        <v>discharge</v>
      </c>
      <c r="Y282" s="1">
        <f t="shared" si="131"/>
        <v>0.23365465116279069</v>
      </c>
      <c r="AA282" s="1">
        <f t="shared" si="135"/>
        <v>78.113899109219105</v>
      </c>
      <c r="AD282" s="1">
        <f t="shared" si="136"/>
        <v>0</v>
      </c>
      <c r="AF282" s="1">
        <f t="shared" si="137"/>
        <v>0</v>
      </c>
      <c r="AH282" s="1">
        <f t="shared" si="139"/>
        <v>0</v>
      </c>
    </row>
    <row r="283" spans="1:34" ht="15">
      <c r="A283" s="1">
        <v>282</v>
      </c>
      <c r="B283" s="1">
        <f t="shared" si="140"/>
        <v>0</v>
      </c>
      <c r="C283" s="1">
        <f t="shared" si="132"/>
        <v>-0.50688454629459012</v>
      </c>
      <c r="D283" s="1">
        <f t="shared" si="138"/>
        <v>40.009861339388223</v>
      </c>
      <c r="E283">
        <v>363.15</v>
      </c>
      <c r="K283" s="1">
        <f>'Solar Availability and Gener GR'!F283</f>
        <v>0.13652630641858823</v>
      </c>
      <c r="L283" s="1">
        <v>0.64341085271317833</v>
      </c>
      <c r="M283" s="1">
        <f t="shared" si="133"/>
        <v>-0.50688454629459012</v>
      </c>
      <c r="N283" s="1" t="str">
        <f t="shared" si="134"/>
        <v>Buy from Grid</v>
      </c>
      <c r="V283" s="1" t="str">
        <f t="shared" si="147"/>
        <v>discharge</v>
      </c>
      <c r="Y283" s="1">
        <f t="shared" si="131"/>
        <v>0.23365465116279069</v>
      </c>
      <c r="AA283" s="1">
        <f t="shared" si="135"/>
        <v>77.607014562924519</v>
      </c>
      <c r="AD283" s="1">
        <f t="shared" si="136"/>
        <v>0</v>
      </c>
      <c r="AF283" s="1">
        <f t="shared" si="137"/>
        <v>0</v>
      </c>
      <c r="AH283" s="1">
        <f t="shared" si="139"/>
        <v>0</v>
      </c>
    </row>
    <row r="284" spans="1:34" ht="15">
      <c r="A284" s="1">
        <v>283</v>
      </c>
      <c r="B284" s="1">
        <f t="shared" si="140"/>
        <v>0</v>
      </c>
      <c r="C284" s="1">
        <f t="shared" si="132"/>
        <v>-0.64341085271317833</v>
      </c>
      <c r="D284" s="1">
        <f t="shared" si="138"/>
        <v>39.205597773496748</v>
      </c>
      <c r="E284">
        <v>363.15</v>
      </c>
      <c r="K284" s="1">
        <f>'Solar Availability and Gener GR'!F284</f>
        <v>0</v>
      </c>
      <c r="L284" s="1">
        <v>0.64341085271317833</v>
      </c>
      <c r="M284" s="1">
        <f t="shared" si="133"/>
        <v>-0.64341085271317833</v>
      </c>
      <c r="N284" s="1" t="str">
        <f t="shared" si="134"/>
        <v>Buy from Grid</v>
      </c>
      <c r="V284" s="1" t="str">
        <f t="shared" si="147"/>
        <v>discharge</v>
      </c>
      <c r="Y284" s="1">
        <f t="shared" si="131"/>
        <v>0.23365465116279069</v>
      </c>
      <c r="AA284" s="1">
        <f t="shared" si="135"/>
        <v>76.963603710211345</v>
      </c>
      <c r="AD284" s="1">
        <f t="shared" si="136"/>
        <v>0</v>
      </c>
      <c r="AF284" s="1">
        <f t="shared" si="137"/>
        <v>0</v>
      </c>
      <c r="AH284" s="1">
        <f t="shared" si="139"/>
        <v>0</v>
      </c>
    </row>
    <row r="285" spans="1:34" ht="15">
      <c r="A285" s="1">
        <v>284</v>
      </c>
      <c r="B285" s="1">
        <f t="shared" si="140"/>
        <v>0</v>
      </c>
      <c r="C285" s="1">
        <f t="shared" si="132"/>
        <v>-0.64341085271317833</v>
      </c>
      <c r="D285" s="1">
        <f t="shared" si="138"/>
        <v>38.401334207605274</v>
      </c>
      <c r="E285">
        <v>363.15</v>
      </c>
      <c r="K285" s="1">
        <f>'Solar Availability and Gener GR'!F285</f>
        <v>0</v>
      </c>
      <c r="L285" s="1">
        <v>0.64341085271317833</v>
      </c>
      <c r="M285" s="1">
        <f t="shared" si="133"/>
        <v>-0.64341085271317833</v>
      </c>
      <c r="N285" s="1" t="str">
        <f t="shared" si="134"/>
        <v>Buy from Grid</v>
      </c>
      <c r="V285" s="1" t="str">
        <f t="shared" si="147"/>
        <v>discharge</v>
      </c>
      <c r="Y285" s="1">
        <f t="shared" si="131"/>
        <v>0.23365465116279069</v>
      </c>
      <c r="AA285" s="1">
        <f t="shared" si="135"/>
        <v>76.320192857498171</v>
      </c>
      <c r="AD285" s="1">
        <f t="shared" si="136"/>
        <v>0</v>
      </c>
      <c r="AF285" s="1">
        <f t="shared" si="137"/>
        <v>0</v>
      </c>
      <c r="AH285" s="1">
        <f t="shared" si="139"/>
        <v>0</v>
      </c>
    </row>
    <row r="286" spans="1:34" ht="15">
      <c r="A286" s="1">
        <v>285</v>
      </c>
      <c r="B286" s="1">
        <f t="shared" si="140"/>
        <v>0</v>
      </c>
      <c r="C286" s="1">
        <f t="shared" si="132"/>
        <v>-0.64341085271317833</v>
      </c>
      <c r="D286" s="1">
        <f t="shared" si="138"/>
        <v>37.597070641713799</v>
      </c>
      <c r="E286">
        <v>363.15</v>
      </c>
      <c r="K286" s="1">
        <f>'Solar Availability and Gener GR'!F286</f>
        <v>0</v>
      </c>
      <c r="L286" s="1">
        <v>0.64341085271317833</v>
      </c>
      <c r="M286" s="1">
        <f t="shared" si="133"/>
        <v>-0.64341085271317833</v>
      </c>
      <c r="N286" s="1" t="str">
        <f t="shared" si="134"/>
        <v>Buy from Grid</v>
      </c>
      <c r="V286" s="1" t="str">
        <f t="shared" si="147"/>
        <v>discharge</v>
      </c>
      <c r="Y286" s="1">
        <f t="shared" si="131"/>
        <v>0.23365465116279069</v>
      </c>
      <c r="AA286" s="1">
        <f t="shared" si="135"/>
        <v>75.676782004784997</v>
      </c>
      <c r="AD286" s="1">
        <f t="shared" si="136"/>
        <v>0</v>
      </c>
      <c r="AF286" s="1">
        <f t="shared" si="137"/>
        <v>0</v>
      </c>
      <c r="AH286" s="1">
        <f t="shared" si="139"/>
        <v>0</v>
      </c>
    </row>
    <row r="287" spans="1:34" ht="15">
      <c r="A287" s="1">
        <v>286</v>
      </c>
      <c r="B287" s="1">
        <f t="shared" si="140"/>
        <v>0</v>
      </c>
      <c r="C287" s="1">
        <f t="shared" si="132"/>
        <v>-0.64341085271317833</v>
      </c>
      <c r="D287" s="1">
        <f t="shared" si="138"/>
        <v>36.792807075822324</v>
      </c>
      <c r="E287">
        <v>363.15</v>
      </c>
      <c r="K287" s="1">
        <f>'Solar Availability and Gener GR'!F287</f>
        <v>0</v>
      </c>
      <c r="L287" s="1">
        <v>0.64341085271317833</v>
      </c>
      <c r="M287" s="1">
        <f t="shared" si="133"/>
        <v>-0.64341085271317833</v>
      </c>
      <c r="N287" s="1" t="str">
        <f t="shared" si="134"/>
        <v>Buy from Grid</v>
      </c>
      <c r="V287" s="1" t="str">
        <f t="shared" si="147"/>
        <v>discharge</v>
      </c>
      <c r="Y287" s="1">
        <f t="shared" si="131"/>
        <v>0.23365465116279069</v>
      </c>
      <c r="AA287" s="1">
        <f t="shared" si="135"/>
        <v>75.033371152071823</v>
      </c>
      <c r="AD287" s="1">
        <f t="shared" si="136"/>
        <v>0</v>
      </c>
      <c r="AF287" s="1">
        <f t="shared" si="137"/>
        <v>0</v>
      </c>
      <c r="AH287" s="1">
        <f t="shared" si="139"/>
        <v>0</v>
      </c>
    </row>
    <row r="288" spans="1:34" ht="15">
      <c r="A288" s="1">
        <v>287</v>
      </c>
      <c r="B288" s="1">
        <f t="shared" si="140"/>
        <v>0</v>
      </c>
      <c r="C288" s="1">
        <f t="shared" si="132"/>
        <v>-0.25736434108527134</v>
      </c>
      <c r="D288" s="1">
        <f t="shared" si="138"/>
        <v>36.471101649465737</v>
      </c>
      <c r="E288">
        <v>363.15</v>
      </c>
      <c r="K288" s="1">
        <f>'Solar Availability and Gener GR'!F288</f>
        <v>0</v>
      </c>
      <c r="L288" s="1">
        <v>0.25736434108527134</v>
      </c>
      <c r="M288" s="1">
        <f t="shared" si="133"/>
        <v>-0.25736434108527134</v>
      </c>
      <c r="N288" s="1" t="str">
        <f t="shared" si="134"/>
        <v>Buy from Grid</v>
      </c>
      <c r="V288" s="1" t="str">
        <f t="shared" si="147"/>
        <v>discharge</v>
      </c>
      <c r="Y288" s="1">
        <f t="shared" si="131"/>
        <v>9.3461860465116287E-2</v>
      </c>
      <c r="AA288" s="1">
        <f t="shared" si="135"/>
        <v>74.776006810986544</v>
      </c>
      <c r="AD288" s="1">
        <f t="shared" si="136"/>
        <v>0</v>
      </c>
      <c r="AF288" s="1">
        <f t="shared" si="137"/>
        <v>0</v>
      </c>
      <c r="AH288" s="1">
        <f t="shared" si="139"/>
        <v>0</v>
      </c>
    </row>
    <row r="289" spans="1:35" ht="15">
      <c r="A289" s="1">
        <v>288</v>
      </c>
      <c r="C289" s="1">
        <f t="shared" si="132"/>
        <v>-0.25736434108527134</v>
      </c>
      <c r="D289" s="1">
        <f t="shared" si="138"/>
        <v>36.14939622310915</v>
      </c>
      <c r="E289">
        <v>363.15</v>
      </c>
      <c r="K289" s="1">
        <f>'Solar Availability and Gener GR'!F289</f>
        <v>0</v>
      </c>
      <c r="L289" s="1">
        <v>0.25736434108527134</v>
      </c>
      <c r="M289" s="1">
        <f t="shared" si="133"/>
        <v>-0.25736434108527134</v>
      </c>
      <c r="N289" s="1" t="str">
        <f t="shared" si="134"/>
        <v>Buy from Grid</v>
      </c>
      <c r="V289" s="1" t="str">
        <f t="shared" si="147"/>
        <v>discharge</v>
      </c>
      <c r="Y289" s="1">
        <f t="shared" si="131"/>
        <v>9.3461860465116287E-2</v>
      </c>
      <c r="AA289" s="1">
        <f t="shared" si="135"/>
        <v>74.518642469901266</v>
      </c>
      <c r="AD289" s="1">
        <f t="shared" si="136"/>
        <v>0</v>
      </c>
      <c r="AF289" s="1">
        <f t="shared" si="137"/>
        <v>0</v>
      </c>
      <c r="AH289" s="1">
        <f t="shared" si="139"/>
        <v>0</v>
      </c>
    </row>
    <row r="290" spans="1:35">
      <c r="W290" s="1">
        <f>SUM(W2:W289)</f>
        <v>14.696245560550146</v>
      </c>
      <c r="X290" s="1">
        <f>SUM(X2:X289)</f>
        <v>-4.3761365840493855</v>
      </c>
      <c r="Y290" s="1">
        <f>SUM(Y2:Y289)</f>
        <v>46.731383522581311</v>
      </c>
    </row>
    <row r="291" spans="1:35" ht="54" customHeight="1">
      <c r="E291" s="1">
        <f>MIN(E2:E290)</f>
        <v>363.15</v>
      </c>
      <c r="L291" s="1">
        <f>SUM(L2:L290)*30</f>
        <v>3860.5025627907062</v>
      </c>
      <c r="Q291" s="1">
        <f>SUM(Q2:Q289)</f>
        <v>166.34415073444302</v>
      </c>
      <c r="V291" s="1" t="s">
        <v>351</v>
      </c>
      <c r="W291" s="1">
        <f>(W290+X290)*30</f>
        <v>309.60326929502281</v>
      </c>
      <c r="Y291" s="1">
        <f>Y290*30</f>
        <v>1401.9415056774394</v>
      </c>
      <c r="AD291" s="1">
        <f>SUM(AD2:AD290)*30</f>
        <v>1202.9953488372093</v>
      </c>
      <c r="AE291" s="1" t="s">
        <v>374</v>
      </c>
      <c r="AH291" s="1">
        <f>SUM(AH2:AH289)</f>
        <v>13290.216030736101</v>
      </c>
    </row>
    <row r="292" spans="1:35" ht="15">
      <c r="E292" s="1">
        <f>MAX(E2:E28)</f>
        <v>363.15</v>
      </c>
      <c r="AH292" s="14">
        <f>AH291/Q291</f>
        <v>79.895902393063494</v>
      </c>
      <c r="AI292" s="13" t="s">
        <v>378</v>
      </c>
    </row>
    <row r="293" spans="1:35" ht="30">
      <c r="D293" s="1">
        <f>10.7/12</f>
        <v>0.89166666666666661</v>
      </c>
      <c r="V293" s="1" t="s">
        <v>352</v>
      </c>
      <c r="W293" s="1">
        <f>Y291</f>
        <v>1401.9415056774394</v>
      </c>
    </row>
    <row r="295" spans="1:35" ht="30">
      <c r="V295" s="1" t="s">
        <v>354</v>
      </c>
      <c r="W295" s="1">
        <f>W291+W293</f>
        <v>1711.5447749724622</v>
      </c>
    </row>
    <row r="296" spans="1:35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5">
      <c r="V297" s="1">
        <v>2030</v>
      </c>
      <c r="W297" s="1">
        <v>860000</v>
      </c>
      <c r="X297" s="11">
        <f>$W$295*W297</f>
        <v>1471928506.4763174</v>
      </c>
      <c r="Y297" s="3">
        <f>($L$291-$AD$291)*W297/1000000</f>
        <v>2285.4562040000073</v>
      </c>
      <c r="AA297" s="11">
        <f>$W$291*W297</f>
        <v>266258811.59371963</v>
      </c>
    </row>
    <row r="298" spans="1:35">
      <c r="V298" s="1">
        <v>2035</v>
      </c>
      <c r="W298" s="1">
        <v>1720000</v>
      </c>
      <c r="X298" s="11">
        <f t="shared" ref="X298:X301" si="148">$W$295*W298</f>
        <v>2943857012.9526348</v>
      </c>
      <c r="Y298" s="3">
        <f>($L$291-$AD$291)*W298/1000000</f>
        <v>4570.9124080000147</v>
      </c>
      <c r="AA298" s="11">
        <f t="shared" ref="AA298:AA301" si="149">$W$291*W298</f>
        <v>532517623.18743926</v>
      </c>
    </row>
    <row r="299" spans="1:35">
      <c r="V299" s="1">
        <v>2040</v>
      </c>
      <c r="W299" s="1">
        <v>2580000</v>
      </c>
      <c r="X299" s="11">
        <f t="shared" si="148"/>
        <v>4415785519.4289522</v>
      </c>
      <c r="Y299" s="3">
        <f>($L$291-$AD$291)*W299/1000000</f>
        <v>6856.368612000022</v>
      </c>
      <c r="AA299" s="11">
        <f t="shared" si="149"/>
        <v>798776434.7811588</v>
      </c>
    </row>
    <row r="300" spans="1:35">
      <c r="V300" s="1">
        <v>2045</v>
      </c>
      <c r="W300" s="1">
        <v>3440000</v>
      </c>
      <c r="X300" s="11">
        <f t="shared" si="148"/>
        <v>5887714025.9052696</v>
      </c>
      <c r="Y300" s="3">
        <f>($L$291-$AD$291)*W300/1000000</f>
        <v>9141.8248160000294</v>
      </c>
      <c r="AA300" s="11">
        <f t="shared" si="149"/>
        <v>1065035246.3748785</v>
      </c>
    </row>
    <row r="301" spans="1:35">
      <c r="V301" s="1">
        <v>2050</v>
      </c>
      <c r="W301" s="1">
        <v>4300000</v>
      </c>
      <c r="X301" s="11">
        <f t="shared" si="148"/>
        <v>7359642532.381587</v>
      </c>
      <c r="Y301" s="3">
        <f>($L$291-$AD$291)*W301/1000000</f>
        <v>11427.281020000037</v>
      </c>
      <c r="AA301" s="11">
        <f t="shared" si="149"/>
        <v>1331294057.9685981</v>
      </c>
    </row>
  </sheetData>
  <autoFilter ref="A1:V289" xr:uid="{341E820E-40E6-49AC-8FF5-E40C9CA07058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49F8-87D0-894B-BE6C-A13845CD3BD9}">
  <dimension ref="A1:G8"/>
  <sheetViews>
    <sheetView workbookViewId="0">
      <selection activeCell="E10" sqref="E10"/>
    </sheetView>
  </sheetViews>
  <sheetFormatPr baseColWidth="10" defaultRowHeight="14"/>
  <cols>
    <col min="1" max="4" width="10.83203125" style="18"/>
    <col min="5" max="5" width="18.83203125" style="18" bestFit="1" customWidth="1"/>
    <col min="6" max="6" width="10.83203125" style="18"/>
    <col min="7" max="7" width="16.6640625" style="18" bestFit="1" customWidth="1"/>
    <col min="8" max="16384" width="10.83203125" style="18"/>
  </cols>
  <sheetData>
    <row r="1" spans="1:7">
      <c r="A1" s="18" t="s">
        <v>379</v>
      </c>
      <c r="B1" s="18" t="s">
        <v>380</v>
      </c>
      <c r="C1" s="18" t="s">
        <v>381</v>
      </c>
      <c r="E1" s="16" t="s">
        <v>388</v>
      </c>
      <c r="G1" s="16" t="s">
        <v>387</v>
      </c>
    </row>
    <row r="2" spans="1:7">
      <c r="A2" s="18">
        <v>22.98</v>
      </c>
      <c r="B2" s="18">
        <v>40.950000000000003</v>
      </c>
      <c r="C2" s="18">
        <v>97.77</v>
      </c>
      <c r="E2" s="16">
        <v>60</v>
      </c>
      <c r="G2" s="17">
        <f>E2/E8</f>
        <v>61.432124713242679</v>
      </c>
    </row>
    <row r="3" spans="1:7">
      <c r="E3" s="18" t="s">
        <v>389</v>
      </c>
    </row>
    <row r="4" spans="1:7">
      <c r="B4" s="18" t="s">
        <v>382</v>
      </c>
      <c r="C4" s="18" t="s">
        <v>383</v>
      </c>
    </row>
    <row r="5" spans="1:7">
      <c r="B5" s="19">
        <f>'Utility Function plus20%PriceEq'!AH292</f>
        <v>48.058094324741994</v>
      </c>
      <c r="C5" s="19">
        <f>'UF plus20%PrEq_Sens_Max_Spot_Pr'!AH292</f>
        <v>79.895902393063494</v>
      </c>
    </row>
    <row r="7" spans="1:7">
      <c r="B7" s="18" t="s">
        <v>384</v>
      </c>
      <c r="C7" s="18" t="s">
        <v>385</v>
      </c>
      <c r="E7" s="18" t="s">
        <v>386</v>
      </c>
    </row>
    <row r="8" spans="1:7">
      <c r="B8" s="18">
        <f>B2/B5</f>
        <v>0.85209371231596054</v>
      </c>
      <c r="C8" s="18">
        <f>C2/C5</f>
        <v>1.2237173255644749</v>
      </c>
      <c r="E8" s="18">
        <f>((E2-B2)*(C8-B8)/(C2-B2))+B8</f>
        <v>0.97668769035862502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Solar Availability and Gener GR</vt:lpstr>
      <vt:lpstr>System Load</vt:lpstr>
      <vt:lpstr>Battery_Storage</vt:lpstr>
      <vt:lpstr>Sheet2</vt:lpstr>
      <vt:lpstr>Daily Demand per household</vt:lpstr>
      <vt:lpstr>Utility Function plus20%</vt:lpstr>
      <vt:lpstr>Utility Function plus10%</vt:lpstr>
      <vt:lpstr>Utility Function plus5%</vt:lpstr>
      <vt:lpstr>UFplus20%LowPrice</vt:lpstr>
      <vt:lpstr>UFplus10%LowPrice</vt:lpstr>
      <vt:lpstr>UFplus5%LowPrice</vt:lpstr>
      <vt:lpstr>Deficits_Surlus</vt:lpstr>
      <vt:lpstr>Utility Function plus20%PriceEq</vt:lpstr>
      <vt:lpstr>UF plus20%PrEq_Sens_Max_Spot_Pr</vt:lpstr>
      <vt:lpstr>PPAt_Calc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STEVE DEVVES</cp:lastModifiedBy>
  <dcterms:created xsi:type="dcterms:W3CDTF">2025-06-18T14:25:15Z</dcterms:created>
  <dcterms:modified xsi:type="dcterms:W3CDTF">2026-02-23T17:03:03Z</dcterms:modified>
</cp:coreProperties>
</file>